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CEBIMENTOS" sheetId="1" r:id="rId4"/>
    <sheet name="Pagando..." sheetId="2" r:id="rId5"/>
    <sheet name="Betini" sheetId="3" r:id="rId6"/>
    <sheet name="CORREIOS" sheetId="4" r:id="rId7"/>
    <sheet name="DOJO" sheetId="5" r:id="rId8"/>
    <sheet name="Vialar" sheetId="6" r:id="rId9"/>
    <sheet name="Vialar-2" sheetId="7" r:id="rId10"/>
    <sheet name="KS" sheetId="8" r:id="rId11"/>
    <sheet name="REVISAO" sheetId="9" r:id="rId12"/>
    <sheet name="TO DO" sheetId="10" r:id="rId13"/>
    <sheet name="A Pagar" sheetId="11" r:id="rId14"/>
    <sheet name="A Receber" sheetId="12" r:id="rId15"/>
    <sheet name="spettus" sheetId="13" r:id="rId16"/>
    <sheet name="wd" sheetId="14" r:id="rId17"/>
    <sheet name="Lucas F" sheetId="15" r:id="rId18"/>
  </sheets>
</workbook>
</file>

<file path=xl/sharedStrings.xml><?xml version="1.0" encoding="utf-8"?>
<sst xmlns="http://schemas.openxmlformats.org/spreadsheetml/2006/main" uniqueCount="3126">
  <si>
    <t>Fornecedor</t>
  </si>
  <si>
    <t>Cliente</t>
  </si>
  <si>
    <t>Local</t>
  </si>
  <si>
    <t>Embarque</t>
  </si>
  <si>
    <t>Nota</t>
  </si>
  <si>
    <t>Pedido</t>
  </si>
  <si>
    <t>A RECEBER</t>
  </si>
  <si>
    <t>RECEBIDO</t>
  </si>
  <si>
    <t>Diferença</t>
  </si>
  <si>
    <t>Região</t>
  </si>
  <si>
    <t>Venc. /Próx.</t>
  </si>
  <si>
    <t>Próx Data</t>
  </si>
  <si>
    <t>PEPINO</t>
  </si>
  <si>
    <t>OGURA REP</t>
  </si>
  <si>
    <t>101 COMERCIO DE MADEIRAS</t>
  </si>
  <si>
    <t>Linhares (ES)</t>
  </si>
  <si>
    <t>???</t>
  </si>
  <si>
    <t>04 - Rio Doce</t>
  </si>
  <si>
    <t>MADERAZI - PANPER - REFUGADO</t>
  </si>
  <si>
    <t>DEPOIS</t>
  </si>
  <si>
    <t>OK (Pastinha)</t>
  </si>
  <si>
    <t>BRASIL FLORA</t>
  </si>
  <si>
    <t>958</t>
  </si>
  <si>
    <t>2543</t>
  </si>
  <si>
    <t>-</t>
  </si>
  <si>
    <t>1420</t>
  </si>
  <si>
    <t>3631</t>
  </si>
  <si>
    <t>1448</t>
  </si>
  <si>
    <t>3824</t>
  </si>
  <si>
    <t>C. HORIZONTE</t>
  </si>
  <si>
    <t>GT MADEIRAS</t>
  </si>
  <si>
    <t>2337</t>
  </si>
  <si>
    <t>3543</t>
  </si>
  <si>
    <t>KL ARTEFATOS</t>
  </si>
  <si>
    <t>5415</t>
  </si>
  <si>
    <t>2336</t>
  </si>
  <si>
    <t>MAD TAMARINO</t>
  </si>
  <si>
    <t>3930</t>
  </si>
  <si>
    <t>3618 e 3722</t>
  </si>
  <si>
    <t>OK</t>
  </si>
  <si>
    <t>MAD VITORIA</t>
  </si>
  <si>
    <t>407 e 408</t>
  </si>
  <si>
    <t>1661</t>
  </si>
  <si>
    <t>588</t>
  </si>
  <si>
    <t>2304</t>
  </si>
  <si>
    <t>719</t>
  </si>
  <si>
    <t>3261</t>
  </si>
  <si>
    <t>MADEFLONA</t>
  </si>
  <si>
    <t>1493</t>
  </si>
  <si>
    <t>OK (Enviado)</t>
  </si>
  <si>
    <t>1797</t>
  </si>
  <si>
    <t>1387</t>
  </si>
  <si>
    <t>2350</t>
  </si>
  <si>
    <t>1462</t>
  </si>
  <si>
    <t>2545</t>
  </si>
  <si>
    <t>11230</t>
  </si>
  <si>
    <t>2646</t>
  </si>
  <si>
    <t>1709</t>
  </si>
  <si>
    <t>2960</t>
  </si>
  <si>
    <t>1805</t>
  </si>
  <si>
    <t>3088</t>
  </si>
  <si>
    <t>MADERAZI</t>
  </si>
  <si>
    <t>8587</t>
  </si>
  <si>
    <t>3604</t>
  </si>
  <si>
    <t>8665</t>
  </si>
  <si>
    <t>3717</t>
  </si>
  <si>
    <t>866</t>
  </si>
  <si>
    <t>4133</t>
  </si>
  <si>
    <t>WD NEUHAUS</t>
  </si>
  <si>
    <t>A N MATERIAL DE CONSTRUCAO</t>
  </si>
  <si>
    <t>Alto Rio Novo (ES)</t>
  </si>
  <si>
    <t>A POLLI MARCENARIA COM DE MAD</t>
  </si>
  <si>
    <t>V. N. Imigrante (ES)</t>
  </si>
  <si>
    <t>4348</t>
  </si>
  <si>
    <t>ADRIANO MILANEZ - MILANEZ MAD</t>
  </si>
  <si>
    <t>3532</t>
  </si>
  <si>
    <t>3711</t>
  </si>
  <si>
    <t>Envio Solicitado</t>
  </si>
  <si>
    <t>4139</t>
  </si>
  <si>
    <t>GABRIELENSE</t>
  </si>
  <si>
    <t>AGRICOL COM E REP LTDA</t>
  </si>
  <si>
    <t>G. Lindemberg (ES)</t>
  </si>
  <si>
    <t>7</t>
  </si>
  <si>
    <t>2980</t>
  </si>
  <si>
    <t>02 - Noroeste</t>
  </si>
  <si>
    <t>AGRIZZI MAT CONST COM - c presa</t>
  </si>
  <si>
    <t>1</t>
  </si>
  <si>
    <t>07 - Metropolitana</t>
  </si>
  <si>
    <t>M A L AMANCIO</t>
  </si>
  <si>
    <t>AGRIZZI MAT CONST COMERCIO</t>
  </si>
  <si>
    <t>Cariacica (ES)</t>
  </si>
  <si>
    <t>1979</t>
  </si>
  <si>
    <t>08 - Montanhas</t>
  </si>
  <si>
    <t>665</t>
  </si>
  <si>
    <t>2846</t>
  </si>
  <si>
    <t>1729</t>
  </si>
  <si>
    <t>CONFERIR</t>
  </si>
  <si>
    <t>MADEPOL</t>
  </si>
  <si>
    <t>5013</t>
  </si>
  <si>
    <t>2879</t>
  </si>
  <si>
    <t>5063</t>
  </si>
  <si>
    <t>2981</t>
  </si>
  <si>
    <t>5177</t>
  </si>
  <si>
    <t>3392</t>
  </si>
  <si>
    <t>5286</t>
  </si>
  <si>
    <t>3700</t>
  </si>
  <si>
    <t>5307</t>
  </si>
  <si>
    <t>3990</t>
  </si>
  <si>
    <t>REVISAR</t>
  </si>
  <si>
    <t>8600</t>
  </si>
  <si>
    <t>3588</t>
  </si>
  <si>
    <t>R$ 845,00 recebido a mais - Referente a NF que foi retirada em nome do cliente Viwa</t>
  </si>
  <si>
    <t>Contato Cliente</t>
  </si>
  <si>
    <t>031</t>
  </si>
  <si>
    <t>4270</t>
  </si>
  <si>
    <t>4240</t>
  </si>
  <si>
    <t>AGROMIX MATERIAIS DE CONST</t>
  </si>
  <si>
    <t>D. Martins (ES)</t>
  </si>
  <si>
    <t>1044</t>
  </si>
  <si>
    <t>4140</t>
  </si>
  <si>
    <t>ALDA VALERIA (REFUGO JRS)</t>
  </si>
  <si>
    <t>ALDA VALERIA (REFUGO SPETTUS)</t>
  </si>
  <si>
    <t>ALDA VALERIA / DOFFER</t>
  </si>
  <si>
    <t>4731</t>
  </si>
  <si>
    <t>2123</t>
  </si>
  <si>
    <t>ALDA VALERIA FERNANDES DA SILVA</t>
  </si>
  <si>
    <t>11229</t>
  </si>
  <si>
    <t>2708</t>
  </si>
  <si>
    <t>ALVES SHOPPING DA CONST</t>
  </si>
  <si>
    <t>B. S. Francisco (ES)</t>
  </si>
  <si>
    <t>2487</t>
  </si>
  <si>
    <t>035</t>
  </si>
  <si>
    <t>4260</t>
  </si>
  <si>
    <t>Revisar</t>
  </si>
  <si>
    <t>ANDRE ZOPPI MANEA</t>
  </si>
  <si>
    <t>3</t>
  </si>
  <si>
    <t>2366</t>
  </si>
  <si>
    <t>ARAUJO &amp; BREMENKAMP</t>
  </si>
  <si>
    <t>3239</t>
  </si>
  <si>
    <t>2148</t>
  </si>
  <si>
    <t>2298</t>
  </si>
  <si>
    <t>1319</t>
  </si>
  <si>
    <t>A VISTA</t>
  </si>
  <si>
    <t>DIFERENÇA DEVOLVIDA</t>
  </si>
  <si>
    <t>1681</t>
  </si>
  <si>
    <t>8384</t>
  </si>
  <si>
    <t>3047</t>
  </si>
  <si>
    <t>ARAUJO &amp; BREMENKAMP (BREMAD)</t>
  </si>
  <si>
    <t>1463</t>
  </si>
  <si>
    <t>2449</t>
  </si>
  <si>
    <t>ARLU MADEIRAS</t>
  </si>
  <si>
    <t>Sta. Teresa (ES)</t>
  </si>
  <si>
    <t>2168</t>
  </si>
  <si>
    <t>05 - Santas</t>
  </si>
  <si>
    <t>2664</t>
  </si>
  <si>
    <t>1603</t>
  </si>
  <si>
    <t>5186</t>
  </si>
  <si>
    <t>2125</t>
  </si>
  <si>
    <t>5254</t>
  </si>
  <si>
    <t>2201</t>
  </si>
  <si>
    <t>156</t>
  </si>
  <si>
    <t>2672 e 2701</t>
  </si>
  <si>
    <t>405</t>
  </si>
  <si>
    <t>3212</t>
  </si>
  <si>
    <t>1609</t>
  </si>
  <si>
    <t>448</t>
  </si>
  <si>
    <t>1867</t>
  </si>
  <si>
    <t>472</t>
  </si>
  <si>
    <t>1974</t>
  </si>
  <si>
    <t>499</t>
  </si>
  <si>
    <t>2124</t>
  </si>
  <si>
    <t>577 e 578</t>
  </si>
  <si>
    <t>2261</t>
  </si>
  <si>
    <t>640</t>
  </si>
  <si>
    <t>2514</t>
  </si>
  <si>
    <t>658</t>
  </si>
  <si>
    <t>2644</t>
  </si>
  <si>
    <t>663</t>
  </si>
  <si>
    <t>2875</t>
  </si>
  <si>
    <t>704</t>
  </si>
  <si>
    <t>3135</t>
  </si>
  <si>
    <t>736</t>
  </si>
  <si>
    <t>3326</t>
  </si>
  <si>
    <t>772</t>
  </si>
  <si>
    <t>3412</t>
  </si>
  <si>
    <t>836</t>
  </si>
  <si>
    <t>3760</t>
  </si>
  <si>
    <t>4764</t>
  </si>
  <si>
    <t>2230</t>
  </si>
  <si>
    <t>ARMANI MADEIRAS</t>
  </si>
  <si>
    <t>3387</t>
  </si>
  <si>
    <t>ARMANI MADEIRAS LTDA EPP</t>
  </si>
  <si>
    <t>3775</t>
  </si>
  <si>
    <t>ARMAZEM DO PAIOL</t>
  </si>
  <si>
    <t>Guarapari (ES)</t>
  </si>
  <si>
    <t>1041</t>
  </si>
  <si>
    <t>2667</t>
  </si>
  <si>
    <t>851</t>
  </si>
  <si>
    <t>3982</t>
  </si>
  <si>
    <t>5252</t>
  </si>
  <si>
    <t>3687</t>
  </si>
  <si>
    <t>8585</t>
  </si>
  <si>
    <t>3587</t>
  </si>
  <si>
    <t>EM REVISÃO</t>
  </si>
  <si>
    <t>3987</t>
  </si>
  <si>
    <t>B F MADEIRAS</t>
  </si>
  <si>
    <t>Aracruz (ES)</t>
  </si>
  <si>
    <t>1421 e 248</t>
  </si>
  <si>
    <t>3733</t>
  </si>
  <si>
    <t>06 - Central</t>
  </si>
  <si>
    <t>1446</t>
  </si>
  <si>
    <t>3823</t>
  </si>
  <si>
    <t>1928</t>
  </si>
  <si>
    <t>1 Parcela paga por PIX direto ao fornecedor (15/04/24) - Restante enviado por Correios.</t>
  </si>
  <si>
    <t>2028</t>
  </si>
  <si>
    <t>1712</t>
  </si>
  <si>
    <t>2962</t>
  </si>
  <si>
    <t>11533</t>
  </si>
  <si>
    <t>12121</t>
  </si>
  <si>
    <t>3625</t>
  </si>
  <si>
    <t>4854</t>
  </si>
  <si>
    <t>2393</t>
  </si>
  <si>
    <t>4969</t>
  </si>
  <si>
    <t>2618</t>
  </si>
  <si>
    <t>8339</t>
  </si>
  <si>
    <t>2845</t>
  </si>
  <si>
    <t>1529</t>
  </si>
  <si>
    <t>4168</t>
  </si>
  <si>
    <t>B F MADEIRAS LTDA EPP</t>
  </si>
  <si>
    <t>12608</t>
  </si>
  <si>
    <t>4064</t>
  </si>
  <si>
    <t>B M MADEIRAS</t>
  </si>
  <si>
    <t>724</t>
  </si>
  <si>
    <t>3209</t>
  </si>
  <si>
    <t>BMG MADEIRAS</t>
  </si>
  <si>
    <t>9</t>
  </si>
  <si>
    <t>2888</t>
  </si>
  <si>
    <t>2687</t>
  </si>
  <si>
    <t>3578</t>
  </si>
  <si>
    <t>316</t>
  </si>
  <si>
    <t>2971</t>
  </si>
  <si>
    <t>702</t>
  </si>
  <si>
    <t>3120</t>
  </si>
  <si>
    <t>5291</t>
  </si>
  <si>
    <t>3829</t>
  </si>
  <si>
    <t>BOLDT MADEIRAS</t>
  </si>
  <si>
    <t>Sta. Maria Jetibá (ES)</t>
  </si>
  <si>
    <t>1107</t>
  </si>
  <si>
    <t>2789</t>
  </si>
  <si>
    <t>2325</t>
  </si>
  <si>
    <t>3667</t>
  </si>
  <si>
    <t>2610</t>
  </si>
  <si>
    <t>3685</t>
  </si>
  <si>
    <t>2630</t>
  </si>
  <si>
    <t>3765</t>
  </si>
  <si>
    <t>2843</t>
  </si>
  <si>
    <t>3926</t>
  </si>
  <si>
    <t>3413</t>
  </si>
  <si>
    <t>586</t>
  </si>
  <si>
    <t>2345</t>
  </si>
  <si>
    <t>616</t>
  </si>
  <si>
    <t>2457</t>
  </si>
  <si>
    <t>1925</t>
  </si>
  <si>
    <t>4928</t>
  </si>
  <si>
    <t>2558</t>
  </si>
  <si>
    <t>4998</t>
  </si>
  <si>
    <t>2704</t>
  </si>
  <si>
    <t>5051</t>
  </si>
  <si>
    <t>2920</t>
  </si>
  <si>
    <t>5072</t>
  </si>
  <si>
    <t>2941</t>
  </si>
  <si>
    <t>5097</t>
  </si>
  <si>
    <t>3091</t>
  </si>
  <si>
    <t>5214</t>
  </si>
  <si>
    <t>3571</t>
  </si>
  <si>
    <t>8239</t>
  </si>
  <si>
    <t>2747</t>
  </si>
  <si>
    <t>4352</t>
  </si>
  <si>
    <t>BRAVIM &amp; LEMOS MAT CONST</t>
  </si>
  <si>
    <t>763</t>
  </si>
  <si>
    <t>3620</t>
  </si>
  <si>
    <t>803</t>
  </si>
  <si>
    <t>3739</t>
  </si>
  <si>
    <t>1099</t>
  </si>
  <si>
    <t>4291</t>
  </si>
  <si>
    <t>BRAVIM &amp; LEMOS MAT DE CONST</t>
  </si>
  <si>
    <t>1504</t>
  </si>
  <si>
    <t>Recebido dia 26/12/23 no Sicoob (Ogura Rep)</t>
  </si>
  <si>
    <t>5185</t>
  </si>
  <si>
    <t>2143</t>
  </si>
  <si>
    <t>5418</t>
  </si>
  <si>
    <t>2414</t>
  </si>
  <si>
    <t>54</t>
  </si>
  <si>
    <t>2556</t>
  </si>
  <si>
    <t>283</t>
  </si>
  <si>
    <t>2838</t>
  </si>
  <si>
    <t>376</t>
  </si>
  <si>
    <t>3084</t>
  </si>
  <si>
    <t>639</t>
  </si>
  <si>
    <t>3460</t>
  </si>
  <si>
    <t>874</t>
  </si>
  <si>
    <t>3807</t>
  </si>
  <si>
    <t>BRENA PEREIRA BATISTI</t>
  </si>
  <si>
    <t>Porto Seguro (BA)</t>
  </si>
  <si>
    <t>627</t>
  </si>
  <si>
    <t>2481</t>
  </si>
  <si>
    <t>13 - BA</t>
  </si>
  <si>
    <t>688</t>
  </si>
  <si>
    <t>2869</t>
  </si>
  <si>
    <t>CANIVETE MATERIAL DE CONSTRUCAO</t>
  </si>
  <si>
    <t>2834</t>
  </si>
  <si>
    <t>CARROCERIAS GUARANA</t>
  </si>
  <si>
    <t>3954</t>
  </si>
  <si>
    <t>CARROCERIAS ITAGUACU</t>
  </si>
  <si>
    <t>Itaguaçu (ES)</t>
  </si>
  <si>
    <t>5143</t>
  </si>
  <si>
    <t>3301</t>
  </si>
  <si>
    <t>IMPERIO WOODS</t>
  </si>
  <si>
    <t>CARROCERIAS NACIONAL</t>
  </si>
  <si>
    <t>Colatina (ES)</t>
  </si>
  <si>
    <t>Negociou com o fornecedor o pagamento à vista por R$ 40.000,00</t>
  </si>
  <si>
    <t>3674</t>
  </si>
  <si>
    <t>2629</t>
  </si>
  <si>
    <t>11118</t>
  </si>
  <si>
    <t>2490</t>
  </si>
  <si>
    <t>11658</t>
  </si>
  <si>
    <t>3154</t>
  </si>
  <si>
    <t>1977</t>
  </si>
  <si>
    <t>Pgto à vista c/ 4% desc. p/ Ogura Rep. O acerto c/ fornecedor será feito por Ogura com 5% desc.</t>
  </si>
  <si>
    <t>7518</t>
  </si>
  <si>
    <t>1622</t>
  </si>
  <si>
    <t>CARROCERIAS NACIONAL LTDA</t>
  </si>
  <si>
    <t>3901</t>
  </si>
  <si>
    <t>3601</t>
  </si>
  <si>
    <t>CARROCERIAS PERIM</t>
  </si>
  <si>
    <t>1753</t>
  </si>
  <si>
    <t>2253</t>
  </si>
  <si>
    <t>3686</t>
  </si>
  <si>
    <t>2626</t>
  </si>
  <si>
    <t>3764</t>
  </si>
  <si>
    <t>2884</t>
  </si>
  <si>
    <t>3925</t>
  </si>
  <si>
    <t>3395</t>
  </si>
  <si>
    <t>2391</t>
  </si>
  <si>
    <t>1339</t>
  </si>
  <si>
    <t>5112</t>
  </si>
  <si>
    <t>3172</t>
  </si>
  <si>
    <t>CASA SAO ROQUE MAT DE CONST</t>
  </si>
  <si>
    <t>1594</t>
  </si>
  <si>
    <t>C. RAIZES</t>
  </si>
  <si>
    <t>119</t>
  </si>
  <si>
    <t>3785</t>
  </si>
  <si>
    <t>??? era pra receber ???</t>
  </si>
  <si>
    <t>CASABELA MAT DE CONST</t>
  </si>
  <si>
    <t>3929</t>
  </si>
  <si>
    <t>3617</t>
  </si>
  <si>
    <t>CASABELA MATERIAIS DE CONST</t>
  </si>
  <si>
    <t>664</t>
  </si>
  <si>
    <t>2065</t>
  </si>
  <si>
    <t>ALTERAR DATA BOM PARA CH</t>
  </si>
  <si>
    <t>2263</t>
  </si>
  <si>
    <t>6 e 7</t>
  </si>
  <si>
    <t>1727 e 1749</t>
  </si>
  <si>
    <t>Teve diferença - FALTOU - 1 janela (pagamento misto - pix e cheques p/ ogura)</t>
  </si>
  <si>
    <t>2141</t>
  </si>
  <si>
    <t>3386</t>
  </si>
  <si>
    <t>3539</t>
  </si>
  <si>
    <t>446</t>
  </si>
  <si>
    <t>1894</t>
  </si>
  <si>
    <t>500</t>
  </si>
  <si>
    <t>2130</t>
  </si>
  <si>
    <t>660</t>
  </si>
  <si>
    <t>2743</t>
  </si>
  <si>
    <t>5107</t>
  </si>
  <si>
    <t>3086</t>
  </si>
  <si>
    <t>8722</t>
  </si>
  <si>
    <t>3777</t>
  </si>
  <si>
    <t>4156</t>
  </si>
  <si>
    <t>COLUNA MATERIAL DE CONST</t>
  </si>
  <si>
    <t>Serra (ES)</t>
  </si>
  <si>
    <t>4331</t>
  </si>
  <si>
    <t>COM DE MAD PELANDA (C. Person)</t>
  </si>
  <si>
    <t>COMERCIAL BRAUNA</t>
  </si>
  <si>
    <t>Ecoporanga (ES)</t>
  </si>
  <si>
    <t>643</t>
  </si>
  <si>
    <t>2575</t>
  </si>
  <si>
    <t>01 - Norte</t>
  </si>
  <si>
    <t>4836</t>
  </si>
  <si>
    <t>2265</t>
  </si>
  <si>
    <t>COMERCIAL MILLANO LTDA EPP</t>
  </si>
  <si>
    <t>M. Floriano (ES)</t>
  </si>
  <si>
    <t>08//11/23</t>
  </si>
  <si>
    <t>COMERCIAL PARTELLI</t>
  </si>
  <si>
    <t>Vargem Alta (ES)</t>
  </si>
  <si>
    <t>1175</t>
  </si>
  <si>
    <t>2899</t>
  </si>
  <si>
    <t>11 - Sul</t>
  </si>
  <si>
    <t>25/04/24 e 26/05/24</t>
  </si>
  <si>
    <t>5116 e 5184</t>
  </si>
  <si>
    <t>2064 e 2113</t>
  </si>
  <si>
    <t>2160</t>
  </si>
  <si>
    <t>3666</t>
  </si>
  <si>
    <t>2463</t>
  </si>
  <si>
    <t>809</t>
  </si>
  <si>
    <t>3673</t>
  </si>
  <si>
    <t>COMERCIO DE MADEIRA CANAA</t>
  </si>
  <si>
    <t>2949</t>
  </si>
  <si>
    <t>4920</t>
  </si>
  <si>
    <t>2509</t>
  </si>
  <si>
    <t>5049</t>
  </si>
  <si>
    <t>2873</t>
  </si>
  <si>
    <t>5124</t>
  </si>
  <si>
    <t>3206</t>
  </si>
  <si>
    <t>5216</t>
  </si>
  <si>
    <t>3389</t>
  </si>
  <si>
    <t>COMERCIO DE MADEIRA PELANDA</t>
  </si>
  <si>
    <t>2</t>
  </si>
  <si>
    <t>3723 e 3766</t>
  </si>
  <si>
    <t>5191</t>
  </si>
  <si>
    <t>3471</t>
  </si>
  <si>
    <t>MADEHAUS</t>
  </si>
  <si>
    <t>CONFORTARE COLCHOES E BASES</t>
  </si>
  <si>
    <t>CONSTRUIR CABRAL LTDA ME</t>
  </si>
  <si>
    <t>T. de Freitas (BA)</t>
  </si>
  <si>
    <t>5</t>
  </si>
  <si>
    <t>2106</t>
  </si>
  <si>
    <t>CONSTRUSUL EMPREENDIMENTOS</t>
  </si>
  <si>
    <t>Mimoso do Sul (ES)</t>
  </si>
  <si>
    <t>3260 e 3271</t>
  </si>
  <si>
    <t>CONSTRUTORA SOMAR</t>
  </si>
  <si>
    <t>CREUZIMAR RIBEIRO DA SILVA</t>
  </si>
  <si>
    <t>1084</t>
  </si>
  <si>
    <t>2709</t>
  </si>
  <si>
    <t>SOLICITAMOS BOLETOS PELA A MADEPOL</t>
  </si>
  <si>
    <t>D.M (ADEILSON)</t>
  </si>
  <si>
    <t>D.M (REFUGO JRS)</t>
  </si>
  <si>
    <t>D.M MATERIAL DE CONSTRUCAO</t>
  </si>
  <si>
    <t>1083</t>
  </si>
  <si>
    <t>2711</t>
  </si>
  <si>
    <t>1155</t>
  </si>
  <si>
    <t>2929</t>
  </si>
  <si>
    <t>2203</t>
  </si>
  <si>
    <t>2488</t>
  </si>
  <si>
    <t>3516</t>
  </si>
  <si>
    <t>8432</t>
  </si>
  <si>
    <t>3070</t>
  </si>
  <si>
    <t>807</t>
  </si>
  <si>
    <t>3085</t>
  </si>
  <si>
    <t>8598</t>
  </si>
  <si>
    <t>3357</t>
  </si>
  <si>
    <t>DALLYPTUS PRODUTOS DE MAD</t>
  </si>
  <si>
    <t>Nova Venécia (ES)</t>
  </si>
  <si>
    <t>4877</t>
  </si>
  <si>
    <t>2440</t>
  </si>
  <si>
    <t>5015</t>
  </si>
  <si>
    <t>2737</t>
  </si>
  <si>
    <t>5102</t>
  </si>
  <si>
    <t>3011</t>
  </si>
  <si>
    <t>5166</t>
  </si>
  <si>
    <t>3363</t>
  </si>
  <si>
    <t>DAMIANA PEREIRA DE SOUZA BRITO ME</t>
  </si>
  <si>
    <t>S. C. Cabrália (BA)</t>
  </si>
  <si>
    <t>455</t>
  </si>
  <si>
    <t>1789</t>
  </si>
  <si>
    <t>DEPOSITO DE MADEIRAS CALIARI</t>
  </si>
  <si>
    <t>Sao Mateus (ES)</t>
  </si>
  <si>
    <t>3946</t>
  </si>
  <si>
    <t>03 - Litoral Norte</t>
  </si>
  <si>
    <t>São Mateus (ES)</t>
  </si>
  <si>
    <t>2833</t>
  </si>
  <si>
    <t>3174</t>
  </si>
  <si>
    <t>3544</t>
  </si>
  <si>
    <t>466</t>
  </si>
  <si>
    <t>1908</t>
  </si>
  <si>
    <t>591</t>
  </si>
  <si>
    <t>2377</t>
  </si>
  <si>
    <t>661</t>
  </si>
  <si>
    <t>2832</t>
  </si>
  <si>
    <t>718</t>
  </si>
  <si>
    <t>3244</t>
  </si>
  <si>
    <t>11675</t>
  </si>
  <si>
    <t>3124</t>
  </si>
  <si>
    <t>7494</t>
  </si>
  <si>
    <t>1600</t>
  </si>
  <si>
    <t>Pagou ICMS</t>
  </si>
  <si>
    <t>PAGOU A MAIS O VALOR DO ICMS</t>
  </si>
  <si>
    <t>8340</t>
  </si>
  <si>
    <t>2831</t>
  </si>
  <si>
    <t>S. BROCADO</t>
  </si>
  <si>
    <t>12</t>
  </si>
  <si>
    <t>3704</t>
  </si>
  <si>
    <t>1019</t>
  </si>
  <si>
    <t>4141</t>
  </si>
  <si>
    <t>3967</t>
  </si>
  <si>
    <t>12887</t>
  </si>
  <si>
    <t>4297</t>
  </si>
  <si>
    <t>4347</t>
  </si>
  <si>
    <t>DEPOSITO DE MADEIRAS CALIARI LTDA</t>
  </si>
  <si>
    <t>3542</t>
  </si>
  <si>
    <t>DISCHER (VANIA)</t>
  </si>
  <si>
    <t>3943</t>
  </si>
  <si>
    <t>PAGANDO...</t>
  </si>
  <si>
    <t>4050</t>
  </si>
  <si>
    <t>1917</t>
  </si>
  <si>
    <t>DISCHER MAT DE CONSTRUCAO</t>
  </si>
  <si>
    <t>2496</t>
  </si>
  <si>
    <t>28/08/25</t>
  </si>
  <si>
    <t>3324</t>
  </si>
  <si>
    <t>449</t>
  </si>
  <si>
    <t>1845</t>
  </si>
  <si>
    <t>587</t>
  </si>
  <si>
    <t>2323</t>
  </si>
  <si>
    <t>720</t>
  </si>
  <si>
    <t>2922</t>
  </si>
  <si>
    <t>DISCHER MATERIAL DE CONST</t>
  </si>
  <si>
    <t>12695</t>
  </si>
  <si>
    <t>4101</t>
  </si>
  <si>
    <t>?</t>
  </si>
  <si>
    <t>4295</t>
  </si>
  <si>
    <t>DOMINGOS SARTOR</t>
  </si>
  <si>
    <t>2295</t>
  </si>
  <si>
    <t>DUAL MATERIAL DE CONSTRUCAO</t>
  </si>
  <si>
    <t>2547</t>
  </si>
  <si>
    <t>2752</t>
  </si>
  <si>
    <t>111</t>
  </si>
  <si>
    <t>3827</t>
  </si>
  <si>
    <t>4</t>
  </si>
  <si>
    <t>3814</t>
  </si>
  <si>
    <t>ECO MIX MATERIAL PARA CONST</t>
  </si>
  <si>
    <t>1632</t>
  </si>
  <si>
    <t>treta do cheque depositado antes da data</t>
  </si>
  <si>
    <t>454</t>
  </si>
  <si>
    <t>1877</t>
  </si>
  <si>
    <t>ELIZEU MATERIAL DE CONST</t>
  </si>
  <si>
    <t>Vila Pavão (ES)</t>
  </si>
  <si>
    <t>ENVIOU PELOS CORREIOS - Pagar Sedex</t>
  </si>
  <si>
    <t>2703</t>
  </si>
  <si>
    <t>ELIZEU MATERIAL DE CONST (GHR)</t>
  </si>
  <si>
    <t>ESMERALDO</t>
  </si>
  <si>
    <t>Vila Velha (ES)</t>
  </si>
  <si>
    <t>3678</t>
  </si>
  <si>
    <t>ESMERALDO (FRANCISCHETTO)</t>
  </si>
  <si>
    <t>ESQUADRIAS BREMENKAMP</t>
  </si>
  <si>
    <t>3023</t>
  </si>
  <si>
    <t>ESQUADRIAS CANAA</t>
  </si>
  <si>
    <t>S. R. do Canaã (ES)</t>
  </si>
  <si>
    <t>1643</t>
  </si>
  <si>
    <t>1762</t>
  </si>
  <si>
    <t>470</t>
  </si>
  <si>
    <t>1975</t>
  </si>
  <si>
    <t>701</t>
  </si>
  <si>
    <t>3130</t>
  </si>
  <si>
    <t>770</t>
  </si>
  <si>
    <t>3351</t>
  </si>
  <si>
    <t>804</t>
  </si>
  <si>
    <t>844</t>
  </si>
  <si>
    <t>3981</t>
  </si>
  <si>
    <t>2126</t>
  </si>
  <si>
    <t>10920</t>
  </si>
  <si>
    <t>2452</t>
  </si>
  <si>
    <t>11390</t>
  </si>
  <si>
    <t>2756</t>
  </si>
  <si>
    <t>11479</t>
  </si>
  <si>
    <t>2935</t>
  </si>
  <si>
    <t>11763</t>
  </si>
  <si>
    <t>3240</t>
  </si>
  <si>
    <t>1931</t>
  </si>
  <si>
    <t>3302</t>
  </si>
  <si>
    <t>12854</t>
  </si>
  <si>
    <t>4333</t>
  </si>
  <si>
    <t>ESQUADRIAS CANAA (M T)</t>
  </si>
  <si>
    <t>11440</t>
  </si>
  <si>
    <t>ESQUADRIAS CANAA (MAREL)</t>
  </si>
  <si>
    <t>11443</t>
  </si>
  <si>
    <t>11460</t>
  </si>
  <si>
    <t>ESQUADRIAS CANAA (MT)</t>
  </si>
  <si>
    <t>10884</t>
  </si>
  <si>
    <t>2360</t>
  </si>
  <si>
    <t>ESQUADRIAS GOIABEIRAS</t>
  </si>
  <si>
    <t>Vitória (ES)</t>
  </si>
  <si>
    <t>2398</t>
  </si>
  <si>
    <t>8</t>
  </si>
  <si>
    <t>2681</t>
  </si>
  <si>
    <t>6</t>
  </si>
  <si>
    <t>3163</t>
  </si>
  <si>
    <t>1993</t>
  </si>
  <si>
    <t>2757</t>
  </si>
  <si>
    <t>3168</t>
  </si>
  <si>
    <t>7760</t>
  </si>
  <si>
    <t>2002</t>
  </si>
  <si>
    <t>Receber o restante da nota (Deduzindo o valor do Boleto de R$ 886,27)</t>
  </si>
  <si>
    <t>ESQUADRIAS SAO RAFAEL</t>
  </si>
  <si>
    <t>1968</t>
  </si>
  <si>
    <t>2326</t>
  </si>
  <si>
    <t>4066</t>
  </si>
  <si>
    <t>589</t>
  </si>
  <si>
    <t>2371</t>
  </si>
  <si>
    <t>641</t>
  </si>
  <si>
    <t>2581</t>
  </si>
  <si>
    <t>Acompanhar</t>
  </si>
  <si>
    <t>12244</t>
  </si>
  <si>
    <t>3735</t>
  </si>
  <si>
    <t>867</t>
  </si>
  <si>
    <t>4067</t>
  </si>
  <si>
    <t>ESQUADRIAS SAO RAFAEL LTDA</t>
  </si>
  <si>
    <t>739</t>
  </si>
  <si>
    <t>3275</t>
  </si>
  <si>
    <t>EWALD MOVEIS E ESQUADRIAS</t>
  </si>
  <si>
    <t>5042</t>
  </si>
  <si>
    <t>2898</t>
  </si>
  <si>
    <t>5165</t>
  </si>
  <si>
    <t>3354</t>
  </si>
  <si>
    <t>F G QUEIROZ &amp; CIA</t>
  </si>
  <si>
    <t>1707</t>
  </si>
  <si>
    <t>pago Luciano</t>
  </si>
  <si>
    <t>457</t>
  </si>
  <si>
    <t>1948</t>
  </si>
  <si>
    <t>625</t>
  </si>
  <si>
    <t>2564</t>
  </si>
  <si>
    <t>684</t>
  </si>
  <si>
    <t>2951</t>
  </si>
  <si>
    <t>750</t>
  </si>
  <si>
    <t>3374</t>
  </si>
  <si>
    <t>FABRICA DE ESQUADRIAS LIDER</t>
  </si>
  <si>
    <t>2758</t>
  </si>
  <si>
    <t>3140</t>
  </si>
  <si>
    <t>3400</t>
  </si>
  <si>
    <t>3980</t>
  </si>
  <si>
    <t>4939</t>
  </si>
  <si>
    <t>2598</t>
  </si>
  <si>
    <t>FABRIS MATERIAL DE CONST</t>
  </si>
  <si>
    <t>1073</t>
  </si>
  <si>
    <t>2719</t>
  </si>
  <si>
    <t>CICHELERO</t>
  </si>
  <si>
    <t>1015</t>
  </si>
  <si>
    <t>3170</t>
  </si>
  <si>
    <t>2895</t>
  </si>
  <si>
    <t>2343</t>
  </si>
  <si>
    <t>4290</t>
  </si>
  <si>
    <t>FERREIRA &amp; NESPOLI</t>
  </si>
  <si>
    <t>Sooretama (ES)</t>
  </si>
  <si>
    <t>1248</t>
  </si>
  <si>
    <t>3043</t>
  </si>
  <si>
    <t>A RECEBER 150,00 (Icms de Frete)</t>
  </si>
  <si>
    <t>2760</t>
  </si>
  <si>
    <t>2027</t>
  </si>
  <si>
    <t>1826</t>
  </si>
  <si>
    <t>3098</t>
  </si>
  <si>
    <t>11674</t>
  </si>
  <si>
    <t>2043</t>
  </si>
  <si>
    <t>3419</t>
  </si>
  <si>
    <t>1575</t>
  </si>
  <si>
    <t>PRAZO ESTENDIDO</t>
  </si>
  <si>
    <t>2024</t>
  </si>
  <si>
    <t>New Item</t>
  </si>
  <si>
    <t>041</t>
  </si>
  <si>
    <t>4272</t>
  </si>
  <si>
    <t>FERREIRA E NESPOLI (REFUGO JRS)</t>
  </si>
  <si>
    <t>FIORIN MADEIRAS LTDA EPP</t>
  </si>
  <si>
    <t>2984</t>
  </si>
  <si>
    <t>FRANCISCARLOS</t>
  </si>
  <si>
    <t>FRANCISCHETTO</t>
  </si>
  <si>
    <t>FRANCISCHETTO COM IND MAD</t>
  </si>
  <si>
    <t>4012</t>
  </si>
  <si>
    <t>475</t>
  </si>
  <si>
    <t>1970</t>
  </si>
  <si>
    <t>FRANCISCHETTO MAT DE CONST</t>
  </si>
  <si>
    <t>861</t>
  </si>
  <si>
    <t>4108 e 4153</t>
  </si>
  <si>
    <t>1297</t>
  </si>
  <si>
    <t>3014</t>
  </si>
  <si>
    <t>2041</t>
  </si>
  <si>
    <t>2688</t>
  </si>
  <si>
    <t>3040</t>
  </si>
  <si>
    <t>3325</t>
  </si>
  <si>
    <t>3582</t>
  </si>
  <si>
    <t>775</t>
  </si>
  <si>
    <t>3445</t>
  </si>
  <si>
    <t>4358</t>
  </si>
  <si>
    <t>FURLAN MATERIAL DE CONST</t>
  </si>
  <si>
    <t>2790</t>
  </si>
  <si>
    <t>O VALOR DA PORTA VEIO ERRADO NO INFORME (cliente pagou errado?)</t>
  </si>
  <si>
    <t>GAMA MADEIREIRA</t>
  </si>
  <si>
    <t>Jaguaré (ES)</t>
  </si>
  <si>
    <t>1468</t>
  </si>
  <si>
    <t>GEO SOL MATERIAL DE CONST</t>
  </si>
  <si>
    <t>Pedro Canário (ES)</t>
  </si>
  <si>
    <t>1407</t>
  </si>
  <si>
    <t>3708</t>
  </si>
  <si>
    <t>P. Canário (ES)</t>
  </si>
  <si>
    <t>1469</t>
  </si>
  <si>
    <t>3909</t>
  </si>
  <si>
    <t>11676</t>
  </si>
  <si>
    <t>3123</t>
  </si>
  <si>
    <t>011</t>
  </si>
  <si>
    <t>3852</t>
  </si>
  <si>
    <t>LUCIANO</t>
  </si>
  <si>
    <t>GILCA CANDIDA DE OLIVEIRA</t>
  </si>
  <si>
    <t>Mucuri (BA)</t>
  </si>
  <si>
    <t>12720</t>
  </si>
  <si>
    <t>4121</t>
  </si>
  <si>
    <t>GILCA CANDIDA DE OLIVEIRA ME</t>
  </si>
  <si>
    <t>681</t>
  </si>
  <si>
    <t>2852</t>
  </si>
  <si>
    <t>VAI ENTRAR PRA ACERTO DE COMISSAO COM LUCIANO</t>
  </si>
  <si>
    <t>GRUPO SOLO (LUCAS FRANCISCO)</t>
  </si>
  <si>
    <t>Vila Valério (ES)</t>
  </si>
  <si>
    <t>19/11/25</t>
  </si>
  <si>
    <t>12158</t>
  </si>
  <si>
    <t>3619</t>
  </si>
  <si>
    <t>GRUPO SOLO CONST MAT CONST</t>
  </si>
  <si>
    <t>120</t>
  </si>
  <si>
    <t>3965</t>
  </si>
  <si>
    <t>2232</t>
  </si>
  <si>
    <t>2518</t>
  </si>
  <si>
    <t>3000</t>
  </si>
  <si>
    <t>3235</t>
  </si>
  <si>
    <t>3527</t>
  </si>
  <si>
    <t>2110</t>
  </si>
  <si>
    <t>4919</t>
  </si>
  <si>
    <t>2511</t>
  </si>
  <si>
    <t>4960</t>
  </si>
  <si>
    <t>2641</t>
  </si>
  <si>
    <t>5016</t>
  </si>
  <si>
    <t>2880</t>
  </si>
  <si>
    <t>5188</t>
  </si>
  <si>
    <t>3425</t>
  </si>
  <si>
    <t>5306</t>
  </si>
  <si>
    <t>3918</t>
  </si>
  <si>
    <t>8487</t>
  </si>
  <si>
    <t>3361</t>
  </si>
  <si>
    <t>8531</t>
  </si>
  <si>
    <t>OK (Motorista)</t>
  </si>
  <si>
    <t>1208</t>
  </si>
  <si>
    <t>3910</t>
  </si>
  <si>
    <t>GUARAMAI MATERIAL DE CONST</t>
  </si>
  <si>
    <t>638</t>
  </si>
  <si>
    <t>3382</t>
  </si>
  <si>
    <t>3955</t>
  </si>
  <si>
    <t>4061</t>
  </si>
  <si>
    <t>GUILHERME E RUCKDESCHEL</t>
  </si>
  <si>
    <t>2546</t>
  </si>
  <si>
    <t>3231</t>
  </si>
  <si>
    <t>1419</t>
  </si>
  <si>
    <t>617</t>
  </si>
  <si>
    <t>2458</t>
  </si>
  <si>
    <t>3952</t>
  </si>
  <si>
    <t>4216</t>
  </si>
  <si>
    <t>GUIMARAES SOARES E ALMEIDA</t>
  </si>
  <si>
    <t>Nova Viçosa (BA)</t>
  </si>
  <si>
    <t>5281</t>
  </si>
  <si>
    <t>3372</t>
  </si>
  <si>
    <t>GUIZZARDI &amp; GUIZZARDI</t>
  </si>
  <si>
    <t>1619</t>
  </si>
  <si>
    <t>569</t>
  </si>
  <si>
    <t>2189</t>
  </si>
  <si>
    <t>624</t>
  </si>
  <si>
    <t>2482</t>
  </si>
  <si>
    <t>Considerar a bonificação do cliente 
(1.290,00 - sendo 50% Luciano e 50% Luiz)</t>
  </si>
  <si>
    <t>683</t>
  </si>
  <si>
    <t>2902</t>
  </si>
  <si>
    <t>Diferença entrou no acerto de comissão com Luciano Rep</t>
  </si>
  <si>
    <t>826</t>
  </si>
  <si>
    <t>3931</t>
  </si>
  <si>
    <t>GUIZZARDI &amp; GUIZZARDI LTDA</t>
  </si>
  <si>
    <t>794</t>
  </si>
  <si>
    <t>3454</t>
  </si>
  <si>
    <t>GURIMAR MATERIAL DE CONST</t>
  </si>
  <si>
    <t>3001</t>
  </si>
  <si>
    <t>GUSTAVO CARLOS BOTTONI</t>
  </si>
  <si>
    <t>HOFFMAN</t>
  </si>
  <si>
    <t>1980</t>
  </si>
  <si>
    <t>SUPER ANTECIPADO! =)</t>
  </si>
  <si>
    <t>I M DALLAPICOLA &amp; CIA</t>
  </si>
  <si>
    <t>Prado (BA)</t>
  </si>
  <si>
    <t>456</t>
  </si>
  <si>
    <t>1880</t>
  </si>
  <si>
    <t>570</t>
  </si>
  <si>
    <t>686</t>
  </si>
  <si>
    <t>2856 e 2952</t>
  </si>
  <si>
    <t>753</t>
  </si>
  <si>
    <t>3293</t>
  </si>
  <si>
    <t>827</t>
  </si>
  <si>
    <t>3799</t>
  </si>
  <si>
    <t>ILZA SOARES CALIMAN</t>
  </si>
  <si>
    <t>596</t>
  </si>
  <si>
    <t>2316</t>
  </si>
  <si>
    <t>685</t>
  </si>
  <si>
    <t>2912</t>
  </si>
  <si>
    <t>12886</t>
  </si>
  <si>
    <t>4313</t>
  </si>
  <si>
    <t>IMPERIO MADEIRAS IND E COM</t>
  </si>
  <si>
    <t>COMISSAO</t>
  </si>
  <si>
    <t>1139</t>
  </si>
  <si>
    <t>3637</t>
  </si>
  <si>
    <t>13/06/25 e 01/08/25</t>
  </si>
  <si>
    <t>3006 e 3042</t>
  </si>
  <si>
    <t>REVISÃO</t>
  </si>
  <si>
    <t>8662</t>
  </si>
  <si>
    <t>3676</t>
  </si>
  <si>
    <t>3944</t>
  </si>
  <si>
    <t>1724</t>
  </si>
  <si>
    <t>464</t>
  </si>
  <si>
    <t>1911</t>
  </si>
  <si>
    <t>493</t>
  </si>
  <si>
    <t>2118</t>
  </si>
  <si>
    <t>565</t>
  </si>
  <si>
    <t>2246</t>
  </si>
  <si>
    <t>612</t>
  </si>
  <si>
    <t>2425</t>
  </si>
  <si>
    <t>654</t>
  </si>
  <si>
    <t>2645</t>
  </si>
  <si>
    <t>669</t>
  </si>
  <si>
    <t>2894</t>
  </si>
  <si>
    <t>777</t>
  </si>
  <si>
    <t>3480</t>
  </si>
  <si>
    <t>785</t>
  </si>
  <si>
    <t>3510</t>
  </si>
  <si>
    <t>847</t>
  </si>
  <si>
    <t>4011</t>
  </si>
  <si>
    <t>1286</t>
  </si>
  <si>
    <t>2249</t>
  </si>
  <si>
    <t>11633</t>
  </si>
  <si>
    <t>3119</t>
  </si>
  <si>
    <t>11893</t>
  </si>
  <si>
    <t>3355</t>
  </si>
  <si>
    <t>12243</t>
  </si>
  <si>
    <t>4996</t>
  </si>
  <si>
    <t>2816</t>
  </si>
  <si>
    <t>5044</t>
  </si>
  <si>
    <t>2944</t>
  </si>
  <si>
    <t>5099</t>
  </si>
  <si>
    <t>3090</t>
  </si>
  <si>
    <t>5189</t>
  </si>
  <si>
    <t>3475</t>
  </si>
  <si>
    <t>5199</t>
  </si>
  <si>
    <t>3505</t>
  </si>
  <si>
    <t>8238</t>
  </si>
  <si>
    <t>2713</t>
  </si>
  <si>
    <t>12715</t>
  </si>
  <si>
    <t>4165</t>
  </si>
  <si>
    <t>1210</t>
  </si>
  <si>
    <t>4169</t>
  </si>
  <si>
    <t>INCOMOL COM DE MAD MAT CONST</t>
  </si>
  <si>
    <t>1149</t>
  </si>
  <si>
    <t>3900</t>
  </si>
  <si>
    <t>REVISAR PAGAMENTOS</t>
  </si>
  <si>
    <t>IND E COM DE MOV TERESENSE</t>
  </si>
  <si>
    <t>864</t>
  </si>
  <si>
    <t>4132</t>
  </si>
  <si>
    <t>1071</t>
  </si>
  <si>
    <t>2717</t>
  </si>
  <si>
    <t>3274</t>
  </si>
  <si>
    <t>1608</t>
  </si>
  <si>
    <t>1710</t>
  </si>
  <si>
    <t>Saldo pagamento anterior (27/10)</t>
  </si>
  <si>
    <t>1780</t>
  </si>
  <si>
    <t>447</t>
  </si>
  <si>
    <t>1868</t>
  </si>
  <si>
    <t>471</t>
  </si>
  <si>
    <t>1973</t>
  </si>
  <si>
    <t>703</t>
  </si>
  <si>
    <t>3127</t>
  </si>
  <si>
    <t>735</t>
  </si>
  <si>
    <t>3278</t>
  </si>
  <si>
    <t>771</t>
  </si>
  <si>
    <t>3473</t>
  </si>
  <si>
    <t>790</t>
  </si>
  <si>
    <t>3534</t>
  </si>
  <si>
    <t>805</t>
  </si>
  <si>
    <t>3681</t>
  </si>
  <si>
    <t>1807 - 1846</t>
  </si>
  <si>
    <t>REVISAR - Diferença na conferência do Romaneio</t>
  </si>
  <si>
    <t>4765</t>
  </si>
  <si>
    <t>2208</t>
  </si>
  <si>
    <t>7492</t>
  </si>
  <si>
    <t>1598</t>
  </si>
  <si>
    <t>INTER COMERCIAL LTDA ME</t>
  </si>
  <si>
    <t>2163</t>
  </si>
  <si>
    <t>IRMAOS FURIERI</t>
  </si>
  <si>
    <t>3322</t>
  </si>
  <si>
    <t>IRMAOS MARQUES</t>
  </si>
  <si>
    <t>Pago por PIX para Ogura Rep em 20/03/24 - Pgto muito atrasado, quase na última parcela</t>
  </si>
  <si>
    <t>IUNA MADEIRAS</t>
  </si>
  <si>
    <t>Iúna (ES)</t>
  </si>
  <si>
    <t>795</t>
  </si>
  <si>
    <t>2439</t>
  </si>
  <si>
    <t>09 - Caparaó</t>
  </si>
  <si>
    <t>Iuna (ES)</t>
  </si>
  <si>
    <t>1009</t>
  </si>
  <si>
    <t>3138</t>
  </si>
  <si>
    <t>1549</t>
  </si>
  <si>
    <t>609</t>
  </si>
  <si>
    <t>2459</t>
  </si>
  <si>
    <t>622</t>
  </si>
  <si>
    <t>2517</t>
  </si>
  <si>
    <t>839</t>
  </si>
  <si>
    <t>3950</t>
  </si>
  <si>
    <t>5313</t>
  </si>
  <si>
    <t>4068</t>
  </si>
  <si>
    <t>4362</t>
  </si>
  <si>
    <t>IUNA MADEIRAS LTDA EPP</t>
  </si>
  <si>
    <t>732</t>
  </si>
  <si>
    <t>3276</t>
  </si>
  <si>
    <t>J L ALTOE COM DE MAD E ESQ</t>
  </si>
  <si>
    <t>11</t>
  </si>
  <si>
    <t>3966</t>
  </si>
  <si>
    <t>J L XIBLE FILHO MAT DE CONST</t>
  </si>
  <si>
    <t>979</t>
  </si>
  <si>
    <t>2638</t>
  </si>
  <si>
    <t>3113</t>
  </si>
  <si>
    <t>849</t>
  </si>
  <si>
    <t>3993</t>
  </si>
  <si>
    <t>J M &amp; FILHOS LTDA ME</t>
  </si>
  <si>
    <t>Águia Branca (ES)</t>
  </si>
  <si>
    <t>3061</t>
  </si>
  <si>
    <t>J P ESQUADRIAS</t>
  </si>
  <si>
    <t>776</t>
  </si>
  <si>
    <t>3384</t>
  </si>
  <si>
    <t>3281</t>
  </si>
  <si>
    <t>J P PRE MOLDADOS (ANA CLARA)</t>
  </si>
  <si>
    <t>Itarana (ES)</t>
  </si>
  <si>
    <t>1683</t>
  </si>
  <si>
    <t>J.L. ALTOE COM DE MAD E ESQ</t>
  </si>
  <si>
    <t>695</t>
  </si>
  <si>
    <t>2142</t>
  </si>
  <si>
    <t>pago icms (o valor “A Receber” dessa tabela se refere somente ao líquido em aberto)</t>
  </si>
  <si>
    <t>0448</t>
  </si>
  <si>
    <t>1742</t>
  </si>
  <si>
    <t>PIX para Ogura - LCO - somente dia 26/02/24</t>
  </si>
  <si>
    <t>8065</t>
  </si>
  <si>
    <t>2456</t>
  </si>
  <si>
    <t>JAMILE SOARES CALIMAN</t>
  </si>
  <si>
    <t>751</t>
  </si>
  <si>
    <t>3334</t>
  </si>
  <si>
    <t>4286</t>
  </si>
  <si>
    <t>JARDIM DA MONTANHA</t>
  </si>
  <si>
    <t>JATOBA MADEIRAS</t>
  </si>
  <si>
    <t>2689</t>
  </si>
  <si>
    <t>697</t>
  </si>
  <si>
    <t>3133</t>
  </si>
  <si>
    <t>4103</t>
  </si>
  <si>
    <t>JATOBA MADEIRAS LTDA</t>
  </si>
  <si>
    <t>786</t>
  </si>
  <si>
    <t>3479</t>
  </si>
  <si>
    <t>JP ESQUADRIAS</t>
  </si>
  <si>
    <t>731</t>
  </si>
  <si>
    <t>2169</t>
  </si>
  <si>
    <t>2627</t>
  </si>
  <si>
    <t>2089</t>
  </si>
  <si>
    <t>2239</t>
  </si>
  <si>
    <t>2847</t>
  </si>
  <si>
    <t>3094</t>
  </si>
  <si>
    <t>1764</t>
  </si>
  <si>
    <t>1680</t>
  </si>
  <si>
    <t>1795</t>
  </si>
  <si>
    <t>2040</t>
  </si>
  <si>
    <t>10678</t>
  </si>
  <si>
    <t>2191</t>
  </si>
  <si>
    <t>10944</t>
  </si>
  <si>
    <t>2450</t>
  </si>
  <si>
    <t>11306</t>
  </si>
  <si>
    <t>2755</t>
  </si>
  <si>
    <t>7727</t>
  </si>
  <si>
    <t>1985</t>
  </si>
  <si>
    <t>8623</t>
  </si>
  <si>
    <t>3635</t>
  </si>
  <si>
    <t>12696</t>
  </si>
  <si>
    <t>4157</t>
  </si>
  <si>
    <t>042</t>
  </si>
  <si>
    <t>4361</t>
  </si>
  <si>
    <t>4276</t>
  </si>
  <si>
    <t>JP ESQUADRIAS EIRELI ME</t>
  </si>
  <si>
    <t>3905</t>
  </si>
  <si>
    <t>2291</t>
  </si>
  <si>
    <t>3519</t>
  </si>
  <si>
    <t>JRS COMERCIO ATACADO E VAREJO</t>
  </si>
  <si>
    <t>10</t>
  </si>
  <si>
    <t>2145</t>
  </si>
  <si>
    <t>ATRASADO! Solicitado Pagamento Integral - Pix p/ Ogura Rep</t>
  </si>
  <si>
    <t>2025</t>
  </si>
  <si>
    <t>2151</t>
  </si>
  <si>
    <t>PRAZO BASTANTE ESTENDIDO</t>
  </si>
  <si>
    <t>K B M COM E TRANSPORTES</t>
  </si>
  <si>
    <t>João Neiva (ES)</t>
  </si>
  <si>
    <t>104</t>
  </si>
  <si>
    <t>3736</t>
  </si>
  <si>
    <t>1510</t>
  </si>
  <si>
    <t>KS CONFORT</t>
  </si>
  <si>
    <t>Pagamento AV - Pix p/ Ogura (Excedente = valor do Frete - Conferir como foi acerto c o motorista)</t>
  </si>
  <si>
    <t>2235</t>
  </si>
  <si>
    <t>2262</t>
  </si>
  <si>
    <t>L L MADEIRAS</t>
  </si>
  <si>
    <t>Eunapolis (BA)</t>
  </si>
  <si>
    <t>1498</t>
  </si>
  <si>
    <t>a vista</t>
  </si>
  <si>
    <t>Eunápolis (BA)</t>
  </si>
  <si>
    <t>597</t>
  </si>
  <si>
    <t>2315</t>
  </si>
  <si>
    <t>687</t>
  </si>
  <si>
    <t>2823</t>
  </si>
  <si>
    <t>754</t>
  </si>
  <si>
    <t>3376</t>
  </si>
  <si>
    <t>828</t>
  </si>
  <si>
    <t>3840</t>
  </si>
  <si>
    <t>5078</t>
  </si>
  <si>
    <t>3057</t>
  </si>
  <si>
    <t>O pedido não veio?</t>
  </si>
  <si>
    <t>LIDER MADEIREIRA LTDA ME</t>
  </si>
  <si>
    <t>OK - pix ao fornecedor</t>
  </si>
  <si>
    <t>LIUTH MATERIAL DE CONSTRUCAO</t>
  </si>
  <si>
    <t>3470</t>
  </si>
  <si>
    <t>3812</t>
  </si>
  <si>
    <t>LOOSE MARCENARIA E MAD</t>
  </si>
  <si>
    <t>3928</t>
  </si>
  <si>
    <t>3393</t>
  </si>
  <si>
    <t>LUCAS FRANCISCO R. VIEIRA</t>
  </si>
  <si>
    <t>V. Valério (ES)</t>
  </si>
  <si>
    <t>2887</t>
  </si>
  <si>
    <t>5034</t>
  </si>
  <si>
    <t>2927</t>
  </si>
  <si>
    <t>5127</t>
  </si>
  <si>
    <t>3219</t>
  </si>
  <si>
    <t>5148</t>
  </si>
  <si>
    <t>3242</t>
  </si>
  <si>
    <t>M F COMERCIO DE MAD E SERV</t>
  </si>
  <si>
    <t>784</t>
  </si>
  <si>
    <t>3547</t>
  </si>
  <si>
    <t>846</t>
  </si>
  <si>
    <t>3988</t>
  </si>
  <si>
    <t>5234</t>
  </si>
  <si>
    <t>3657</t>
  </si>
  <si>
    <t>1021</t>
  </si>
  <si>
    <t>4138</t>
  </si>
  <si>
    <t>4342</t>
  </si>
  <si>
    <t>M P A IND E COM DE MAD E ESQ</t>
  </si>
  <si>
    <t>2507</t>
  </si>
  <si>
    <t>3303</t>
  </si>
  <si>
    <t>11532</t>
  </si>
  <si>
    <t>2964</t>
  </si>
  <si>
    <t>2260</t>
  </si>
  <si>
    <t>3381</t>
  </si>
  <si>
    <t>12085</t>
  </si>
  <si>
    <t>5098</t>
  </si>
  <si>
    <t>3126</t>
  </si>
  <si>
    <t>2245</t>
  </si>
  <si>
    <t>2718</t>
  </si>
  <si>
    <t>M.F. COM DE MAD E SERV (JORGE)</t>
  </si>
  <si>
    <t>8012</t>
  </si>
  <si>
    <t>2386</t>
  </si>
  <si>
    <t>M.F. COM DE MAD E SERVICOS</t>
  </si>
  <si>
    <t>1773</t>
  </si>
  <si>
    <t>PAGAMENTO: 12.269,00 por pix p/ fornecedor e 720,00 em cheque p/ Ogura</t>
  </si>
  <si>
    <t>2067</t>
  </si>
  <si>
    <t>2161</t>
  </si>
  <si>
    <t>279</t>
  </si>
  <si>
    <t>2886</t>
  </si>
  <si>
    <t>1774</t>
  </si>
  <si>
    <t>585</t>
  </si>
  <si>
    <t>2309</t>
  </si>
  <si>
    <t>670</t>
  </si>
  <si>
    <t>2842</t>
  </si>
  <si>
    <t>7673</t>
  </si>
  <si>
    <t>1847</t>
  </si>
  <si>
    <t>PAGOU ICMS POR BOLETO</t>
  </si>
  <si>
    <t>8064</t>
  </si>
  <si>
    <t>2448</t>
  </si>
  <si>
    <t>8386</t>
  </si>
  <si>
    <t>3027</t>
  </si>
  <si>
    <t>MADE FORTE COM DE MADEIRA</t>
  </si>
  <si>
    <t>1615</t>
  </si>
  <si>
    <t>595</t>
  </si>
  <si>
    <t>2319</t>
  </si>
  <si>
    <t>682</t>
  </si>
  <si>
    <t>2853</t>
  </si>
  <si>
    <t>752</t>
  </si>
  <si>
    <t>3337</t>
  </si>
  <si>
    <t>825</t>
  </si>
  <si>
    <t>3838</t>
  </si>
  <si>
    <t>MADEFORT MADEIRAS</t>
  </si>
  <si>
    <t>1016</t>
  </si>
  <si>
    <t>3162</t>
  </si>
  <si>
    <t>1140</t>
  </si>
  <si>
    <t>3920</t>
  </si>
  <si>
    <t>2198</t>
  </si>
  <si>
    <t>3026</t>
  </si>
  <si>
    <t>1626</t>
  </si>
  <si>
    <t>1465</t>
  </si>
  <si>
    <t>2551</t>
  </si>
  <si>
    <t>2966</t>
  </si>
  <si>
    <t>5014</t>
  </si>
  <si>
    <t>2739</t>
  </si>
  <si>
    <t>MADEINORTE MADEIRAS</t>
  </si>
  <si>
    <t>Rio Bananal (ES)</t>
  </si>
  <si>
    <t>1410</t>
  </si>
  <si>
    <t>3707</t>
  </si>
  <si>
    <t>3200</t>
  </si>
  <si>
    <t>1494</t>
  </si>
  <si>
    <t>PAGAMENTO ATRASADO - ERA A VISTA</t>
  </si>
  <si>
    <t>1386</t>
  </si>
  <si>
    <t>2351</t>
  </si>
  <si>
    <t>1679</t>
  </si>
  <si>
    <t>2637</t>
  </si>
  <si>
    <t>1804</t>
  </si>
  <si>
    <t>3122</t>
  </si>
  <si>
    <t>4762</t>
  </si>
  <si>
    <t>2209</t>
  </si>
  <si>
    <t>1530</t>
  </si>
  <si>
    <t>4205</t>
  </si>
  <si>
    <t>4048</t>
  </si>
  <si>
    <t>1209</t>
  </si>
  <si>
    <t>3907</t>
  </si>
  <si>
    <t>Solicitar Envio</t>
  </si>
  <si>
    <t>SANTA RITA</t>
  </si>
  <si>
    <t>4073 e 4359</t>
  </si>
  <si>
    <t>MADEINORTE MADEIRAS LTDA</t>
  </si>
  <si>
    <t>12086</t>
  </si>
  <si>
    <t>3536</t>
  </si>
  <si>
    <t>MADEIRAS BETINI</t>
  </si>
  <si>
    <t>5167</t>
  </si>
  <si>
    <t>3270</t>
  </si>
  <si>
    <t>ATRASADO</t>
  </si>
  <si>
    <t>5268</t>
  </si>
  <si>
    <t>3701</t>
  </si>
  <si>
    <t>MADEIRAS SAO JOAO</t>
  </si>
  <si>
    <t>4049</t>
  </si>
  <si>
    <t>043</t>
  </si>
  <si>
    <t>4271</t>
  </si>
  <si>
    <t>MADEIRAS SAO JOAO LTDA EPP</t>
  </si>
  <si>
    <t>2165 - 2170</t>
  </si>
  <si>
    <t>10974</t>
  </si>
  <si>
    <t>2510</t>
  </si>
  <si>
    <t>MADEIREIRA GONCALVES</t>
  </si>
  <si>
    <t>8283</t>
  </si>
  <si>
    <t>2787</t>
  </si>
  <si>
    <t>1154</t>
  </si>
  <si>
    <t>1471</t>
  </si>
  <si>
    <t>3914</t>
  </si>
  <si>
    <t>2250</t>
  </si>
  <si>
    <t>2582</t>
  </si>
  <si>
    <t>2940</t>
  </si>
  <si>
    <t>3383</t>
  </si>
  <si>
    <t>3579</t>
  </si>
  <si>
    <t>3915</t>
  </si>
  <si>
    <t>2625</t>
  </si>
  <si>
    <t>3948</t>
  </si>
  <si>
    <t>766</t>
  </si>
  <si>
    <t>3446</t>
  </si>
  <si>
    <t>5095</t>
  </si>
  <si>
    <t>3089</t>
  </si>
  <si>
    <t>8486</t>
  </si>
  <si>
    <t>3360</t>
  </si>
  <si>
    <t>4074</t>
  </si>
  <si>
    <t>MADEIREIRA GONCALVES - c presa</t>
  </si>
  <si>
    <t>MADEIREIRA GONCALVES LTDA</t>
  </si>
  <si>
    <t>792</t>
  </si>
  <si>
    <t>3517</t>
  </si>
  <si>
    <t>MADEIREIRA GURIRI NORTE</t>
  </si>
  <si>
    <t>2590</t>
  </si>
  <si>
    <t>TROCAR CHEQUES SEM ASSINATURA
(Icms pago ao fornecedor)</t>
  </si>
  <si>
    <t>1711</t>
  </si>
  <si>
    <t>3009</t>
  </si>
  <si>
    <t>MADEIREIRA PANPER</t>
  </si>
  <si>
    <t>8282</t>
  </si>
  <si>
    <t>2815</t>
  </si>
  <si>
    <t>Feitos Boletos - B. Flora mandou cheques p/ Ogura nas datas - Acompanhar compensação</t>
  </si>
  <si>
    <t>2642 e 2936</t>
  </si>
  <si>
    <t>Pagou a parcela 1 em Pix (p/ Gt Madeiras) e as outras parcelas em cheque</t>
  </si>
  <si>
    <t>3960</t>
  </si>
  <si>
    <t>10953</t>
  </si>
  <si>
    <t>2495</t>
  </si>
  <si>
    <t>11497</t>
  </si>
  <si>
    <t>2946</t>
  </si>
  <si>
    <t>2259</t>
  </si>
  <si>
    <t>3614</t>
  </si>
  <si>
    <t>12/11/25</t>
  </si>
  <si>
    <t>2314</t>
  </si>
  <si>
    <t>1492</t>
  </si>
  <si>
    <t>MADEIREIRA PEDRA AZUL</t>
  </si>
  <si>
    <t>BRASIL FLORA - MATERIAL REFUGADO</t>
  </si>
  <si>
    <t>692</t>
  </si>
  <si>
    <t>2121</t>
  </si>
  <si>
    <t>1151</t>
  </si>
  <si>
    <t>2850</t>
  </si>
  <si>
    <t>1295</t>
  </si>
  <si>
    <t>3013</t>
  </si>
  <si>
    <t>3063</t>
  </si>
  <si>
    <t>2587</t>
  </si>
  <si>
    <t>1655</t>
  </si>
  <si>
    <t>1776</t>
  </si>
  <si>
    <t>1842</t>
  </si>
  <si>
    <t>3156</t>
  </si>
  <si>
    <t>2097</t>
  </si>
  <si>
    <t>3415</t>
  </si>
  <si>
    <t>4798</t>
  </si>
  <si>
    <t>2233</t>
  </si>
  <si>
    <t>4881</t>
  </si>
  <si>
    <t>2462</t>
  </si>
  <si>
    <t>5220</t>
  </si>
  <si>
    <t>3608</t>
  </si>
  <si>
    <t>5293</t>
  </si>
  <si>
    <t>3828</t>
  </si>
  <si>
    <t>1654</t>
  </si>
  <si>
    <t>MADEIREIRA VITORIA (ZUMERLE)</t>
  </si>
  <si>
    <t>1576</t>
  </si>
  <si>
    <t>1689</t>
  </si>
  <si>
    <t>MADEL MADEIRAS</t>
  </si>
  <si>
    <t>749</t>
  </si>
  <si>
    <t>3379</t>
  </si>
  <si>
    <t>MADEPORTAS COM MADEIRAS</t>
  </si>
  <si>
    <t>1984</t>
  </si>
  <si>
    <t>ATRASADO! Pagamento p/ Ogura Rep - Cheques prazo extremamente extrapolado</t>
  </si>
  <si>
    <t>1983</t>
  </si>
  <si>
    <t>2146 / 2238</t>
  </si>
  <si>
    <t>2154</t>
  </si>
  <si>
    <t>180</t>
  </si>
  <si>
    <t>Ogura Rep recebeu 2 CH - Ref a 2 Boletos Atrasados (22/07 e 06/08) * para deduzir da comissão atrasada (em aberto)</t>
  </si>
  <si>
    <t>MADEPORTAS COM MADEIRAS (JP)</t>
  </si>
  <si>
    <t>3940</t>
  </si>
  <si>
    <t>MADEPORTAS COMERCIO DE MAD</t>
  </si>
  <si>
    <t>862</t>
  </si>
  <si>
    <t>4154</t>
  </si>
  <si>
    <t>789</t>
  </si>
  <si>
    <t>3509</t>
  </si>
  <si>
    <t>VALOR A MAIS POR PRAZO ESTENDIDO</t>
  </si>
  <si>
    <t>MADEREIRA GHR</t>
  </si>
  <si>
    <t>2373</t>
  </si>
  <si>
    <t>3567</t>
  </si>
  <si>
    <t>Credor (R$ 2.160 descontado no acerto 2026-01)</t>
  </si>
  <si>
    <t>3720</t>
  </si>
  <si>
    <t>Credor (R$ 2.160 do acerto 2025-10 descontado)</t>
  </si>
  <si>
    <t>802</t>
  </si>
  <si>
    <t>3671</t>
  </si>
  <si>
    <t>7997</t>
  </si>
  <si>
    <t>2374</t>
  </si>
  <si>
    <t>8382</t>
  </si>
  <si>
    <t>3044</t>
  </si>
  <si>
    <t>005</t>
  </si>
  <si>
    <t>3436</t>
  </si>
  <si>
    <t>MADESA COMERCIO DE MADEIRAS</t>
  </si>
  <si>
    <t>8385</t>
  </si>
  <si>
    <t>3065</t>
  </si>
  <si>
    <t>MAIA DUNAS</t>
  </si>
  <si>
    <t>C. da Barra (ES)</t>
  </si>
  <si>
    <t>Entrou para acerto de comissão com Luciano</t>
  </si>
  <si>
    <t>MAJU COLCHOES</t>
  </si>
  <si>
    <t>MAR E SOL COMERCIO DE MAD</t>
  </si>
  <si>
    <t>788</t>
  </si>
  <si>
    <t>3538</t>
  </si>
  <si>
    <t>MARCON MADEIRAS</t>
  </si>
  <si>
    <t>1070</t>
  </si>
  <si>
    <t>3411</t>
  </si>
  <si>
    <t>3016</t>
  </si>
  <si>
    <t>2000</t>
  </si>
  <si>
    <t>2416</t>
  </si>
  <si>
    <t>2593</t>
  </si>
  <si>
    <t>2780</t>
  </si>
  <si>
    <t>3245</t>
  </si>
  <si>
    <t>3746</t>
  </si>
  <si>
    <t>3942</t>
  </si>
  <si>
    <t>3651</t>
  </si>
  <si>
    <t>2372</t>
  </si>
  <si>
    <t>592</t>
  </si>
  <si>
    <t>2302</t>
  </si>
  <si>
    <t>765</t>
  </si>
  <si>
    <t>3398</t>
  </si>
  <si>
    <t>5106</t>
  </si>
  <si>
    <t>3012</t>
  </si>
  <si>
    <t>4148</t>
  </si>
  <si>
    <t>MARCOS BUSSU LIMA</t>
  </si>
  <si>
    <t>Montanha (ES)</t>
  </si>
  <si>
    <t>1806</t>
  </si>
  <si>
    <t>3092</t>
  </si>
  <si>
    <t>12094</t>
  </si>
  <si>
    <t>3613</t>
  </si>
  <si>
    <t>12551</t>
  </si>
  <si>
    <t>4013</t>
  </si>
  <si>
    <t>4813</t>
  </si>
  <si>
    <t>2297</t>
  </si>
  <si>
    <t>MARCOS BUSSU LIMA EPP</t>
  </si>
  <si>
    <t>MARECHAL CASAS DE MADEIRAS</t>
  </si>
  <si>
    <t>1180</t>
  </si>
  <si>
    <t>4077</t>
  </si>
  <si>
    <t xml:space="preserve">MARIA ZENAIDE - 1 </t>
  </si>
  <si>
    <t>1570</t>
  </si>
  <si>
    <t>pagamento direto</t>
  </si>
  <si>
    <t>MARIA ZENAIDE - 2</t>
  </si>
  <si>
    <t>MARIA ZENAIDE - 3</t>
  </si>
  <si>
    <t>pagamento direto - deck cumaru</t>
  </si>
  <si>
    <t>MARIA ZENAIDE LOSS SPERANDIO</t>
  </si>
  <si>
    <t>1120</t>
  </si>
  <si>
    <t>2750</t>
  </si>
  <si>
    <t>3951</t>
  </si>
  <si>
    <t>2786</t>
  </si>
  <si>
    <t>3160</t>
  </si>
  <si>
    <t>2226</t>
  </si>
  <si>
    <t>3600</t>
  </si>
  <si>
    <t>5103</t>
  </si>
  <si>
    <t>3159</t>
  </si>
  <si>
    <t>MARIANA ARNAL SPERANCIN BUAIZ</t>
  </si>
  <si>
    <t>2165</t>
  </si>
  <si>
    <t>MARION MADEIRAS ICONHA</t>
  </si>
  <si>
    <t>Iconha (ES)</t>
  </si>
  <si>
    <t>4793</t>
  </si>
  <si>
    <t>2159</t>
  </si>
  <si>
    <t>MAT DE CONST E MAD DOJO</t>
  </si>
  <si>
    <t>1662</t>
  </si>
  <si>
    <t>514 e 515</t>
  </si>
  <si>
    <t>1754</t>
  </si>
  <si>
    <t>1408</t>
  </si>
  <si>
    <t>3706</t>
  </si>
  <si>
    <t>3329</t>
  </si>
  <si>
    <t>3762</t>
  </si>
  <si>
    <t>2282</t>
  </si>
  <si>
    <t>3238</t>
  </si>
  <si>
    <t>3856</t>
  </si>
  <si>
    <t>1978</t>
  </si>
  <si>
    <t>452</t>
  </si>
  <si>
    <t>1820</t>
  </si>
  <si>
    <t>473 / 474</t>
  </si>
  <si>
    <t>1963</t>
  </si>
  <si>
    <t>566</t>
  </si>
  <si>
    <t>2237</t>
  </si>
  <si>
    <t>613</t>
  </si>
  <si>
    <t>2447</t>
  </si>
  <si>
    <t>656</t>
  </si>
  <si>
    <t>2670</t>
  </si>
  <si>
    <t>699</t>
  </si>
  <si>
    <t>3121</t>
  </si>
  <si>
    <t>740</t>
  </si>
  <si>
    <t>3328</t>
  </si>
  <si>
    <t>834 e 835</t>
  </si>
  <si>
    <t>3854</t>
  </si>
  <si>
    <t>3758</t>
  </si>
  <si>
    <t>1404</t>
  </si>
  <si>
    <t>2344</t>
  </si>
  <si>
    <t>10954</t>
  </si>
  <si>
    <t>1464</t>
  </si>
  <si>
    <t>2615</t>
  </si>
  <si>
    <t>1781</t>
  </si>
  <si>
    <t>3136</t>
  </si>
  <si>
    <t>5195</t>
  </si>
  <si>
    <t>3504</t>
  </si>
  <si>
    <t>7444</t>
  </si>
  <si>
    <t>1416</t>
  </si>
  <si>
    <t>8663</t>
  </si>
  <si>
    <t>3634</t>
  </si>
  <si>
    <t>3922</t>
  </si>
  <si>
    <t>4351</t>
  </si>
  <si>
    <t>MAT DE CONST PRAIA DA COSTA</t>
  </si>
  <si>
    <t>1686</t>
  </si>
  <si>
    <t>495</t>
  </si>
  <si>
    <t>2053</t>
  </si>
  <si>
    <t>593</t>
  </si>
  <si>
    <t>2320</t>
  </si>
  <si>
    <t>2589</t>
  </si>
  <si>
    <t>698</t>
  </si>
  <si>
    <t>2923</t>
  </si>
  <si>
    <t>774</t>
  </si>
  <si>
    <t>3352</t>
  </si>
  <si>
    <t>5040</t>
  </si>
  <si>
    <t>2937</t>
  </si>
  <si>
    <t>4241</t>
  </si>
  <si>
    <t>4343</t>
  </si>
  <si>
    <t>MAT DE CONSTRUÇAO CM</t>
  </si>
  <si>
    <t>1161</t>
  </si>
  <si>
    <t>3815</t>
  </si>
  <si>
    <t>MATERIAL DE CONST LORENZONI</t>
  </si>
  <si>
    <t>Boa Esperança (ES)</t>
  </si>
  <si>
    <t>4081</t>
  </si>
  <si>
    <t>MBA MADEIRAS</t>
  </si>
  <si>
    <t>3769</t>
  </si>
  <si>
    <t>3764 e 4000</t>
  </si>
  <si>
    <t>MEL MADEIRAS</t>
  </si>
  <si>
    <t>1701</t>
  </si>
  <si>
    <t>PIX FEITO PARA BRASIL FLORA 
- Reembolso no Relatório 04/2024</t>
  </si>
  <si>
    <t>550</t>
  </si>
  <si>
    <t>3175</t>
  </si>
  <si>
    <t>762</t>
  </si>
  <si>
    <t>3622</t>
  </si>
  <si>
    <t>667</t>
  </si>
  <si>
    <t>2674</t>
  </si>
  <si>
    <t>734</t>
  </si>
  <si>
    <t>3327</t>
  </si>
  <si>
    <t>778</t>
  </si>
  <si>
    <t>3410</t>
  </si>
  <si>
    <t>11531</t>
  </si>
  <si>
    <t>2967</t>
  </si>
  <si>
    <t>5025</t>
  </si>
  <si>
    <t>2872</t>
  </si>
  <si>
    <t>8720</t>
  </si>
  <si>
    <t>3786</t>
  </si>
  <si>
    <t>2036</t>
  </si>
  <si>
    <t>12716</t>
  </si>
  <si>
    <t>4166</t>
  </si>
  <si>
    <t>12771</t>
  </si>
  <si>
    <t>4209</t>
  </si>
  <si>
    <t>12853</t>
  </si>
  <si>
    <t>4248</t>
  </si>
  <si>
    <t>MENDES E AZEVEDO</t>
  </si>
  <si>
    <t>568</t>
  </si>
  <si>
    <t>MINEIRO</t>
  </si>
  <si>
    <t>MINEIRO MATERIAL DE CONST</t>
  </si>
  <si>
    <t>MODENESI MAT DE CONST</t>
  </si>
  <si>
    <t>MOVEIS BELTRAME</t>
  </si>
  <si>
    <t>2835</t>
  </si>
  <si>
    <t>526</t>
  </si>
  <si>
    <t>3202</t>
  </si>
  <si>
    <t>5053</t>
  </si>
  <si>
    <t>2965</t>
  </si>
  <si>
    <t>5280</t>
  </si>
  <si>
    <t>3716</t>
  </si>
  <si>
    <t>1046</t>
  </si>
  <si>
    <t>4173</t>
  </si>
  <si>
    <t>N R MATERIAL DE CONSTRUCAO</t>
  </si>
  <si>
    <t>2811</t>
  </si>
  <si>
    <t>NORMADEL NORTE MADEIRAS</t>
  </si>
  <si>
    <t>3234</t>
  </si>
  <si>
    <t>8272</t>
  </si>
  <si>
    <t>2745</t>
  </si>
  <si>
    <t>8314</t>
  </si>
  <si>
    <t>2933</t>
  </si>
  <si>
    <t>NSS SOBRINHO</t>
  </si>
  <si>
    <t>823 e 824</t>
  </si>
  <si>
    <t>3891</t>
  </si>
  <si>
    <t>ONESIO (VINAND + IUNA)</t>
  </si>
  <si>
    <t>ONESIO GOULARTE (A F A DE AMORIM)</t>
  </si>
  <si>
    <t>2313</t>
  </si>
  <si>
    <t>3669</t>
  </si>
  <si>
    <t>ONESIO GOULARTE DE ALMEIDA</t>
  </si>
  <si>
    <t>3670</t>
  </si>
  <si>
    <t>5062</t>
  </si>
  <si>
    <t>3004</t>
  </si>
  <si>
    <t>5123</t>
  </si>
  <si>
    <t>3203</t>
  </si>
  <si>
    <t>ONESIO GOULARTE DE ALMEIDA (RAFAR)</t>
  </si>
  <si>
    <t>2096</t>
  </si>
  <si>
    <t>3391</t>
  </si>
  <si>
    <t>ONESIO MADEIRAS ARTE</t>
  </si>
  <si>
    <t>12448</t>
  </si>
  <si>
    <t>3818</t>
  </si>
  <si>
    <t>5285</t>
  </si>
  <si>
    <t>3756</t>
  </si>
  <si>
    <t>5312</t>
  </si>
  <si>
    <t>4018</t>
  </si>
  <si>
    <t>1211</t>
  </si>
  <si>
    <t>3969</t>
  </si>
  <si>
    <t>PAIOL MADEIRAS</t>
  </si>
  <si>
    <t>Irupi (ES)</t>
  </si>
  <si>
    <t>9712</t>
  </si>
  <si>
    <t>3548</t>
  </si>
  <si>
    <t>PAIOL MADEIRAS LTDA</t>
  </si>
  <si>
    <t>3902</t>
  </si>
  <si>
    <t>3545</t>
  </si>
  <si>
    <t>5257</t>
  </si>
  <si>
    <t>3724</t>
  </si>
  <si>
    <t>PANCIERI COM DE MAT DE CONST</t>
  </si>
  <si>
    <t>7517</t>
  </si>
  <si>
    <t>1666</t>
  </si>
  <si>
    <t>PANPER MATERIAL DE CONST</t>
  </si>
  <si>
    <t>Fundão (ES)</t>
  </si>
  <si>
    <t>863</t>
  </si>
  <si>
    <t>4152</t>
  </si>
  <si>
    <t>3528</t>
  </si>
  <si>
    <t>1014</t>
  </si>
  <si>
    <t>3003</t>
  </si>
  <si>
    <t>2663</t>
  </si>
  <si>
    <t>3214</t>
  </si>
  <si>
    <t>3650</t>
  </si>
  <si>
    <t>2492</t>
  </si>
  <si>
    <t>657</t>
  </si>
  <si>
    <t>2671</t>
  </si>
  <si>
    <t>737</t>
  </si>
  <si>
    <t>3283</t>
  </si>
  <si>
    <t>833</t>
  </si>
  <si>
    <t>5137</t>
  </si>
  <si>
    <t>3233</t>
  </si>
  <si>
    <t>3461</t>
  </si>
  <si>
    <t>3213</t>
  </si>
  <si>
    <t>2035</t>
  </si>
  <si>
    <t>2814</t>
  </si>
  <si>
    <t>3268</t>
  </si>
  <si>
    <t>1184</t>
  </si>
  <si>
    <t>4102</t>
  </si>
  <si>
    <t>4107</t>
  </si>
  <si>
    <t>4294</t>
  </si>
  <si>
    <t>PARAJU</t>
  </si>
  <si>
    <t>PARMA</t>
  </si>
  <si>
    <t>PARMA COMERCIO E TRANSPORTE</t>
  </si>
  <si>
    <t>837</t>
  </si>
  <si>
    <t>3878</t>
  </si>
  <si>
    <t>848</t>
  </si>
  <si>
    <t>4009</t>
  </si>
  <si>
    <t>12123</t>
  </si>
  <si>
    <t>3586</t>
  </si>
  <si>
    <t>PEDRA DO MAR MAT DE CONST</t>
  </si>
  <si>
    <t>5182</t>
  </si>
  <si>
    <t>3344</t>
  </si>
  <si>
    <t>4171</t>
  </si>
  <si>
    <t>PEROBAS / PIGNATON</t>
  </si>
  <si>
    <t>Ibiraçu (ES)</t>
  </si>
  <si>
    <t>PAGO EM PIX</t>
  </si>
  <si>
    <t>PEROBAS MAT CONST E SERVICOS</t>
  </si>
  <si>
    <t>865</t>
  </si>
  <si>
    <t>4109</t>
  </si>
  <si>
    <t>1502</t>
  </si>
  <si>
    <t>738</t>
  </si>
  <si>
    <t>3315</t>
  </si>
  <si>
    <t>1653</t>
  </si>
  <si>
    <t>1102</t>
  </si>
  <si>
    <t>4217</t>
  </si>
  <si>
    <t>PIGNATON MADEIRAS</t>
  </si>
  <si>
    <t>2 primeiras parcelas p/ fornecedor, 3 parcela /ogura e ultima parcela por engano p/ fornecedor</t>
  </si>
  <si>
    <t>498</t>
  </si>
  <si>
    <t>2122</t>
  </si>
  <si>
    <t>614</t>
  </si>
  <si>
    <t>2453</t>
  </si>
  <si>
    <t>623</t>
  </si>
  <si>
    <t>2493</t>
  </si>
  <si>
    <t>5267</t>
  </si>
  <si>
    <t>3713</t>
  </si>
  <si>
    <t>010</t>
  </si>
  <si>
    <t>3859</t>
  </si>
  <si>
    <t>PIGNATON MATERIAL DE CONST</t>
  </si>
  <si>
    <t>497</t>
  </si>
  <si>
    <t>584</t>
  </si>
  <si>
    <t>2327</t>
  </si>
  <si>
    <t>791</t>
  </si>
  <si>
    <t>3533</t>
  </si>
  <si>
    <t>PIMACOL ACABAMENTOS (EP)</t>
  </si>
  <si>
    <t>4180</t>
  </si>
  <si>
    <t>PINDUCAS (GHR)</t>
  </si>
  <si>
    <t>PISKE &amp; FILHOS</t>
  </si>
  <si>
    <t>Baixo Guandu (ES)</t>
  </si>
  <si>
    <t>3822</t>
  </si>
  <si>
    <t>PISKE ESQUADRIAS</t>
  </si>
  <si>
    <t>696</t>
  </si>
  <si>
    <t>2147</t>
  </si>
  <si>
    <t>2196</t>
  </si>
  <si>
    <t>1017</t>
  </si>
  <si>
    <t>3153</t>
  </si>
  <si>
    <t>1062</t>
  </si>
  <si>
    <t>3368</t>
  </si>
  <si>
    <t>1141</t>
  </si>
  <si>
    <t>3747</t>
  </si>
  <si>
    <t>2026</t>
  </si>
  <si>
    <t>2560</t>
  </si>
  <si>
    <t>3007</t>
  </si>
  <si>
    <t>469</t>
  </si>
  <si>
    <t>1969</t>
  </si>
  <si>
    <t>576</t>
  </si>
  <si>
    <t>2254</t>
  </si>
  <si>
    <t>615</t>
  </si>
  <si>
    <t>2445</t>
  </si>
  <si>
    <t>769</t>
  </si>
  <si>
    <t>3350</t>
  </si>
  <si>
    <t>832</t>
  </si>
  <si>
    <t>3862</t>
  </si>
  <si>
    <t>2390</t>
  </si>
  <si>
    <t>10824</t>
  </si>
  <si>
    <t>2228</t>
  </si>
  <si>
    <t>3520</t>
  </si>
  <si>
    <t>12062</t>
  </si>
  <si>
    <t>2005</t>
  </si>
  <si>
    <t>4839</t>
  </si>
  <si>
    <t>2349</t>
  </si>
  <si>
    <t>4878</t>
  </si>
  <si>
    <t>2444</t>
  </si>
  <si>
    <t>4940</t>
  </si>
  <si>
    <t>2588</t>
  </si>
  <si>
    <t>4971</t>
  </si>
  <si>
    <t>2643</t>
  </si>
  <si>
    <t>5035</t>
  </si>
  <si>
    <t>2889</t>
  </si>
  <si>
    <t>5071</t>
  </si>
  <si>
    <t>2986</t>
  </si>
  <si>
    <t>5108</t>
  </si>
  <si>
    <t>3152</t>
  </si>
  <si>
    <t>5144</t>
  </si>
  <si>
    <t>3300</t>
  </si>
  <si>
    <t>5269</t>
  </si>
  <si>
    <t>3714</t>
  </si>
  <si>
    <t>8240</t>
  </si>
  <si>
    <t>2716</t>
  </si>
  <si>
    <t>8804</t>
  </si>
  <si>
    <t>3816</t>
  </si>
  <si>
    <t>PISSAIA MATERIAL DE CONSTRUCAO</t>
  </si>
  <si>
    <t>3082</t>
  </si>
  <si>
    <t>PREDIAL MAD E MAT DE CONST</t>
  </si>
  <si>
    <t>ENVIOU PELOS CORREIOS - Sedex pago</t>
  </si>
  <si>
    <t>5105</t>
  </si>
  <si>
    <t>3151</t>
  </si>
  <si>
    <t>PRETTI MADEIRAS COM E REP</t>
  </si>
  <si>
    <t>S. G. da Palha (ES)</t>
  </si>
  <si>
    <t>952</t>
  </si>
  <si>
    <t>2541</t>
  </si>
  <si>
    <t>2128</t>
  </si>
  <si>
    <t>2329</t>
  </si>
  <si>
    <t>1673</t>
  </si>
  <si>
    <t>ENVIOU PELOS CORREIOS - PAGOU A MAIS</t>
  </si>
  <si>
    <t>QUIUQUI COMERCIO E SERV</t>
  </si>
  <si>
    <t>3423</t>
  </si>
  <si>
    <t>2104</t>
  </si>
  <si>
    <t>3414</t>
  </si>
  <si>
    <t>8697</t>
  </si>
  <si>
    <t>3749</t>
  </si>
  <si>
    <t>8713</t>
  </si>
  <si>
    <t>R D FERREIRA AMORIM</t>
  </si>
  <si>
    <t>1438</t>
  </si>
  <si>
    <t>1685</t>
  </si>
  <si>
    <t>463</t>
  </si>
  <si>
    <t>1913</t>
  </si>
  <si>
    <t>491</t>
  </si>
  <si>
    <t>2092</t>
  </si>
  <si>
    <t>608</t>
  </si>
  <si>
    <t>2406</t>
  </si>
  <si>
    <t>R K CASA DA MADEIRA</t>
  </si>
  <si>
    <t>Como foi pago?</t>
  </si>
  <si>
    <t>R R DOS REIS MATERIAIS DE CONST</t>
  </si>
  <si>
    <t>1108</t>
  </si>
  <si>
    <t>3551</t>
  </si>
  <si>
    <t>3841</t>
  </si>
  <si>
    <t>RAFAR ESQUADRIAS DE MADEIRAS</t>
  </si>
  <si>
    <t>1010</t>
  </si>
  <si>
    <t>3137</t>
  </si>
  <si>
    <t>583</t>
  </si>
  <si>
    <t>2375</t>
  </si>
  <si>
    <t>11789</t>
  </si>
  <si>
    <t>3282</t>
  </si>
  <si>
    <t>1949</t>
  </si>
  <si>
    <t>5090</t>
  </si>
  <si>
    <t>3115</t>
  </si>
  <si>
    <t>8756</t>
  </si>
  <si>
    <t>3903</t>
  </si>
  <si>
    <t>RANGEL COM DE MAD E ESQ</t>
  </si>
  <si>
    <t>Viana (ES)</t>
  </si>
  <si>
    <t>1794</t>
  </si>
  <si>
    <t>cliente pagou à vista dia 26/12/23</t>
  </si>
  <si>
    <t>RD LORENZONI (RODRIGO)</t>
  </si>
  <si>
    <t>8170</t>
  </si>
  <si>
    <t>2557</t>
  </si>
  <si>
    <t>RDV MADEIRAS COM E SERV</t>
  </si>
  <si>
    <t>693</t>
  </si>
  <si>
    <t>2144</t>
  </si>
  <si>
    <t>1040</t>
  </si>
  <si>
    <t>2710</t>
  </si>
  <si>
    <t>492</t>
  </si>
  <si>
    <t>2149</t>
  </si>
  <si>
    <t>721</t>
  </si>
  <si>
    <t>2924</t>
  </si>
  <si>
    <t>RDV MADEIRAS COMERCIO E SERV</t>
  </si>
  <si>
    <t>V.N. do Imigrante (ES)</t>
  </si>
  <si>
    <t>1477</t>
  </si>
  <si>
    <t>3810</t>
  </si>
  <si>
    <t>REDES PRE-MOLDADOS IND E COM</t>
  </si>
  <si>
    <t>1150</t>
  </si>
  <si>
    <t>3847</t>
  </si>
  <si>
    <t>REV INDUSTRIA E COM DE MAD</t>
  </si>
  <si>
    <t>1011</t>
  </si>
  <si>
    <t>3179</t>
  </si>
  <si>
    <t>3581</t>
  </si>
  <si>
    <t>8388</t>
  </si>
  <si>
    <t>3060</t>
  </si>
  <si>
    <t>RK CASA DA MADEIRA</t>
  </si>
  <si>
    <t>598</t>
  </si>
  <si>
    <t>2376</t>
  </si>
  <si>
    <t>626</t>
  </si>
  <si>
    <t>2574</t>
  </si>
  <si>
    <t>689</t>
  </si>
  <si>
    <t>2854</t>
  </si>
  <si>
    <t>755</t>
  </si>
  <si>
    <t>3375 e 3406</t>
  </si>
  <si>
    <t>829 e 830</t>
  </si>
  <si>
    <t>3892</t>
  </si>
  <si>
    <t>RL MADEIRA E MAT DE CONST</t>
  </si>
  <si>
    <t>7528</t>
  </si>
  <si>
    <t>1509</t>
  </si>
  <si>
    <t>PAGAMENTO DIRETO LUCIANO C 4% DESCONTO</t>
  </si>
  <si>
    <t>ROMULO ALMEIDA BORSOI</t>
  </si>
  <si>
    <t>3210</t>
  </si>
  <si>
    <t>4821</t>
  </si>
  <si>
    <t>2310</t>
  </si>
  <si>
    <t>4970</t>
  </si>
  <si>
    <t>2616</t>
  </si>
  <si>
    <t>5192</t>
  </si>
  <si>
    <t>3476</t>
  </si>
  <si>
    <t>12651</t>
  </si>
  <si>
    <t>4105</t>
  </si>
  <si>
    <t>ROMULO BORSOI (GHR)</t>
  </si>
  <si>
    <t>ROMULO BORSOI (MARCON)</t>
  </si>
  <si>
    <t>SANTA CLARA MAT DE CONST</t>
  </si>
  <si>
    <t>18</t>
  </si>
  <si>
    <t>3173</t>
  </si>
  <si>
    <t>26</t>
  </si>
  <si>
    <t>3279</t>
  </si>
  <si>
    <t>59</t>
  </si>
  <si>
    <t>3397</t>
  </si>
  <si>
    <t>107</t>
  </si>
  <si>
    <t>3819</t>
  </si>
  <si>
    <t>4253 e 4299</t>
  </si>
  <si>
    <t>SANTO ANTONIO MAT DE CONST</t>
  </si>
  <si>
    <t>1449</t>
  </si>
  <si>
    <t>3825</t>
  </si>
  <si>
    <t>2446</t>
  </si>
  <si>
    <t>4076</t>
  </si>
  <si>
    <t>SAO BENTO - IND COM ART MAD</t>
  </si>
  <si>
    <t>1072</t>
  </si>
  <si>
    <t>2690</t>
  </si>
  <si>
    <t>1450</t>
  </si>
  <si>
    <t>3808</t>
  </si>
  <si>
    <t>SAO JOSE MATERIAL DE CONST</t>
  </si>
  <si>
    <t>3768</t>
  </si>
  <si>
    <t>SCHAEFFER COM MAT DE CONST</t>
  </si>
  <si>
    <t>1652</t>
  </si>
  <si>
    <t>4007</t>
  </si>
  <si>
    <t>SEBASTIAO GERALDO DORNELLAS</t>
  </si>
  <si>
    <t xml:space="preserve">1409 </t>
  </si>
  <si>
    <t>3342</t>
  </si>
  <si>
    <t>1869</t>
  </si>
  <si>
    <t>Teve diferença - FALTOU - 80,19 m Cambara - atualizar acerto</t>
  </si>
  <si>
    <t>2162</t>
  </si>
  <si>
    <t>2370</t>
  </si>
  <si>
    <t>2885</t>
  </si>
  <si>
    <t>3025</t>
  </si>
  <si>
    <t>3112</t>
  </si>
  <si>
    <t>3767</t>
  </si>
  <si>
    <t>575</t>
  </si>
  <si>
    <t>2251</t>
  </si>
  <si>
    <t>773</t>
  </si>
  <si>
    <t>3385</t>
  </si>
  <si>
    <t>806</t>
  </si>
  <si>
    <t>3668</t>
  </si>
  <si>
    <t>1728</t>
  </si>
  <si>
    <t>10676</t>
  </si>
  <si>
    <t>2192</t>
  </si>
  <si>
    <t>10677</t>
  </si>
  <si>
    <t>1389</t>
  </si>
  <si>
    <t>2394</t>
  </si>
  <si>
    <t>1405</t>
  </si>
  <si>
    <t>2342</t>
  </si>
  <si>
    <t>10955</t>
  </si>
  <si>
    <t>11117</t>
  </si>
  <si>
    <t>2628</t>
  </si>
  <si>
    <t>11307</t>
  </si>
  <si>
    <t>2741</t>
  </si>
  <si>
    <t>11308</t>
  </si>
  <si>
    <t>11309</t>
  </si>
  <si>
    <t>1720</t>
  </si>
  <si>
    <t>3024</t>
  </si>
  <si>
    <t>11551</t>
  </si>
  <si>
    <t>11552</t>
  </si>
  <si>
    <t>1780 e 11634</t>
  </si>
  <si>
    <t>3111</t>
  </si>
  <si>
    <t>11894</t>
  </si>
  <si>
    <t>3356</t>
  </si>
  <si>
    <t>2042</t>
  </si>
  <si>
    <t>5019</t>
  </si>
  <si>
    <t>2871</t>
  </si>
  <si>
    <t>5304</t>
  </si>
  <si>
    <t>3994</t>
  </si>
  <si>
    <t>7445</t>
  </si>
  <si>
    <t>1490</t>
  </si>
  <si>
    <t>IMPRIMIR</t>
  </si>
  <si>
    <t>SEBASTIAO GERALDO DORNELLAS - HELENILDA</t>
  </si>
  <si>
    <t>1422</t>
  </si>
  <si>
    <t>3755</t>
  </si>
  <si>
    <t>SEBASTIAO GERALDO DORNELLAS (JP ESQUADRIAS)</t>
  </si>
  <si>
    <t>3653</t>
  </si>
  <si>
    <t>SERMAD - SERNAMBI MADEIRAS</t>
  </si>
  <si>
    <t>121</t>
  </si>
  <si>
    <t>3881</t>
  </si>
  <si>
    <t>3712</t>
  </si>
  <si>
    <t>3677</t>
  </si>
  <si>
    <t>1628</t>
  </si>
  <si>
    <t>DIFERENÇA - 300,00 (FALTOU MATERIAL)</t>
  </si>
  <si>
    <t>3927</t>
  </si>
  <si>
    <t>3394</t>
  </si>
  <si>
    <t>467</t>
  </si>
  <si>
    <t>1901</t>
  </si>
  <si>
    <t>551</t>
  </si>
  <si>
    <t>2063</t>
  </si>
  <si>
    <t>590</t>
  </si>
  <si>
    <t>2369</t>
  </si>
  <si>
    <t>662</t>
  </si>
  <si>
    <t>2753</t>
  </si>
  <si>
    <t>717</t>
  </si>
  <si>
    <t>3176</t>
  </si>
  <si>
    <t>768</t>
  </si>
  <si>
    <t>3388</t>
  </si>
  <si>
    <t>831</t>
  </si>
  <si>
    <t>3961</t>
  </si>
  <si>
    <t>5096</t>
  </si>
  <si>
    <t>3087</t>
  </si>
  <si>
    <t>8341</t>
  </si>
  <si>
    <t>2754</t>
  </si>
  <si>
    <t>808</t>
  </si>
  <si>
    <t>3180</t>
  </si>
  <si>
    <t>3869</t>
  </si>
  <si>
    <t>12719</t>
  </si>
  <si>
    <t>4162</t>
  </si>
  <si>
    <t>4085</t>
  </si>
  <si>
    <t>SERRA (MAR E SOL)</t>
  </si>
  <si>
    <t>797</t>
  </si>
  <si>
    <t>2437</t>
  </si>
  <si>
    <t>2443</t>
  </si>
  <si>
    <t>SERRA MADEIRAS</t>
  </si>
  <si>
    <t>796</t>
  </si>
  <si>
    <t>CH recebido e depositado p/ Gabrielense 21/11/23</t>
  </si>
  <si>
    <t xml:space="preserve">Pago atrasado por PIX p/ Ogura Rep - desconto negociado de 175,00 p/ facilitar o recebimento </t>
  </si>
  <si>
    <t>2848</t>
  </si>
  <si>
    <t>SOBERANA MPG MAT DE CONST</t>
  </si>
  <si>
    <t>SOMAMIL SOCIEDADE DE MAD</t>
  </si>
  <si>
    <t>868</t>
  </si>
  <si>
    <t>4134</t>
  </si>
  <si>
    <t>2086</t>
  </si>
  <si>
    <t>3002</t>
  </si>
  <si>
    <t>3945</t>
  </si>
  <si>
    <t>468</t>
  </si>
  <si>
    <t>1967</t>
  </si>
  <si>
    <t>567</t>
  </si>
  <si>
    <t>2236</t>
  </si>
  <si>
    <t>642</t>
  </si>
  <si>
    <t>2594</t>
  </si>
  <si>
    <t>767</t>
  </si>
  <si>
    <t>3370</t>
  </si>
  <si>
    <t>793</t>
  </si>
  <si>
    <t>3573</t>
  </si>
  <si>
    <t>3679</t>
  </si>
  <si>
    <t>1721</t>
  </si>
  <si>
    <t>5111</t>
  </si>
  <si>
    <t>3171</t>
  </si>
  <si>
    <t>5190</t>
  </si>
  <si>
    <t>3472</t>
  </si>
  <si>
    <t>7728</t>
  </si>
  <si>
    <t>2003</t>
  </si>
  <si>
    <t>1672</t>
  </si>
  <si>
    <t>3266</t>
  </si>
  <si>
    <t>3874</t>
  </si>
  <si>
    <t>12650</t>
  </si>
  <si>
    <t>4106</t>
  </si>
  <si>
    <t>12888</t>
  </si>
  <si>
    <t>4336</t>
  </si>
  <si>
    <t>SPETTUS</t>
  </si>
  <si>
    <t>TROCAR CHEQUE (DATA ERRADA 05/2023)</t>
  </si>
  <si>
    <t>T J COMERCIO VAREJISTA DE MAD</t>
  </si>
  <si>
    <t>3096</t>
  </si>
  <si>
    <t>723</t>
  </si>
  <si>
    <t>3211</t>
  </si>
  <si>
    <t>787</t>
  </si>
  <si>
    <t>3585</t>
  </si>
  <si>
    <t>4355</t>
  </si>
  <si>
    <t>TITOE MADEIRAS</t>
  </si>
  <si>
    <t>1551</t>
  </si>
  <si>
    <t>1119</t>
  </si>
  <si>
    <t>2788</t>
  </si>
  <si>
    <t>1153</t>
  </si>
  <si>
    <t>1281</t>
  </si>
  <si>
    <t>3125</t>
  </si>
  <si>
    <t>1447</t>
  </si>
  <si>
    <t>3809</t>
  </si>
  <si>
    <t>1470</t>
  </si>
  <si>
    <t>3913</t>
  </si>
  <si>
    <t>987</t>
  </si>
  <si>
    <t>3083</t>
  </si>
  <si>
    <t>Houve correção no romaneio</t>
  </si>
  <si>
    <t>2583</t>
  </si>
  <si>
    <t>2844</t>
  </si>
  <si>
    <t>3725</t>
  </si>
  <si>
    <t>3675</t>
  </si>
  <si>
    <t>2623</t>
  </si>
  <si>
    <t>3947</t>
  </si>
  <si>
    <t>1401</t>
  </si>
  <si>
    <t>2504</t>
  </si>
  <si>
    <t>4850</t>
  </si>
  <si>
    <t>2418</t>
  </si>
  <si>
    <t>REVISAR PAGAMENTOS (Correção valor frete e Diferença na conferência do romaneio)</t>
  </si>
  <si>
    <t>4988</t>
  </si>
  <si>
    <t>2706</t>
  </si>
  <si>
    <t>5176</t>
  </si>
  <si>
    <t>3424</t>
  </si>
  <si>
    <t>8241</t>
  </si>
  <si>
    <t>2742</t>
  </si>
  <si>
    <t>3155</t>
  </si>
  <si>
    <t>008</t>
  </si>
  <si>
    <t>3860</t>
  </si>
  <si>
    <t>TITOE (MAD GONCALVES)</t>
  </si>
  <si>
    <t>4075</t>
  </si>
  <si>
    <t>TITOE MADEIRAS LTDA ME</t>
  </si>
  <si>
    <t>3821</t>
  </si>
  <si>
    <t>TJ COM VAREJISTA DE MAD</t>
  </si>
  <si>
    <t>980</t>
  </si>
  <si>
    <t>2978</t>
  </si>
  <si>
    <t>2549</t>
  </si>
  <si>
    <t>1841</t>
  </si>
  <si>
    <t>574</t>
  </si>
  <si>
    <t>2242</t>
  </si>
  <si>
    <t>637</t>
  </si>
  <si>
    <t>2550</t>
  </si>
  <si>
    <t>850</t>
  </si>
  <si>
    <t>3968</t>
  </si>
  <si>
    <t>TREVIZANI (REFUGO M.F.)</t>
  </si>
  <si>
    <t>TREVIZANI MADEIRAS E TELHADOS</t>
  </si>
  <si>
    <t>1642</t>
  </si>
  <si>
    <t>451</t>
  </si>
  <si>
    <t>1861</t>
  </si>
  <si>
    <t>579</t>
  </si>
  <si>
    <t>2268</t>
  </si>
  <si>
    <t>611</t>
  </si>
  <si>
    <t>2400</t>
  </si>
  <si>
    <t>668</t>
  </si>
  <si>
    <t>2892</t>
  </si>
  <si>
    <t>722</t>
  </si>
  <si>
    <t>3263</t>
  </si>
  <si>
    <t>733</t>
  </si>
  <si>
    <t>3277</t>
  </si>
  <si>
    <t>838</t>
  </si>
  <si>
    <t>3911</t>
  </si>
  <si>
    <t>12449</t>
  </si>
  <si>
    <t>3889</t>
  </si>
  <si>
    <t>5164</t>
  </si>
  <si>
    <t>3269</t>
  </si>
  <si>
    <t>8660</t>
  </si>
  <si>
    <t>VAGNO FRANK</t>
  </si>
  <si>
    <t>845</t>
  </si>
  <si>
    <t>3999</t>
  </si>
  <si>
    <t>4838</t>
  </si>
  <si>
    <t>2353</t>
  </si>
  <si>
    <t>4997</t>
  </si>
  <si>
    <t>2705</t>
  </si>
  <si>
    <t>FICOU COM CREDITO DE R$ 866,17 PRO PROXIMO ACERTO</t>
  </si>
  <si>
    <t>5050</t>
  </si>
  <si>
    <t>2921</t>
  </si>
  <si>
    <t>5100</t>
  </si>
  <si>
    <t>3131</t>
  </si>
  <si>
    <t>5215</t>
  </si>
  <si>
    <t>3572</t>
  </si>
  <si>
    <t>RECEBER</t>
  </si>
  <si>
    <t>5305</t>
  </si>
  <si>
    <t>3995</t>
  </si>
  <si>
    <t>OK (Envelope)</t>
  </si>
  <si>
    <t>1535</t>
  </si>
  <si>
    <t>3904</t>
  </si>
  <si>
    <t>1581</t>
  </si>
  <si>
    <t>1582</t>
  </si>
  <si>
    <t>VAGNO FRANK ME (EF ESQUADRIA)</t>
  </si>
  <si>
    <t>11823</t>
  </si>
  <si>
    <t>3290</t>
  </si>
  <si>
    <t>2227</t>
  </si>
  <si>
    <t>3563</t>
  </si>
  <si>
    <t>12061</t>
  </si>
  <si>
    <t>3564</t>
  </si>
  <si>
    <t>VALDECIR CORRADI ME</t>
  </si>
  <si>
    <t>5052</t>
  </si>
  <si>
    <t>2840</t>
  </si>
  <si>
    <t>VARGAS &amp; VARGAS</t>
  </si>
  <si>
    <t>Marataízes (ES)</t>
  </si>
  <si>
    <t>1550</t>
  </si>
  <si>
    <t>10 - Litoral Sul</t>
  </si>
  <si>
    <t>496</t>
  </si>
  <si>
    <t>2091</t>
  </si>
  <si>
    <t>610</t>
  </si>
  <si>
    <t>2410</t>
  </si>
  <si>
    <t>780</t>
  </si>
  <si>
    <t>3450</t>
  </si>
  <si>
    <t>810</t>
  </si>
  <si>
    <t>3710</t>
  </si>
  <si>
    <t>4256</t>
  </si>
  <si>
    <t>VCR - MATERIAL DE CONST</t>
  </si>
  <si>
    <t>Pancas (ES)</t>
  </si>
  <si>
    <t>12037</t>
  </si>
  <si>
    <t>3535</t>
  </si>
  <si>
    <t>VCR - MATERIAL DE CONSTRUCAO</t>
  </si>
  <si>
    <t>2321</t>
  </si>
  <si>
    <t>2974</t>
  </si>
  <si>
    <t>4131</t>
  </si>
  <si>
    <t>VIALAR MATERIAL DE CONST</t>
  </si>
  <si>
    <t>957</t>
  </si>
  <si>
    <t>2542</t>
  </si>
  <si>
    <t>Icms de Frete (pago - pix direto fornecedor)</t>
  </si>
  <si>
    <t>2749</t>
  </si>
  <si>
    <t>2973</t>
  </si>
  <si>
    <t>5183</t>
  </si>
  <si>
    <t>3430</t>
  </si>
  <si>
    <t>5256</t>
  </si>
  <si>
    <t>3703</t>
  </si>
  <si>
    <t>VICOM IND E COM DE ESQ</t>
  </si>
  <si>
    <t>Diferença 393,00 - 50,30 (Correios) = 342,70 DEBITOU LUCIANO no ACERTO de COMISSÃO</t>
  </si>
  <si>
    <t>1607</t>
  </si>
  <si>
    <t>Atualizou o valor dos alizares - Entrou para acerto de comissão com Luciano</t>
  </si>
  <si>
    <t>465</t>
  </si>
  <si>
    <t>1885</t>
  </si>
  <si>
    <t>700</t>
  </si>
  <si>
    <t>2904</t>
  </si>
  <si>
    <t>5070</t>
  </si>
  <si>
    <t>3046</t>
  </si>
  <si>
    <t>5081</t>
  </si>
  <si>
    <t>3075</t>
  </si>
  <si>
    <t>VICOM IND E COM DE ESQ (FERREIRA &amp; NESPOLI)</t>
  </si>
  <si>
    <t>3296</t>
  </si>
  <si>
    <t>VILA NOVA MAD E MAT DE CONST</t>
  </si>
  <si>
    <t>663 / 665</t>
  </si>
  <si>
    <t>2058</t>
  </si>
  <si>
    <t>2506</t>
  </si>
  <si>
    <t>3721</t>
  </si>
  <si>
    <t>3956</t>
  </si>
  <si>
    <t>843</t>
  </si>
  <si>
    <t>3998</t>
  </si>
  <si>
    <t>4763</t>
  </si>
  <si>
    <t>2204</t>
  </si>
  <si>
    <t>5292</t>
  </si>
  <si>
    <t>3830</t>
  </si>
  <si>
    <t>8622</t>
  </si>
  <si>
    <t>3632</t>
  </si>
  <si>
    <t>3871</t>
  </si>
  <si>
    <t>3963</t>
  </si>
  <si>
    <t>VILLA MADEIRAS</t>
  </si>
  <si>
    <t>DOUGLAS / DC - RECEBIMENTO ATRASADO</t>
  </si>
  <si>
    <t>12717</t>
  </si>
  <si>
    <t>4175</t>
  </si>
  <si>
    <t>044</t>
  </si>
  <si>
    <t>4360</t>
  </si>
  <si>
    <t xml:space="preserve">VILLA MADEIRAS </t>
  </si>
  <si>
    <t>1059</t>
  </si>
  <si>
    <t>3474</t>
  </si>
  <si>
    <t>VILLA MADEIRAS (REFUGO SEBASTIAO)</t>
  </si>
  <si>
    <t>11634</t>
  </si>
  <si>
    <t>VILMAR / PEDRA AZUL</t>
  </si>
  <si>
    <t>494</t>
  </si>
  <si>
    <t>VILMAR PASCOAL MAYER</t>
  </si>
  <si>
    <t>3763</t>
  </si>
  <si>
    <t>1703</t>
  </si>
  <si>
    <t>450</t>
  </si>
  <si>
    <t>1859</t>
  </si>
  <si>
    <t>2150</t>
  </si>
  <si>
    <t>655</t>
  </si>
  <si>
    <t>2666</t>
  </si>
  <si>
    <t>666</t>
  </si>
  <si>
    <t>2819</t>
  </si>
  <si>
    <t>779</t>
  </si>
  <si>
    <t>3417</t>
  </si>
  <si>
    <t>3709</t>
  </si>
  <si>
    <t>4713</t>
  </si>
  <si>
    <t>2009</t>
  </si>
  <si>
    <t>5101</t>
  </si>
  <si>
    <t>3010</t>
  </si>
  <si>
    <t>8621</t>
  </si>
  <si>
    <t>3437</t>
  </si>
  <si>
    <t>Pgto integral em 60 dias - Pix p/ M. Vitoria</t>
  </si>
  <si>
    <t>VINAND (REFUGO IMPERIO)</t>
  </si>
  <si>
    <t>VINAND &amp; VINAND</t>
  </si>
  <si>
    <t>9711</t>
  </si>
  <si>
    <t>3526</t>
  </si>
  <si>
    <t>1106</t>
  </si>
  <si>
    <t>3744</t>
  </si>
  <si>
    <t>12694</t>
  </si>
  <si>
    <t>4161</t>
  </si>
  <si>
    <t>12852</t>
  </si>
  <si>
    <t>4278</t>
  </si>
  <si>
    <t>4208</t>
  </si>
  <si>
    <t>VINAND &amp; VINAND LTDA ME</t>
  </si>
  <si>
    <t>8806</t>
  </si>
  <si>
    <t>4065</t>
  </si>
  <si>
    <t>VISTA ALEGRE MAT DE CONST</t>
  </si>
  <si>
    <t>12135</t>
  </si>
  <si>
    <t>3633</t>
  </si>
  <si>
    <t>12772</t>
  </si>
  <si>
    <t>4223</t>
  </si>
  <si>
    <t>VIWA MADEIRAS</t>
  </si>
  <si>
    <t>3464</t>
  </si>
  <si>
    <t>1 e 2</t>
  </si>
  <si>
    <t>CAOS VIWA + VILMAR</t>
  </si>
  <si>
    <t>Pagamentos sempre após o prazo</t>
  </si>
  <si>
    <t>RECEBER 10,00 A MAIS - faltou acerto anterior</t>
  </si>
  <si>
    <t>W A CONSTRUCOES</t>
  </si>
  <si>
    <t>parcelas 1 e 2 pagas ao fornecedor</t>
  </si>
  <si>
    <t>ZUMERLE COMERCIO E SERVICOS</t>
  </si>
  <si>
    <t>7481</t>
  </si>
  <si>
    <t>1621</t>
  </si>
  <si>
    <t>1225</t>
  </si>
  <si>
    <t>4279 e 4301</t>
  </si>
  <si>
    <t>4207</t>
  </si>
  <si>
    <t>4357</t>
  </si>
  <si>
    <t>4367</t>
  </si>
  <si>
    <t>1226</t>
  </si>
  <si>
    <t>4300</t>
  </si>
  <si>
    <t>Acompanhamento de Pagamentos - EM ABERTO</t>
  </si>
  <si>
    <t>Situação</t>
  </si>
  <si>
    <t>Vencimento</t>
  </si>
  <si>
    <t>A Receber</t>
  </si>
  <si>
    <t>Para</t>
  </si>
  <si>
    <t>Pago em:</t>
  </si>
  <si>
    <t>Valor Pago:</t>
  </si>
  <si>
    <t>Diferença:</t>
  </si>
  <si>
    <t>Pagamento</t>
  </si>
  <si>
    <t>GRUPO SOLO</t>
  </si>
  <si>
    <t>Parcela 5/5 (Pix: 29/04/24)</t>
  </si>
  <si>
    <t>Parcela 1/3 (Pix: 1.187,72 + 1.900 + 1.800)</t>
  </si>
  <si>
    <t>Diferença Transporte (nota Vilmar)</t>
  </si>
  <si>
    <t>Parcela 2/3 (Pix: 1.787,72 + 1.600 + 1.500)</t>
  </si>
  <si>
    <t>Parcela 3/3</t>
  </si>
  <si>
    <t>Parcela 1/3 - Pix p/ Ogura</t>
  </si>
  <si>
    <t>Parcela 2/3 - Pix p/ Ogura</t>
  </si>
  <si>
    <t>Parcela 3/3 - Pix p/ Ogura</t>
  </si>
  <si>
    <t>Parcela 2/3 - Pix - Direto ao Fornecedor</t>
  </si>
  <si>
    <t>Parcela 3/3 - Pix - Direto ao Fornecedor</t>
  </si>
  <si>
    <t>Parcela 3/3 - Pix p/ Madeiras Vitoria</t>
  </si>
  <si>
    <t>WA CONSTRUCOES</t>
  </si>
  <si>
    <t>Parcela 1/3 - Pix p/ Ogura Rep</t>
  </si>
  <si>
    <t>Parcela 1/5 (outras em ch). Pix p/ Ogura</t>
  </si>
  <si>
    <t>Parcela 2/3 - Pix p/ GT Madeiras</t>
  </si>
  <si>
    <t>Parcela 3/3 - Pix p/ S. Brocado</t>
  </si>
  <si>
    <t>Parcela 1/4 - Pix p/ GT - Madeiras</t>
  </si>
  <si>
    <t>Parcela 2/4 - Pix p/ Brasil Flora</t>
  </si>
  <si>
    <t>Parcela 3/4 - Pix p/ Mad. Vitoria</t>
  </si>
  <si>
    <t>Parcela 4/4 - Pix p/ Madepol</t>
  </si>
  <si>
    <t>Parcela 1 (…)</t>
  </si>
  <si>
    <t>ICMS de Frete - Deposito $ p/ GT (pgt misto: + Maderazi Nf 7761 e Icms GT)</t>
  </si>
  <si>
    <t>Parcela 1/4 (Ref: NF 7761) - Deposito $ p/ GT (pgt misto: + Icms Maderazi e Icms GT)</t>
  </si>
  <si>
    <t>Parcela 2/4 - Deposito $ p/ S. Brocado</t>
  </si>
  <si>
    <t>Parcela 3/4 - Dep $ p/ S. Brocado (por engano) - André devolveu pix p/ KL Art</t>
  </si>
  <si>
    <t>Parcela 4/4 - Pix p/ Ogura</t>
  </si>
  <si>
    <t>Pgto integral em 60 dias - Pix p/ Madepol</t>
  </si>
  <si>
    <t>Parcela 1/3 - Pago p/ WD Neuhaus</t>
  </si>
  <si>
    <t>Parcela 2/3 - Pago p/ WD Neuhaus</t>
  </si>
  <si>
    <t>Parcela 3/3 - Pago p/ WD Neuhaus</t>
  </si>
  <si>
    <t>ICMS de Frete - Deposito $ p/ GT Mad. (pgt misto: + Maderazi Icms e Nf 7761)</t>
  </si>
  <si>
    <t>Parcela 1/5 (Pgto direto ao fornecedor 1592,65 + 1.488 p/ GT)</t>
  </si>
  <si>
    <t>Dif. no Recebimento (Pix ao fornecedor)</t>
  </si>
  <si>
    <t>Parcela 2/5 - Pgto direto ao fornecedor</t>
  </si>
  <si>
    <t>Parcela 3/5 - Pix p/ Ogura</t>
  </si>
  <si>
    <t>Parcela 4/5 - Pix p/ Ogura</t>
  </si>
  <si>
    <t>Parcela 5/5 - Pix p/ Ogura</t>
  </si>
  <si>
    <t>Parcela 1/5</t>
  </si>
  <si>
    <t>FERREIRA &amp; NESPOLI MADEIRAS</t>
  </si>
  <si>
    <t>Parcela 1</t>
  </si>
  <si>
    <t>Parcela 1 (Pix diretamente ao fornecedor)</t>
  </si>
  <si>
    <t>Parcela 1 ao fornecedor</t>
  </si>
  <si>
    <t>ICMS de Frete - Pix p/ S. Brocado</t>
  </si>
  <si>
    <t>Parcela 1/4 - Pix p/ S. Brocado</t>
  </si>
  <si>
    <t>Parcelas: 2/4 - Pix p/ GT - Madeiras
(R$ 14.802,00 - 3 parcelas)</t>
  </si>
  <si>
    <t>Parcela 3/4 - Pix p/ GT - Madeiras
(R$ 14.802,00 - 3 parcelas)</t>
  </si>
  <si>
    <t>Parcela 4/4 - Pix p/ GT - Madeiras
(R$ 14.802,00 - 3 parcelas)</t>
  </si>
  <si>
    <t>Parcela 1/3 - Pix p/ GT Madeiras</t>
  </si>
  <si>
    <t>Parcela 2/3 - P/ Compensados Horizonte</t>
  </si>
  <si>
    <t>Parcela 3/3 - Pix p/ KL Artefatos</t>
  </si>
  <si>
    <t>Parcela 2/5</t>
  </si>
  <si>
    <t>Parcela 1/3 - Pix p/ Madepol</t>
  </si>
  <si>
    <t>Parcela 2/3 - Pix p/ Madepol (1.300 + 7.556,20)</t>
  </si>
  <si>
    <t>Parcela 3/3 - Pix p/ Madepol</t>
  </si>
  <si>
    <t>Parcela 1/3 - Pix p/ WD Neuhaus</t>
  </si>
  <si>
    <t>CHEQUE</t>
  </si>
  <si>
    <t>Parcelas 2/3 e 3/3 - Cheque Recebido</t>
  </si>
  <si>
    <t>ICMS de Frete - Pix direto p/ fornecedor</t>
  </si>
  <si>
    <t>ICMS de Frete - Pix p/ Brasil Flora</t>
  </si>
  <si>
    <t>Parcela 1 - Pix p/ Tamarino (…) coletar cheques p/ restantes</t>
  </si>
  <si>
    <t>Parcela 1/3 - Pix p/ Tamarino</t>
  </si>
  <si>
    <t>Parcela 1/5 - Pix p/ Tamarino</t>
  </si>
  <si>
    <t>Parcela 2/5 - Pix p/ Brasil Flora 
(R$ 5.788,00 - 2 parcelas)</t>
  </si>
  <si>
    <t>Parcela 2/3 - Pix p/ Brasil Flora</t>
  </si>
  <si>
    <t>Parcela 3/5 - Pix p/ Brasil Flora 
(R$ 5.788,00 - 2 parcelas)</t>
  </si>
  <si>
    <t>Parcela 4/5 - Pix p/ Brasil Flora</t>
  </si>
  <si>
    <t>Parcela 3/5</t>
  </si>
  <si>
    <t>Pgto com desconto (3%) p/ M. Vitoria</t>
  </si>
  <si>
    <t>Parcela 1/3 - Deposito em dinheiro p/ Madeiras Vitoria</t>
  </si>
  <si>
    <t>Parcela 2/3 - Dep. (dinheiro) p/ Ogura Rep</t>
  </si>
  <si>
    <t>Parcela 3/3 - Dep. (dinheiro) p/ Ogura Rep</t>
  </si>
  <si>
    <t>Parcela 4/5</t>
  </si>
  <si>
    <t>Pagamento integral (atrasado) - Pix p/ Ogura Rep</t>
  </si>
  <si>
    <t>Parcela 5/5</t>
  </si>
  <si>
    <t>CHs recebidos Ogura Rep (3 x 2960,00)</t>
  </si>
  <si>
    <t>Pgto av c/ 4% desc. p/ Ogura. O acerto c/ fornecedor será feito por Ogura c/ 5% av.</t>
  </si>
  <si>
    <t>Parcela 1/4 - Pix p/ Comp. Horizonte</t>
  </si>
  <si>
    <t>Parcela 2/4 - Pix p/ Comp. Horizonte</t>
  </si>
  <si>
    <t>Parcela 3/4 - Pix p/ Ogura Rep</t>
  </si>
  <si>
    <t>Parcela 4/4 - Pix p/ Compensados Horizonte por engano</t>
  </si>
  <si>
    <t>CHs ao motorista / WD (3 x 7077,00)</t>
  </si>
  <si>
    <t>Pagamento integral - Pix p/ Ogura Rep</t>
  </si>
  <si>
    <t>Parcela 1/3 - Pix p Mad Vitória (2 parcelas)</t>
  </si>
  <si>
    <t>ICMS de Frete + Parcela 1/3 - Pix p/ Madepol</t>
  </si>
  <si>
    <t>Parcela 2/3 - Pix p Mad Vitória (2 parcelas)</t>
  </si>
  <si>
    <t>Cheque recebido - 701009 (Para 15/10/24)</t>
  </si>
  <si>
    <t>Parcela 3/3 - Pix p/ Ogura (C)</t>
  </si>
  <si>
    <t>Parcela 2/3 - Pix p/ Ogura (T)</t>
  </si>
  <si>
    <t>Parcela 1/4 - Pix p/ Ogura (T)</t>
  </si>
  <si>
    <t>Parcela 2/4 - Cheque Recebido (02/10/24)</t>
  </si>
  <si>
    <t>Parcela 3/4 - Cheque Recebido (02/10/24)</t>
  </si>
  <si>
    <t>Parcela 4/4 - Cheque Recebido (02/10/24)</t>
  </si>
  <si>
    <t>Parcela 1/3 - Pix p/ Madeflona</t>
  </si>
  <si>
    <t>Parcela 2/3 - Cheque Recebido (02/10/24)</t>
  </si>
  <si>
    <t>Parcela 3/3 - Cheque Recebido (02/10/24)</t>
  </si>
  <si>
    <t>ELIZEU MAT DE CONST (GHR)</t>
  </si>
  <si>
    <t>Parcela: 1/3 - Pix integral p/ C. Horizonte
(R$ 9.120,00 - 3 parcelas)</t>
  </si>
  <si>
    <t>Parcela: 2/3 - Pix integral p/ C. Horizonte
(R$ 9.120,00 - 3 parcelas)</t>
  </si>
  <si>
    <t>Parcela: 3/3 - Pix integral p/ C. Horizonte
(R$ 9.120,00 - 3 parcelas)</t>
  </si>
  <si>
    <t>Parcela 1/3 - P/ Compensados Horizonte (2026,40 + 600)</t>
  </si>
  <si>
    <t>Parcela 2/3 - Pix p/ Comp. Horizonte</t>
  </si>
  <si>
    <t>Parcela 3/3 - Pix p/ Mad. Tamarino</t>
  </si>
  <si>
    <t>Parcela 1/4 - Cheque Recebido (02/10/24)</t>
  </si>
  <si>
    <t>Parcela 1/3 - Cheque Recebido (02/10/24)</t>
  </si>
  <si>
    <t>Parcela 1/5 - Pix p/ Gabrielense</t>
  </si>
  <si>
    <t>Parcela 2/5 - Pix p/ Gabrielense</t>
  </si>
  <si>
    <t>Parcela 3/5 - Pix p/ Ogura Rep (Luiz)</t>
  </si>
  <si>
    <t>Diferença recebimento misto (Cichelero + Mad Vitoria) - Pix p/ Mad. Vitoria</t>
  </si>
  <si>
    <t>Pagamento à vista - Pix p/ Ogura - Excedente é o valor do Frete ( ! )</t>
  </si>
  <si>
    <t>Pagamento integral - Pix p/ Mad. Vitoria</t>
  </si>
  <si>
    <t>Pagamento à vista - Pix p/ Madepol</t>
  </si>
  <si>
    <t>BOLDT MADEIRAS LTDA ME</t>
  </si>
  <si>
    <t xml:space="preserve">Parcela 1/2 - Pix p/ Madepol </t>
  </si>
  <si>
    <t>Parcela 2/2 - Pix p/ Madepol</t>
  </si>
  <si>
    <t>Parcela 1/3 - Pix p Mad Vitória</t>
  </si>
  <si>
    <t>Parcela 2/3 - Pix p Mad Vitória</t>
  </si>
  <si>
    <t>Parcela 3/3 - Pix p Mad Vitória</t>
  </si>
  <si>
    <t>Parcela 1/4 - Pix p/ Madepol</t>
  </si>
  <si>
    <t>Parcela 2/4 - Pix p/ Mad. Vitoria</t>
  </si>
  <si>
    <t>Parcela 3/4 - Pix p/ Madepol</t>
  </si>
  <si>
    <t>Pagamento à vista - Pix p/ Mad Tamarino</t>
  </si>
  <si>
    <t>Parcela 1/5 - Pix p/ Brasil Flora (R$ 3.849,20 - 2 parcelas)</t>
  </si>
  <si>
    <t>Parcela 2/5 - Pix p/ Brasil Flora 
(R$ 3.849,20 - 2 parcelas)</t>
  </si>
  <si>
    <t>ICMS de Frete + Parcela 1/3 - Pix p/ Mad. Vitoria</t>
  </si>
  <si>
    <t>Pagamento integral - Pix p/ Mad. Vitoria (8.415 + 10.000)</t>
  </si>
  <si>
    <t>ICMS de Frete + Parcela 1/3 - Pix p/ GT</t>
  </si>
  <si>
    <t>Parcela 2/3 - Pix p/ GT</t>
  </si>
  <si>
    <t>Parcela 2/4 - Pix p/ Madepol</t>
  </si>
  <si>
    <t>Parcela 1/3 - Pix p MAL Amâncio</t>
  </si>
  <si>
    <t>Parcela 2/3 - Paga errado p/ o fornecedor e devolvida p/ Ogura (L) por pix (07/02/25)</t>
  </si>
  <si>
    <t>Parcela 3/3 - Pix p/ GT Madeiras</t>
  </si>
  <si>
    <t>Parcela 1/3 - Deposito em dinheiro p/ Ogura Rep (LCO) - 5 depósitos</t>
  </si>
  <si>
    <t>À VISTA</t>
  </si>
  <si>
    <t>Parcela 1/5 - Pix p/ GT Madeiras</t>
  </si>
  <si>
    <t>Parcela 2/5 - Pix p/ Brasil Flora</t>
  </si>
  <si>
    <t>Parcela 3/5 - Pix p/ Brasil Flora</t>
  </si>
  <si>
    <t>Parcela 4/5 - Pix p/ GT Madeiras</t>
  </si>
  <si>
    <t>Parcela 5/5 - CH Recebidos (20/02/25)</t>
  </si>
  <si>
    <t>Pagamento integral (atrasado) - Pix p/ Brasil Flora</t>
  </si>
  <si>
    <t>ICMS + Parcela 1/3 - Pix p/ Ogura Rep (L) e dado baixa no boleto (Madepol)</t>
  </si>
  <si>
    <t>MADEPOL (Boleto)</t>
  </si>
  <si>
    <t>Parcela 2/3 - Boleto pago (p/ Madepol)</t>
  </si>
  <si>
    <t>Parcela 3/3 - Boleto pago (p/ Madepol)</t>
  </si>
  <si>
    <t>Parcela 2/3 - Pix p/ Madepol</t>
  </si>
  <si>
    <t>Pagamento integral - Pix p/ WD</t>
  </si>
  <si>
    <t>ICMS de Frete + Parcela 1/3 - Pix + Deposito p/ GT Madeiras (2.122 + 2.730)</t>
  </si>
  <si>
    <t>Parcela 2/3 - Dep p/ Madepol 
(1.704 + 1.500 + 1.500)</t>
  </si>
  <si>
    <t>Parcela 3/3 - Dep p/ Madepol 
(2.500 + 2.202)</t>
  </si>
  <si>
    <t>Pagamento integral - Pix p/ Madepol</t>
  </si>
  <si>
    <t>Parcela 2/3 - Cheque Recebido</t>
  </si>
  <si>
    <t>Parcela 3/4 - Cheque Recebido</t>
  </si>
  <si>
    <t>KL ART. DE MADEIRAS</t>
  </si>
  <si>
    <t>Parcela 2/3 - Pix p/ Madepol (1.985+1.450)</t>
  </si>
  <si>
    <t>MADESA COMERCIO DE MAD</t>
  </si>
  <si>
    <t>ICMS de Frete - Pix direto p/ Maderazi</t>
  </si>
  <si>
    <t>Parcela 1/5 - Pix p/ Ogura Rep (LCO)</t>
  </si>
  <si>
    <t>Parcela 2/5 - Pix p/ Ogura Rep (LCO)</t>
  </si>
  <si>
    <t>TJ COMERCIO VAR DE MAD</t>
  </si>
  <si>
    <t>Pgto integral - Pix p/ Ogura Rep (LCO)</t>
  </si>
  <si>
    <t>Frete + ICMS - Pix p/ GT Madeiras</t>
  </si>
  <si>
    <t>Parcela 1/3 - Ted p/ Ogura Rep (LCO)</t>
  </si>
  <si>
    <t>Parcela 2/3 - Ted p/ Ogura Rep (LCO)</t>
  </si>
  <si>
    <t>Parcela 3/3 - Pix p/ Ogura (LCO)</t>
  </si>
  <si>
    <t>Pgto Integral  - Pix p/ Ogura Rep (LCO)</t>
  </si>
  <si>
    <t>ICMS de Frete + Parcela 1/3 - Pix p/ Ogura Rep</t>
  </si>
  <si>
    <t>Parcela 3/3 - Pix p/ Ogura Rep</t>
  </si>
  <si>
    <t>ICMS de Frete + Parcelas 1/7 + 2/7 - Pix p/ Madepol</t>
  </si>
  <si>
    <t>Parcela 3/7 - Pix p/ GT Madeiras</t>
  </si>
  <si>
    <t>Parcela 4/7 - Pix p/ Mad Vitoria</t>
  </si>
  <si>
    <t>Parcela 5/7 - Pix p/ GT Madeiras (soma de 2 parcelas)</t>
  </si>
  <si>
    <t>Parcela 6/7 - Pix p/ GT Madeiras (soma de 2 parcelas)</t>
  </si>
  <si>
    <t>Parcela 7/7 - Pix p/ Madepol</t>
  </si>
  <si>
    <t>CONFORTARE COLCHOES</t>
  </si>
  <si>
    <t>Parcela 1/5 - Pix p/ Mad. Vitoria</t>
  </si>
  <si>
    <t>Pgto misto p/ WD (1068 + 1000+ 12)</t>
  </si>
  <si>
    <t>Parcela 2/2 - Pgto p/ Madepol (2000 + 8)</t>
  </si>
  <si>
    <t>Parcela 2/2 - Pgto p/ Madepol (1500 + 508)</t>
  </si>
  <si>
    <t>Parcela 1/3 - Pix p/ KL Artefatos (soma das 2 primeiras parcelas)</t>
  </si>
  <si>
    <t>Diferença recebimento - Madepol - Embarque 24/07/25</t>
  </si>
  <si>
    <t>Parcela 1/3 - Pix p/ Mad Vitoria</t>
  </si>
  <si>
    <t>Parcelas 2/3 + 3/3 - Pix p/ GT Madeiras</t>
  </si>
  <si>
    <t>PEROBAS MAT CONST E SERV</t>
  </si>
  <si>
    <t>Parcela 2/3 - Depósitos p/ Mad Vitoria (1900 + 1500 + 100 + 100 + 100)</t>
  </si>
  <si>
    <t>Parcela 2/3 - Depósitos p/ Mad Vitoria (3.595 + 100)</t>
  </si>
  <si>
    <t>COM MAD PELANDA (C. Person)</t>
  </si>
  <si>
    <t>Parcela 1/5 - Pix p/ Mad Vitoria</t>
  </si>
  <si>
    <t>Parcela 2/5 - Pix p/ GT Madeiras</t>
  </si>
  <si>
    <t>Parcela 3/5 - Pix p/ Madepol</t>
  </si>
  <si>
    <t>Parcela 4/5 - Pix p/ Madepol</t>
  </si>
  <si>
    <t>Parcela 5/5 - SALDO FECHADO</t>
  </si>
  <si>
    <t>Pgto integral (45 dias) - Pix p/ Mad Vitoria</t>
  </si>
  <si>
    <t>Parcela 1/3 - Pix p/ Ogura (Luiz)</t>
  </si>
  <si>
    <t>Parcela 3/3 - Pix p/ Ogura (Luiz)</t>
  </si>
  <si>
    <t>Pagamento integral - Pix p/ Mad Vitoria</t>
  </si>
  <si>
    <t>Parcela 2/3 - Pix p/ Mad Vitoria</t>
  </si>
  <si>
    <t>Parcela 1/3 - Pgto p/ Madepol (5964 + 350)</t>
  </si>
  <si>
    <t>Parcela 2/3 - Dep p/ GT ( 6000 + 314 )</t>
  </si>
  <si>
    <t>COM DE MADEIRA PELANDA</t>
  </si>
  <si>
    <t>Parcela 1/8 - Pix p/ Madepol</t>
  </si>
  <si>
    <t>Parcela 2/8 - Pix p/ Madepol</t>
  </si>
  <si>
    <t>Parcela 3/8 - Pix p/ Madepol</t>
  </si>
  <si>
    <t>Parcela 4/8 - Pix p/ Madepol</t>
  </si>
  <si>
    <t>Parcela 5/8 - Pix p/ Madepol</t>
  </si>
  <si>
    <t>Parcela 6/8 - Pix p/ Madepol</t>
  </si>
  <si>
    <t>Parcela 7/8 - Pix p/ Madepol</t>
  </si>
  <si>
    <t>Parcela 8/8 - Pix p/ Madepol</t>
  </si>
  <si>
    <t>Parcela 1/3 + ICMS - Pix p/ Mad Vitoria</t>
  </si>
  <si>
    <t>Parcela 3/3 - Pix p/ Brasil Flora</t>
  </si>
  <si>
    <t>Parcela 1/3 - Pix p/ Mad Tamarino</t>
  </si>
  <si>
    <t>Pagamento atrasado - Pix p/ Ogura Rep (Tielly) - 3.000(03/12/25) + 5.756(12/12/25)</t>
  </si>
  <si>
    <t xml:space="preserve">Parcela 45 Dias - </t>
  </si>
  <si>
    <t xml:space="preserve">Parcela 75 Dias - </t>
  </si>
  <si>
    <t>Pix p/ Mad. Vitoria (Pix Errado - crédito)</t>
  </si>
  <si>
    <t>Pix p/ Mad. Vitoria (Restante do Pgto)</t>
  </si>
  <si>
    <t>Pix Agendado</t>
  </si>
  <si>
    <t>Pix Agendado p/ WD Neuhaus</t>
  </si>
  <si>
    <t>Parcela 1/3 - Pago p/ Mad. Vitoria 2.182,73 (Pix) + 1.410,00 (Dep. dinheiro)</t>
  </si>
  <si>
    <t>Parcela 3/3 - Pago p/ Mad. Vitoria 2.000 + 1.477 (Dep. Dinheiro)</t>
  </si>
  <si>
    <t>Parcela 1/3 - Pix p/ Mad. Vitoria</t>
  </si>
  <si>
    <t>Saldo Restante - Pix p/ Mad Vitoria</t>
  </si>
  <si>
    <t>Parcela 1/3 - Pix p/ GT Madeiras (1.000 + 1.850)</t>
  </si>
  <si>
    <t>Parcela 2/3 - Pix p/ GT Madeiras (1.000 + 1.740)</t>
  </si>
  <si>
    <t>Parcela 3/3 - Pix p/ GT Madeiras (1.540 + 1.200)</t>
  </si>
  <si>
    <t>Parcela 3/5 - Deposito p/ Madepol</t>
  </si>
  <si>
    <t>Parcela 3/5 - Pix p/ Ogura Rep</t>
  </si>
  <si>
    <t>Parcelas 4/5 e 5/5 - Pix p/ Mad Vitoria</t>
  </si>
  <si>
    <t>Parcela 1/12 - Pix p/ Ogura (Luiz)</t>
  </si>
  <si>
    <t>Parcela 2/12 - Pix p/ Ogura (Luiz)</t>
  </si>
  <si>
    <t>Parcela 3/12 - Pix p/ Ogura (Luiz)</t>
  </si>
  <si>
    <t>Parcela 4/12 - Pix p/ Ogura (Luiz)</t>
  </si>
  <si>
    <t>Parcela 5/12 - Pix p/ Ogura (Luiz)</t>
  </si>
  <si>
    <t>Parcela 6/12 - Pix p/ Ogura (Luiz)</t>
  </si>
  <si>
    <t>Parcela 7/12 - Pix p/ Ogura (Luiz)</t>
  </si>
  <si>
    <t>Parcela 8/12 - Pix p/ Ogura (Luiz)</t>
  </si>
  <si>
    <t>Parcela 9/12 - Pix p/ Ogura (Luiz)</t>
  </si>
  <si>
    <t>Parcela 10/12 - Pix p/ Ogura (Luiz)</t>
  </si>
  <si>
    <t>Parcela 11/12 - Pix p/ Ogura (Luiz)</t>
  </si>
  <si>
    <t>Parcela 12/12 - Pix p/ Ogura (Luiz)</t>
  </si>
  <si>
    <t>Parcela 1/5 - Pix p/ Madepol</t>
  </si>
  <si>
    <t>Parcela 2/5 - Pix p/ Madepol</t>
  </si>
  <si>
    <t>Parcela 3/5 - Deposito (CH) p/ Ogura Rep R$ 7704,45 - Ref: Tamarino + Gabrielense)</t>
  </si>
  <si>
    <t>Parcela 4/5 - Deposito (CH) p/ Ogura Rep R$ 7704,45 - Ref: Tamarino + Gabrielense)</t>
  </si>
  <si>
    <t>Parcela 5/5 - Deposito (CH) p/ Ogura Rep R$ 7704,45 - Ref: Tamarino + Gabrielense)</t>
  </si>
  <si>
    <t>Parcela 1/3 - Deposito (CH) p/ Ogura Rep</t>
  </si>
  <si>
    <t>Parcela 2/3 - Deposito (CH) p/ Ogura Rep</t>
  </si>
  <si>
    <t>Parcela 3/3 - Deposito (CH) p/ Ogura Rep R$10.708 - Ref: GT+Brocado+Gabrielense</t>
  </si>
  <si>
    <t>Parcela 1/5 - Deposito (CH) p/ Ogura Rep R$ 7704,45 - Ref: Tamarino + Gabrielense)</t>
  </si>
  <si>
    <t>Parcela 2/5 - Deposito (CH) p/ Ogura Rep R$ 7704,45 - Ref: Tamarino + Gabrielense)</t>
  </si>
  <si>
    <t>Parcela 4/5 - Deposito (CH) p/ Ogura Rep R$10.708 - Ref: GT+Brocado+Gabrielense</t>
  </si>
  <si>
    <t>Parcela 5/5 - Deposito (CH) p/ Ogura Rep R$ 6.128 - Ref: Brocado+Gabrielense</t>
  </si>
  <si>
    <t>11/02/26</t>
  </si>
  <si>
    <t>Parcela 2/3 - Deposito (CH) p/ Ogura Rep R$10.708 - Ref: GT+Brocado+Gabrielense</t>
  </si>
  <si>
    <t>Parcela 3/3 - Deposito (CH) p/ Ogura Rep R$ 6.128 - Ref: Brocado+Gabrielense</t>
  </si>
  <si>
    <t>Parcela 1/3 - Pgto p/ Mad. Vitoria ( 1.100 + 2.000 + 777)</t>
  </si>
  <si>
    <t>Parcela 3/3 - Pix p/ Mad Tamarino</t>
  </si>
  <si>
    <t>Pagamento à vista - Pix p/ GT Madeiras</t>
  </si>
  <si>
    <t>COMERCIO DE MAD PELANDA</t>
  </si>
  <si>
    <t>Parcela 1/3 e 2/3 - Pix p/ Madepol</t>
  </si>
  <si>
    <t>Parcela 1/7 - Deposito p/ Madepol</t>
  </si>
  <si>
    <t>Parcela 2/7 - Deposito p/ Madepol</t>
  </si>
  <si>
    <t>Parcela 3/7 - Deposito p/ Madepol</t>
  </si>
  <si>
    <t>Parcela 4/7 - Deposito p/ Madepol</t>
  </si>
  <si>
    <t>Parcela 5/7 - Deposito p/ Madepol</t>
  </si>
  <si>
    <t>Parcela 6/7 - Deposito p/ Madepol</t>
  </si>
  <si>
    <t>Parcela 7/7 - Deposito p/ Madepol</t>
  </si>
  <si>
    <t>Parcela 2/3 - Deposito (CH) p/ Ogura Rep R$6.485 - Ref: M. Vit + C. Raizes + extra</t>
  </si>
  <si>
    <t>Parcela 3/3 - Deposito (CH) p/ Ogura Rep R$ 5.562,39 - Ref: M. Vit + C. Raizes</t>
  </si>
  <si>
    <t>Parcela 1 - Pix p/ Mad Vitoria</t>
  </si>
  <si>
    <t>ICMS de Frete + Parcela 1/3</t>
  </si>
  <si>
    <t>Parcela 2/3 - Pix p/ Ogura Rep (Luiz)</t>
  </si>
  <si>
    <t>GT - MADEIRAS</t>
  </si>
  <si>
    <t>Parcela 3/3 - Pix p/ Ogura Rep (Luiz)</t>
  </si>
  <si>
    <t>CH - 10836 - recebido no cliente</t>
  </si>
  <si>
    <t>SALDO A RECEBER</t>
  </si>
  <si>
    <t>Parcela 2/3</t>
  </si>
  <si>
    <t>Parcela 1/3 - Deposito p/ Madepol</t>
  </si>
  <si>
    <t>Parcela 1/3 - Deposito (CH) p/ Ogura Rep R$6.485 - Ref: M. Vit + C. Raizes + extra</t>
  </si>
  <si>
    <t>Parcela 3/3 - Dep (CH) p/ Ogura Rep (Luiz)</t>
  </si>
  <si>
    <t>Parcela 2/3 - Pix p Mad Vitoria 
(1.647,40 + 1.023,25)</t>
  </si>
  <si>
    <t>Parcela 1/3 - Pix p/ Ogura Rep (Luiz)</t>
  </si>
  <si>
    <t>Parcela 2/3 e Parcela 3/3 - Pix p/ Ogura Rep (Luiz)</t>
  </si>
  <si>
    <t>Parcela 1/2 - Pix p/ Ogura Rep (Luiz)</t>
  </si>
  <si>
    <t>Parcela 2/2 - Pix p/ Ogura Rep (Luiz) 
(R$ 5.929 + 2.550) 8.479 - 979 (excedente devolvido ao cliente)</t>
  </si>
  <si>
    <t>CH - 42, 43 e 44 (Não Depositados) - 
Pix p/ Ogura Rep (Luiz)</t>
  </si>
  <si>
    <t>CH - 45 (Não Depositado)</t>
  </si>
  <si>
    <t>CH - 46 (Não Depositado)</t>
  </si>
  <si>
    <t>Parcela 1/3</t>
  </si>
  <si>
    <t>Parcela 3/5 - Deposito p/ Pantera</t>
  </si>
  <si>
    <t>VALOR TOTAL</t>
  </si>
  <si>
    <t>Acompanhamento - CORREIOS</t>
  </si>
  <si>
    <t>Tipo</t>
  </si>
  <si>
    <t>Código Correios</t>
  </si>
  <si>
    <t>Rastreio</t>
  </si>
  <si>
    <t>Data / Validade</t>
  </si>
  <si>
    <t>Responsável</t>
  </si>
  <si>
    <t>Custo Envio</t>
  </si>
  <si>
    <t>OBS</t>
  </si>
  <si>
    <t>Fatura</t>
  </si>
  <si>
    <t>Postado em:</t>
  </si>
  <si>
    <t>Previsão Entrega:</t>
  </si>
  <si>
    <t>Data / Relatório:</t>
  </si>
  <si>
    <t>Ogura Rep</t>
  </si>
  <si>
    <t xml:space="preserve"> OGURA REP</t>
  </si>
  <si>
    <t>COLETA - 1 TENTATIVA</t>
  </si>
  <si>
    <t>COLETA - 2 TENTATIVA</t>
  </si>
  <si>
    <t>COLETA AGENDADA</t>
  </si>
  <si>
    <t>Entregue</t>
  </si>
  <si>
    <t>DEVOLUÇÃO</t>
  </si>
  <si>
    <t>PIGNATON (PEROBAS)</t>
  </si>
  <si>
    <t>CLIENTE</t>
  </si>
  <si>
    <t>Postagem (Ogura) - PAC</t>
  </si>
  <si>
    <t>188 277 41</t>
  </si>
  <si>
    <t>AK199412308BR</t>
  </si>
  <si>
    <t>AK199393317BR</t>
  </si>
  <si>
    <t>Postagem (Ogura) - Sedex</t>
  </si>
  <si>
    <t>OV592954217BR</t>
  </si>
  <si>
    <t>CH - 701082 - 701083 - 701101</t>
  </si>
  <si>
    <t>Coleta (Ogura) - Sedex</t>
  </si>
  <si>
    <t>AK348103577BR</t>
  </si>
  <si>
    <t>(13,28 + 16,38)</t>
  </si>
  <si>
    <t>AK547371467BR</t>
  </si>
  <si>
    <t>AC209656491BR</t>
  </si>
  <si>
    <t>BRAVIM &amp; LEMOS MAT DE CONST LTDA ME</t>
  </si>
  <si>
    <t>AA955892925BR</t>
  </si>
  <si>
    <t>AC907678785BR</t>
  </si>
  <si>
    <t>AM734485041BR</t>
  </si>
  <si>
    <t>AC925579832BR</t>
  </si>
  <si>
    <t>AD574798060BR</t>
  </si>
  <si>
    <t>AD574749846BR</t>
  </si>
  <si>
    <t>AD574722361BR</t>
  </si>
  <si>
    <t>Prazo Vencido</t>
  </si>
  <si>
    <t>VILA NOVA (CH SF - MOTORISTA)</t>
  </si>
  <si>
    <t>301098959</t>
  </si>
  <si>
    <t>DA502482220BR</t>
  </si>
  <si>
    <t>RELATORIO - 06/2024</t>
  </si>
  <si>
    <t>188 078 04</t>
  </si>
  <si>
    <t>AA151016651BR</t>
  </si>
  <si>
    <t>(13,28 + 60,87)</t>
  </si>
  <si>
    <t>RELATORIO - 09/2024</t>
  </si>
  <si>
    <t>AA277785889BR</t>
  </si>
  <si>
    <t>Cobrar do fornecedor 74,15</t>
  </si>
  <si>
    <t>RELATORIO - 12/2025</t>
  </si>
  <si>
    <t>AA870477955BR</t>
  </si>
  <si>
    <t>AA167440608BR</t>
  </si>
  <si>
    <t>(13,28 + 72,47)</t>
  </si>
  <si>
    <t>RELATORIO - 07/2025</t>
  </si>
  <si>
    <t>AA242278820BR</t>
  </si>
  <si>
    <t>AA282676056BR</t>
  </si>
  <si>
    <t>Cobrar do fornecedor 85,75</t>
  </si>
  <si>
    <t>RELATORIO - 11/2024</t>
  </si>
  <si>
    <t>AA479319749BR</t>
  </si>
  <si>
    <t>RELATORIO - 02/2025</t>
  </si>
  <si>
    <t>AC396419364BR</t>
  </si>
  <si>
    <t>RELATORIO - 05/2025</t>
  </si>
  <si>
    <t>AC744223703BR</t>
  </si>
  <si>
    <t>RELATORIO - 07/2024</t>
  </si>
  <si>
    <t>AA242279374BR</t>
  </si>
  <si>
    <t>Pagamentos (Clientes: JP e 3 Sebastião)</t>
  </si>
  <si>
    <t>AA328075801BR</t>
  </si>
  <si>
    <t>RELATORIO - 10/2024</t>
  </si>
  <si>
    <t>AA829874143BR</t>
  </si>
  <si>
    <t>RELATORIO - 05/2026</t>
  </si>
  <si>
    <t>AD573649268BR</t>
  </si>
  <si>
    <t>304 355 3335</t>
  </si>
  <si>
    <t>01.617.527/0001-22</t>
  </si>
  <si>
    <t>Inscrição Estadual – 081.975.996</t>
  </si>
  <si>
    <t>Coleta (Cliente) - Sedex</t>
  </si>
  <si>
    <t>254009799</t>
  </si>
  <si>
    <t>TJ144104316BR</t>
  </si>
  <si>
    <t>(12,20 + 18,93)</t>
  </si>
  <si>
    <t>259488938</t>
  </si>
  <si>
    <t>SY649755710BR</t>
  </si>
  <si>
    <t>Autorização (Cliente) - Sedex</t>
  </si>
  <si>
    <t>324.190.1284</t>
  </si>
  <si>
    <t>AA379200905BR</t>
  </si>
  <si>
    <t>Cancelado</t>
  </si>
  <si>
    <t>279311271</t>
  </si>
  <si>
    <t>SY856782469BR</t>
  </si>
  <si>
    <t>333 480 5955</t>
  </si>
  <si>
    <t>332.197.2915</t>
  </si>
  <si>
    <t>AA862826155BR</t>
  </si>
  <si>
    <t>FABRIS MATERIAL DE CONSTRUCAO</t>
  </si>
  <si>
    <t>334.126.1705</t>
  </si>
  <si>
    <t>AA897000060BR</t>
  </si>
  <si>
    <t>279327988</t>
  </si>
  <si>
    <t>SY856791766BR</t>
  </si>
  <si>
    <t>336.222.3498</t>
  </si>
  <si>
    <t>OY350387651BR</t>
  </si>
  <si>
    <t>COMERCIAL PARTELLI LTDA</t>
  </si>
  <si>
    <t>339.577.0697</t>
  </si>
  <si>
    <t>OV869852693BR</t>
  </si>
  <si>
    <t>346.522.4854</t>
  </si>
  <si>
    <t>AC661176767BR</t>
  </si>
  <si>
    <t>297922235</t>
  </si>
  <si>
    <t>DA453935540BR</t>
  </si>
  <si>
    <t>4164126909</t>
  </si>
  <si>
    <t>DA522293653BR</t>
  </si>
  <si>
    <t>Aguardando Coleta (1)</t>
  </si>
  <si>
    <t>4343813510</t>
  </si>
  <si>
    <t>DA561228308BR</t>
  </si>
  <si>
    <t>4343819764</t>
  </si>
  <si>
    <t>DA561228784BR</t>
  </si>
  <si>
    <t>DUAL MATERIAL DE CONST</t>
  </si>
  <si>
    <t>272792755</t>
  </si>
  <si>
    <t>SY852726682BR</t>
  </si>
  <si>
    <t>346.999.8846</t>
  </si>
  <si>
    <t>AC677520732BR</t>
  </si>
  <si>
    <t>Postagem (Cliente) - PAC</t>
  </si>
  <si>
    <t>BN091674605BR</t>
  </si>
  <si>
    <t>M P A IND E COM DE MADEIRAS E ESQUADRIAS</t>
  </si>
  <si>
    <t>273648352</t>
  </si>
  <si>
    <t>SY853306474BR</t>
  </si>
  <si>
    <t>297973311</t>
  </si>
  <si>
    <t>DA453970192BR</t>
  </si>
  <si>
    <t>400 604 0532</t>
  </si>
  <si>
    <t>DA507532501BR</t>
  </si>
  <si>
    <t>4343824563</t>
  </si>
  <si>
    <t>DA561229039BR</t>
  </si>
  <si>
    <t>4441190278</t>
  </si>
  <si>
    <t>DA562281035BR</t>
  </si>
  <si>
    <t>4343833646</t>
  </si>
  <si>
    <t>DA561229714BR</t>
  </si>
  <si>
    <t>254257760</t>
  </si>
  <si>
    <t>TJ144249647BR</t>
  </si>
  <si>
    <t>(13,77 + 18,93)</t>
  </si>
  <si>
    <t>VILA NOVA MADEIRAS E MATERIAIS DE CONST</t>
  </si>
  <si>
    <t>276196815</t>
  </si>
  <si>
    <t>SY855045330BR</t>
  </si>
  <si>
    <t>287749206</t>
  </si>
  <si>
    <t>DA447291298BR</t>
  </si>
  <si>
    <t>403 630 7652</t>
  </si>
  <si>
    <t>DA507715589BR</t>
  </si>
  <si>
    <t>4638184990</t>
  </si>
  <si>
    <t>DA590129523BR</t>
  </si>
  <si>
    <t>298 286 1021</t>
  </si>
  <si>
    <t>OV867922286BR</t>
  </si>
  <si>
    <t>M.F. COMERCIO DE MAD E SERV</t>
  </si>
  <si>
    <t>250 024 169</t>
  </si>
  <si>
    <t>TJ141481446BR</t>
  </si>
  <si>
    <t>261421550</t>
  </si>
  <si>
    <t>SY651580858BR</t>
  </si>
  <si>
    <t>262802210</t>
  </si>
  <si>
    <t>SY652648327BR</t>
  </si>
  <si>
    <t>262827070</t>
  </si>
  <si>
    <t>SY652662068BR</t>
  </si>
  <si>
    <t>SEBASTIAO G. DORNELLAS</t>
  </si>
  <si>
    <t>263170735</t>
  </si>
  <si>
    <t>SY652888910BR</t>
  </si>
  <si>
    <t>(12,20 + 9,48)</t>
  </si>
  <si>
    <t>267782300</t>
  </si>
  <si>
    <t>SY656355350BR</t>
  </si>
  <si>
    <t>320.630.3416</t>
  </si>
  <si>
    <t>AA276820417BR</t>
  </si>
  <si>
    <t>319.737.2975</t>
  </si>
  <si>
    <t>OY368139788BR</t>
  </si>
  <si>
    <t>320.632.2683</t>
  </si>
  <si>
    <t>AA276879562BR</t>
  </si>
  <si>
    <t>320 658 5693</t>
  </si>
  <si>
    <t>AA277629420BR</t>
  </si>
  <si>
    <t>273636840</t>
  </si>
  <si>
    <t>SY853300627BR</t>
  </si>
  <si>
    <t>323.390.7601</t>
  </si>
  <si>
    <t>AA353512225BR</t>
  </si>
  <si>
    <t>329.408.2338</t>
  </si>
  <si>
    <t>339.580.1412</t>
  </si>
  <si>
    <t>AC395273186BR</t>
  </si>
  <si>
    <t>286647894</t>
  </si>
  <si>
    <t>DA446575727BR</t>
  </si>
  <si>
    <t>344 524 2580</t>
  </si>
  <si>
    <t>AC588414082BR</t>
  </si>
  <si>
    <t>344 525 6987</t>
  </si>
  <si>
    <t>302388263</t>
  </si>
  <si>
    <t>DA503309639BR</t>
  </si>
  <si>
    <t>403 624 3287</t>
  </si>
  <si>
    <t>DA507712790BR</t>
  </si>
  <si>
    <t>405 251 1572</t>
  </si>
  <si>
    <t>DA509113428BR</t>
  </si>
  <si>
    <t>405 063 7504</t>
  </si>
  <si>
    <t>AC991654441BR</t>
  </si>
  <si>
    <t>4036044499</t>
  </si>
  <si>
    <t>DA507702435BR</t>
  </si>
  <si>
    <t>4050605496</t>
  </si>
  <si>
    <t>AC991450298BR</t>
  </si>
  <si>
    <t>331 364 485</t>
  </si>
  <si>
    <t>OY451822797BR</t>
  </si>
  <si>
    <t>415 150 2955</t>
  </si>
  <si>
    <t>DA520389827BR</t>
  </si>
  <si>
    <t>415 151 4463</t>
  </si>
  <si>
    <t>DA520390476BR</t>
  </si>
  <si>
    <t>4164151620</t>
  </si>
  <si>
    <t>DA522304872BR</t>
  </si>
  <si>
    <t>415 152 4627</t>
  </si>
  <si>
    <t>DA520391499BR</t>
  </si>
  <si>
    <t>415 151 8421</t>
  </si>
  <si>
    <t>DA520390860BR</t>
  </si>
  <si>
    <t>4159543678</t>
  </si>
  <si>
    <t>DA521539681BR</t>
  </si>
  <si>
    <t>419 047 5000</t>
  </si>
  <si>
    <t>DA526316933BR</t>
  </si>
  <si>
    <t>4190459175</t>
  </si>
  <si>
    <t>DA526315487BR</t>
  </si>
  <si>
    <t>419 046 7466</t>
  </si>
  <si>
    <t>DA526316139BR</t>
  </si>
  <si>
    <t>4190477178</t>
  </si>
  <si>
    <t>DA526317205BR</t>
  </si>
  <si>
    <t>MADEREIRA GHR LTDA ME</t>
  </si>
  <si>
    <t>4190464478</t>
  </si>
  <si>
    <t>DA526315915BR</t>
  </si>
  <si>
    <t>299.088.0745</t>
  </si>
  <si>
    <t>Sem Fatura</t>
  </si>
  <si>
    <t>250 083 635</t>
  </si>
  <si>
    <t>TJ141509555BR</t>
  </si>
  <si>
    <t>302 573 3116</t>
  </si>
  <si>
    <t>OY073697415BR</t>
  </si>
  <si>
    <t>CANCELADA (envio cliente)</t>
  </si>
  <si>
    <t>Enviado pelo cliente - Valor do envio devolvido por Ogura Rep em 18/06/24</t>
  </si>
  <si>
    <t>322.335.5605</t>
  </si>
  <si>
    <t>Postagem (Cliente) - Sedex</t>
  </si>
  <si>
    <t>OV934099162BR</t>
  </si>
  <si>
    <t>BN240583923BR</t>
  </si>
  <si>
    <t>307 786 939</t>
  </si>
  <si>
    <t>DA506839732BR</t>
  </si>
  <si>
    <t>307 787 996</t>
  </si>
  <si>
    <t>DA506840205BR</t>
  </si>
  <si>
    <t>333.281.1192</t>
  </si>
  <si>
    <t>OV934111495BR</t>
  </si>
  <si>
    <t>249 611 958</t>
  </si>
  <si>
    <t>TJ141250439BR</t>
  </si>
  <si>
    <t>251 057 631</t>
  </si>
  <si>
    <t>TJ142151168BR</t>
  </si>
  <si>
    <t>CARROCERIAS PERIM LTDA EPP</t>
  </si>
  <si>
    <t>279224277</t>
  </si>
  <si>
    <t>SY856738709BR</t>
  </si>
  <si>
    <t>289552586</t>
  </si>
  <si>
    <t>DA448467787BR</t>
  </si>
  <si>
    <t>4574641016</t>
  </si>
  <si>
    <t>DA587143128BR</t>
  </si>
  <si>
    <t>251 054 051</t>
  </si>
  <si>
    <t>TJ142149473BR</t>
  </si>
  <si>
    <t>251 051 497</t>
  </si>
  <si>
    <t>TJ142148393BR</t>
  </si>
  <si>
    <t>VARGAS &amp; VARGAS (PEROBAS)</t>
  </si>
  <si>
    <t>251 052 974</t>
  </si>
  <si>
    <t>TJ142148994BR</t>
  </si>
  <si>
    <t>308.828.3585</t>
  </si>
  <si>
    <t>AA214715008BR</t>
  </si>
  <si>
    <t>254258875</t>
  </si>
  <si>
    <t>TJ144250044BR</t>
  </si>
  <si>
    <t>262952965</t>
  </si>
  <si>
    <t>SY652744218BR</t>
  </si>
  <si>
    <t>315 253 7386</t>
  </si>
  <si>
    <t>AC115605964BR</t>
  </si>
  <si>
    <t>262953577</t>
  </si>
  <si>
    <t>SY652744615BR</t>
  </si>
  <si>
    <t>Coleta (Cliente) - Sedex (2ª)</t>
  </si>
  <si>
    <t>262954201</t>
  </si>
  <si>
    <t>SY652744867BR</t>
  </si>
  <si>
    <t>LUCIANO REP - CLIENTES</t>
  </si>
  <si>
    <t>315 214 5998</t>
  </si>
  <si>
    <t>AC114626733BR</t>
  </si>
  <si>
    <t>320.668.9230</t>
  </si>
  <si>
    <t>AA277850035BR</t>
  </si>
  <si>
    <t>320.671.7772</t>
  </si>
  <si>
    <t>AA277898293BR</t>
  </si>
  <si>
    <t>OY006689455BR</t>
  </si>
  <si>
    <t>320.674.1975</t>
  </si>
  <si>
    <t>AA277934194BR</t>
  </si>
  <si>
    <t>323.193.3880</t>
  </si>
  <si>
    <t>AA348429344BR</t>
  </si>
  <si>
    <t>324.530.2619</t>
  </si>
  <si>
    <t>326.345.3690</t>
  </si>
  <si>
    <t>AA447177721BR</t>
  </si>
  <si>
    <t>324.193.0447</t>
  </si>
  <si>
    <t>AA379409910BR</t>
  </si>
  <si>
    <t>324.195.0130</t>
  </si>
  <si>
    <t>AA379454454BR</t>
  </si>
  <si>
    <t>273920141</t>
  </si>
  <si>
    <t>SY853477111BR</t>
  </si>
  <si>
    <t>273651918</t>
  </si>
  <si>
    <t>SY853308360BR</t>
  </si>
  <si>
    <t>275535693</t>
  </si>
  <si>
    <t>SY854696100BR</t>
  </si>
  <si>
    <t>326.811.9215</t>
  </si>
  <si>
    <t>AA464296030BR</t>
  </si>
  <si>
    <t>331.954.8273</t>
  </si>
  <si>
    <t>331.955.9819</t>
  </si>
  <si>
    <t>AA855939899BR</t>
  </si>
  <si>
    <t>331.951.5669</t>
  </si>
  <si>
    <t>AA855841571BR</t>
  </si>
  <si>
    <t>279326333</t>
  </si>
  <si>
    <t>SY856790814BR</t>
  </si>
  <si>
    <t>279315154</t>
  </si>
  <si>
    <t>SY856784875BR</t>
  </si>
  <si>
    <t>286681944</t>
  </si>
  <si>
    <t>DA446597974BR</t>
  </si>
  <si>
    <t>287257688</t>
  </si>
  <si>
    <t>DA446933089BR</t>
  </si>
  <si>
    <t>347 391 8818</t>
  </si>
  <si>
    <t>AC691230078BR</t>
  </si>
  <si>
    <t>347 393 0675</t>
  </si>
  <si>
    <t>AC691278019BR</t>
  </si>
  <si>
    <t>297950695</t>
  </si>
  <si>
    <t>DA453954243BR</t>
  </si>
  <si>
    <t>347.804.1602</t>
  </si>
  <si>
    <t>AC708164242BR</t>
  </si>
  <si>
    <t>297939023</t>
  </si>
  <si>
    <t>DA453943965BR</t>
  </si>
  <si>
    <t>403 475 5509</t>
  </si>
  <si>
    <t>DA507666755BR</t>
  </si>
  <si>
    <t>400 604 6558</t>
  </si>
  <si>
    <t>DA507536344BR</t>
  </si>
  <si>
    <t>307 788 413</t>
  </si>
  <si>
    <t>DA506840452BR</t>
  </si>
  <si>
    <t>400 604 8236</t>
  </si>
  <si>
    <t>DA507537132BR</t>
  </si>
  <si>
    <t>COLETA NAO EFETUADA E RASTREIO PARA ENDEREÇO DESCONHECIDO</t>
  </si>
  <si>
    <t>403 209 8222</t>
  </si>
  <si>
    <t>307 792 639</t>
  </si>
  <si>
    <t>DA506841872BR</t>
  </si>
  <si>
    <t>407.226.5755</t>
  </si>
  <si>
    <t>AB473129582BR</t>
  </si>
  <si>
    <t>405 066 0823</t>
  </si>
  <si>
    <t>DA508970472BR</t>
  </si>
  <si>
    <t>4045180901</t>
  </si>
  <si>
    <t>AC977943955BR</t>
  </si>
  <si>
    <t>💌
 *De*: Mel Madeiras 
 *Para*: Ogura Rep
 *Ref*.:
KL Artefatos - Embarque 28/07/25
Mad. Vitoria - Embarque 06/08/25
*Correios* - *Autorização de Postagem*
•  *Código*: 404.518.0901</t>
  </si>
  <si>
    <t>407 228 9053</t>
  </si>
  <si>
    <t>405 062 7358</t>
  </si>
  <si>
    <t>DA508960943BR</t>
  </si>
  <si>
    <t>407 229 6445</t>
  </si>
  <si>
    <t>405 061 9428</t>
  </si>
  <si>
    <t>DA508960489BR</t>
  </si>
  <si>
    <t>4159506861</t>
  </si>
  <si>
    <t>DA521538099BR</t>
  </si>
  <si>
    <t>4164196749</t>
  </si>
  <si>
    <t>DA522308168BR</t>
  </si>
  <si>
    <t>Relatorios - Madepol - (Embarque 12-19-2025) e Mad Vitoria (Embarques 24/09/2025 e 16/10/2025)</t>
  </si>
  <si>
    <t>418 512 0267</t>
  </si>
  <si>
    <t>4203704178</t>
  </si>
  <si>
    <t>DA539506998BR</t>
  </si>
  <si>
    <t>416 414 6354</t>
  </si>
  <si>
    <t>DA522304461BR</t>
  </si>
  <si>
    <t>416.858.4702</t>
  </si>
  <si>
    <t>Acompanhar Rastreio</t>
  </si>
  <si>
    <t>4168591497</t>
  </si>
  <si>
    <t>DA523148459BR</t>
  </si>
  <si>
    <t>416 412 8561</t>
  </si>
  <si>
    <t>DA522293826BR</t>
  </si>
  <si>
    <t>4172834141</t>
  </si>
  <si>
    <t>DA523858229BR</t>
  </si>
  <si>
    <t>416 415 7470</t>
  </si>
  <si>
    <t>DA522305325BR</t>
  </si>
  <si>
    <t>416 860 0526</t>
  </si>
  <si>
    <t>418 513 4467</t>
  </si>
  <si>
    <t>AB694212201BR</t>
  </si>
  <si>
    <t>MADEPORTAS COM DE MAD</t>
  </si>
  <si>
    <t>Aguardando Postagem</t>
  </si>
  <si>
    <t>418 514 3505</t>
  </si>
  <si>
    <t>4185154246</t>
  </si>
  <si>
    <t>DA525403843BR</t>
  </si>
  <si>
    <t>418 112 1210</t>
  </si>
  <si>
    <t>AB680445078BR</t>
  </si>
  <si>
    <t>248 279 885</t>
  </si>
  <si>
    <t>TJ140462635BR</t>
  </si>
  <si>
    <t>(13,77 + 72,47)</t>
  </si>
  <si>
    <t>302.173.1110</t>
  </si>
  <si>
    <t>OV922006821BR</t>
  </si>
  <si>
    <t>2 Embarques - 
AA126878045BR (Pré Postagem)</t>
  </si>
  <si>
    <t>187 725 35</t>
  </si>
  <si>
    <t>AA121411738BR</t>
  </si>
  <si>
    <t>(13,28 + 72,47) - 
AA147422361BR (Pré Postagem)</t>
  </si>
  <si>
    <t>251058756</t>
  </si>
  <si>
    <t>TJ142151596BR</t>
  </si>
  <si>
    <t>(12,20 + 72,47)</t>
  </si>
  <si>
    <t>308.829.9273</t>
  </si>
  <si>
    <t>AA214729333BR</t>
  </si>
  <si>
    <t>321.013.6442</t>
  </si>
  <si>
    <t>AA290619311BR</t>
  </si>
  <si>
    <t>321.017.4648</t>
  </si>
  <si>
    <t>AA290720848BR</t>
  </si>
  <si>
    <t>273964686</t>
  </si>
  <si>
    <t>SY853501059BR</t>
  </si>
  <si>
    <t>275550316</t>
  </si>
  <si>
    <t>SY854704177BR</t>
  </si>
  <si>
    <t>292280018</t>
  </si>
  <si>
    <t>DA450210935BR</t>
  </si>
  <si>
    <t>ALDA VALERIA</t>
  </si>
  <si>
    <t>279580684</t>
  </si>
  <si>
    <t>SY856949257BR</t>
  </si>
  <si>
    <t>334.394.5450</t>
  </si>
  <si>
    <t>OY145076687BR</t>
  </si>
  <si>
    <t>342.798.7087</t>
  </si>
  <si>
    <t>AC521459263BR</t>
  </si>
  <si>
    <t>342 800 6124</t>
  </si>
  <si>
    <t>AC521532961BR</t>
  </si>
  <si>
    <t>291357965</t>
  </si>
  <si>
    <t>DA449734983BR</t>
  </si>
  <si>
    <t>3445068745</t>
  </si>
  <si>
    <t>MATERIAL DE CONSTRUCAO E MADEIREIRA DOJO LTDA</t>
  </si>
  <si>
    <t>297347808</t>
  </si>
  <si>
    <t>DA453579653BR</t>
  </si>
  <si>
    <t>297 931 444</t>
  </si>
  <si>
    <t>DA453938784BR</t>
  </si>
  <si>
    <t>297353030</t>
  </si>
  <si>
    <t>DA453582618BR</t>
  </si>
  <si>
    <t>346 522 4854</t>
  </si>
  <si>
    <t>AC677570481BR</t>
  </si>
  <si>
    <t>101 COMÉRCIO DE MADEIRAS</t>
  </si>
  <si>
    <t>297 349 313</t>
  </si>
  <si>
    <t>DA453580152BR</t>
  </si>
  <si>
    <t>297326706</t>
  </si>
  <si>
    <t>DA453561992BR</t>
  </si>
  <si>
    <t>GEO SOL MATERIAL DE CONSTUCAO</t>
  </si>
  <si>
    <t>414 660 3024</t>
  </si>
  <si>
    <t>RAFAR ESQUADRIAS DE MAD</t>
  </si>
  <si>
    <t>307 791 749</t>
  </si>
  <si>
    <t>DA506841594BR</t>
  </si>
  <si>
    <t>414 662 3974</t>
  </si>
  <si>
    <t>415 952 4489</t>
  </si>
  <si>
    <t>AB591216087BR</t>
  </si>
  <si>
    <t>MARCOS BUSSU</t>
  </si>
  <si>
    <t>4190449981</t>
  </si>
  <si>
    <t>DA526314787BR</t>
  </si>
  <si>
    <t>419 048 4526</t>
  </si>
  <si>
    <t>DA526318015BR</t>
  </si>
  <si>
    <t>419.604.1321</t>
  </si>
  <si>
    <t>4203723407</t>
  </si>
  <si>
    <t>DA539508398BR</t>
  </si>
  <si>
    <t>PARMA COMERCIO E TRANSPORTE LTDA</t>
  </si>
  <si>
    <t>ONESIO GOULARTE DE ALMEIDA (A F A DE AMORIM)</t>
  </si>
  <si>
    <t>MADEIREIRA PANPER LTDA EPP</t>
  </si>
  <si>
    <t>LUCAS FRANCISCO R. VIEIRA ME</t>
  </si>
  <si>
    <t>424 419 1361</t>
  </si>
  <si>
    <t>456 969 7714</t>
  </si>
  <si>
    <t>15/05/26 e 29/05/26</t>
  </si>
  <si>
    <t>456 970 2397</t>
  </si>
  <si>
    <t>4569714115</t>
  </si>
  <si>
    <t>DA586274440BR</t>
  </si>
  <si>
    <t>455 582 7349</t>
  </si>
  <si>
    <t>305 115 0565</t>
  </si>
  <si>
    <t>OV582850892BR</t>
  </si>
  <si>
    <t>AV. CONDE D’EU, 285, CENTRO, IBIRAÇU/ES</t>
  </si>
  <si>
    <t>251 941 621</t>
  </si>
  <si>
    <t>TJ142795035BR</t>
  </si>
  <si>
    <t>252 124 995</t>
  </si>
  <si>
    <t>TJ142897900BR</t>
  </si>
  <si>
    <t>307.055.0308</t>
  </si>
  <si>
    <t>OY079650288BR</t>
  </si>
  <si>
    <t>259470795</t>
  </si>
  <si>
    <t>SY649744337BR</t>
  </si>
  <si>
    <t>255306008</t>
  </si>
  <si>
    <t>TJ144882032BR</t>
  </si>
  <si>
    <t>310.692.4630</t>
  </si>
  <si>
    <t>OV626722713BR</t>
  </si>
  <si>
    <t>261 420 903</t>
  </si>
  <si>
    <t>SY651580416BR</t>
  </si>
  <si>
    <t>314.254.9561</t>
  </si>
  <si>
    <t>AC088151303BR</t>
  </si>
  <si>
    <t>267652432</t>
  </si>
  <si>
    <t>SY656240326BR</t>
  </si>
  <si>
    <t>Cliente postou sozinho em agência</t>
  </si>
  <si>
    <t>AA275671535BR</t>
  </si>
  <si>
    <t>DALLYPTUS PRODUTOS DE MADEIRA</t>
  </si>
  <si>
    <t>269966028</t>
  </si>
  <si>
    <t>SY806701025BR</t>
  </si>
  <si>
    <t>270620015</t>
  </si>
  <si>
    <t>SY807153997BR</t>
  </si>
  <si>
    <t>OY110179139BR</t>
  </si>
  <si>
    <t>COMERCIO DE MADEIRA CANAA LTDA ME</t>
  </si>
  <si>
    <t>323.874.0495</t>
  </si>
  <si>
    <t>AA367177285BR</t>
  </si>
  <si>
    <t>323.878.8699</t>
  </si>
  <si>
    <t>OY212724951BR</t>
  </si>
  <si>
    <t>GRUPO SOLO CONST E MAT DE CONST LTDA</t>
  </si>
  <si>
    <t>275551974</t>
  </si>
  <si>
    <t>SY854704968BR</t>
  </si>
  <si>
    <t>Aguardando...</t>
  </si>
  <si>
    <t>329.052.6479</t>
  </si>
  <si>
    <t>OY169307592BR</t>
  </si>
  <si>
    <t>336.226.0305</t>
  </si>
  <si>
    <t>AA964328986BR</t>
  </si>
  <si>
    <t>282 544 435</t>
  </si>
  <si>
    <t>SY858869707BR</t>
  </si>
  <si>
    <t>288084122</t>
  </si>
  <si>
    <t>DA447496795BR</t>
  </si>
  <si>
    <t>3411808573</t>
  </si>
  <si>
    <t>AC456522539BR</t>
  </si>
  <si>
    <t>288086260</t>
  </si>
  <si>
    <t>DA447498200BR</t>
  </si>
  <si>
    <t>3421816912</t>
  </si>
  <si>
    <t>AC497638032BR</t>
  </si>
  <si>
    <t>3465424620</t>
  </si>
  <si>
    <t>296518072</t>
  </si>
  <si>
    <t>DA453030699BR</t>
  </si>
  <si>
    <t>296530382</t>
  </si>
  <si>
    <t>DA453040020BR</t>
  </si>
  <si>
    <t>297302347</t>
  </si>
  <si>
    <t>DA453547134BR</t>
  </si>
  <si>
    <t>296533211</t>
  </si>
  <si>
    <t>DA453040991BR</t>
  </si>
  <si>
    <t>296520513</t>
  </si>
  <si>
    <t>DA453031748BR</t>
  </si>
  <si>
    <t>297280425</t>
  </si>
  <si>
    <t>DA453533245BR</t>
  </si>
  <si>
    <t>297304918</t>
  </si>
  <si>
    <t>DA453548038BR</t>
  </si>
  <si>
    <t>297312565</t>
  </si>
  <si>
    <t>DA453554197BR</t>
  </si>
  <si>
    <t>297313676</t>
  </si>
  <si>
    <t>DA453554679BR</t>
  </si>
  <si>
    <t>297311202</t>
  </si>
  <si>
    <t>DA453553483BR</t>
  </si>
  <si>
    <t>298577691</t>
  </si>
  <si>
    <t>DA454378644BR</t>
  </si>
  <si>
    <t>301281637</t>
  </si>
  <si>
    <t>DA502601528BR</t>
  </si>
  <si>
    <t>352 027 7455</t>
  </si>
  <si>
    <t>AC876658514BR</t>
  </si>
  <si>
    <t>306 292 061</t>
  </si>
  <si>
    <t>DA505934856BR</t>
  </si>
  <si>
    <t>400 602 4671</t>
  </si>
  <si>
    <t>DA507524831BR</t>
  </si>
  <si>
    <t>405 068 7121</t>
  </si>
  <si>
    <t>DA508972028BR</t>
  </si>
  <si>
    <t>407 227 6250</t>
  </si>
  <si>
    <t>415.149.3115</t>
  </si>
  <si>
    <t>415 792 0840</t>
  </si>
  <si>
    <t>AB586105429BR</t>
  </si>
  <si>
    <t>Agendar Coleta</t>
  </si>
  <si>
    <t>418.516.7509</t>
  </si>
  <si>
    <t>293517855</t>
  </si>
  <si>
    <t>DA451053961BR</t>
  </si>
  <si>
    <t>400 604 1193</t>
  </si>
  <si>
    <t>DA507532722BR</t>
  </si>
  <si>
    <t>400 604 2661</t>
  </si>
  <si>
    <t>DA507533820BR</t>
  </si>
  <si>
    <t>DA507534547BR</t>
  </si>
  <si>
    <t>400 604 4049</t>
  </si>
  <si>
    <t>4045182730</t>
  </si>
  <si>
    <t>DA508709103BR</t>
  </si>
  <si>
    <t>💌
 *De*: Mad. Gonçalves
 *Para*: Ogura Rep
 *Ref*.: Maderazi - Embarque 09/08/25
•  *N° da Coleta*: 4045182730
•  *Agendado para*: 21/08/2025
*Rastreio*: DA508709103BR</t>
  </si>
  <si>
    <t>4343844865</t>
  </si>
  <si>
    <t>DA561230607BR</t>
  </si>
  <si>
    <t>444 874 9645</t>
  </si>
  <si>
    <t>DA564155485BR</t>
  </si>
  <si>
    <t>298.291.7656</t>
  </si>
  <si>
    <t>298 274 2476</t>
  </si>
  <si>
    <t>OV887386335BR</t>
  </si>
  <si>
    <t>248554287</t>
  </si>
  <si>
    <t>TJ140605382BR</t>
  </si>
  <si>
    <t>298 295 2713</t>
  </si>
  <si>
    <t>OV689753249BR</t>
  </si>
  <si>
    <t>4045182191</t>
  </si>
  <si>
    <t>DA508708709BR</t>
  </si>
  <si>
    <t>💌
 *De*: Somamil
 *Para*: Ogura Rep
 *Ref*.: S. Brocado - Embarque 15/07/25
•  *N° da Coleta*: 4045182191
•  *Agendado para*: 21/08/2025
*Rastreio*: DA508708709BR</t>
  </si>
  <si>
    <t>4343853471</t>
  </si>
  <si>
    <t>DA561231196BR</t>
  </si>
  <si>
    <t>298.767.9723</t>
  </si>
  <si>
    <t>301232429</t>
  </si>
  <si>
    <t>DA502553884BR</t>
  </si>
  <si>
    <t>400 603 8366</t>
  </si>
  <si>
    <t>DA507531727BR</t>
  </si>
  <si>
    <t>4034991174</t>
  </si>
  <si>
    <t>DA507669822BR</t>
  </si>
  <si>
    <t>403 625 7470</t>
  </si>
  <si>
    <t>AC951626924BR</t>
  </si>
  <si>
    <t>4045182819</t>
  </si>
  <si>
    <t>DA508709386BR</t>
  </si>
  <si>
    <t>💌
 *De*: Casabela / Pancieri
 *Para*: Ogura Rep
 *Ref*.: WD - Embarque 28/07/25
•  *N° da Coleta*: 4045182819
•  *Agendado para*: 21/08/2025
*Rastreio*: DA508709386BR</t>
  </si>
  <si>
    <t>445 094 0507</t>
  </si>
  <si>
    <t>DA564879753BR</t>
  </si>
  <si>
    <t>💌
*De*: Somamil
*Para*: Ogura Rep
*Ref.* Madepol - Embarque 23/05/25
•  *N° da Coleta*: 301281637
•  *Agendado para*: 25/06/25
Rastreio: *DA502601528BR*</t>
  </si>
  <si>
    <t>💌
 *De*: Lider
 *Para*: Ogura Rep
 *Ref.*: GT Madeiras - Embarque 01/03/25
*Correios* - Autorização de Postagem
•  *Código*: 339.580.1412</t>
  </si>
  <si>
    <t xml:space="preserve">Relatórios - Arlu
 - KL Artefatos: Embarque 2024-12-11
 - Mad. Vitoria: Embarque 2024-12-12
 - Gabrielense: Embarque 2024-12-13 </t>
  </si>
  <si>
    <t>💌
 *De*: Titoé
 *Para*: Ogura Rep
 *Ref.*: 
Cichelero - Embarque 09/05/25
Brasil Flora - Embarque 09/05/25
•  *N° da Coleta*: 297922235
•  *Agendado para*: 06/06/25
Rastreio: *DA453935540BR*</t>
  </si>
  <si>
    <t>💌
*De*: Arlu 
*Para*: Mad. Vitória
*Ref.*: Mad. Vitoria - Embarque 19/02/25
•  *N° da Coleta*: 286681944
•  *Agendado para*: 20/03/2025
Rastreio: *DA446597974BR*</t>
  </si>
  <si>
    <t>💌
 *De*: Mad. Pedra Azul
*Para*: MAL Amâncio
 *Ref.*: MAL Amâncio - Embarque 07/12/24
*Correios* - Autorização de Postagem
•  *Código*: 333.281.1192</t>
  </si>
  <si>
    <t>Relatorio - Madeiras Vitoria - Embarque 18/09/24</t>
  </si>
  <si>
    <t>💌
 *De*: Mel Madeiras
 *Para*: Madeflona
 Madeflona - Embarque 31/03/25 
*Correios* - Autorização de Postagem
•  *Código*: 344.506.8745</t>
  </si>
  <si>
    <t>ATENDIMENTO - CORREIOS</t>
  </si>
  <si>
    <t>PROTOCOLO</t>
  </si>
  <si>
    <t>DATA</t>
  </si>
  <si>
    <t>Dallyptus - Coleta não realizada</t>
  </si>
  <si>
    <t>194759367</t>
  </si>
  <si>
    <t>BF - Coleta que virou postagem</t>
  </si>
  <si>
    <t>194759521</t>
  </si>
  <si>
    <t>RECEBIMENTOS EM ABERTO</t>
  </si>
  <si>
    <t>DISTRIBUIÇÃO DE CHEQUES CLIENTE</t>
  </si>
  <si>
    <t>MÊS</t>
  </si>
  <si>
    <t>PRAZO</t>
  </si>
  <si>
    <t>SOMA PARCELAS</t>
  </si>
  <si>
    <t>SOMA / MÊS</t>
  </si>
  <si>
    <t>DIFERENÇA</t>
  </si>
  <si>
    <t>BOM PARA</t>
  </si>
  <si>
    <t>VALOR CH</t>
  </si>
  <si>
    <t>QUINZENA</t>
  </si>
  <si>
    <t>AGOSTO</t>
  </si>
  <si>
    <t>Até 25/08/25</t>
  </si>
  <si>
    <t>SETEMBRO</t>
  </si>
  <si>
    <t>Até 10/09/25</t>
  </si>
  <si>
    <t>Até 15/09/25</t>
  </si>
  <si>
    <t>FALTA</t>
  </si>
  <si>
    <t>Até 25/09/25</t>
  </si>
  <si>
    <t>OUTUBRO</t>
  </si>
  <si>
    <t>Até 10/10/25</t>
  </si>
  <si>
    <t>Até 25/10/25</t>
  </si>
  <si>
    <t>NOVEMBRO</t>
  </si>
  <si>
    <t>Até 10/11/25</t>
  </si>
  <si>
    <t>Até 21/11/25</t>
  </si>
  <si>
    <t>DEZEMBRO</t>
  </si>
  <si>
    <t>Até 06/12/25</t>
  </si>
  <si>
    <t>TOTAL:</t>
  </si>
  <si>
    <t>DIFERENÇA:</t>
  </si>
  <si>
    <r>
      <rPr>
        <b val="1"/>
        <sz val="14"/>
        <color indexed="8"/>
        <rFont val="Arial"/>
      </rPr>
      <t>CONDIÇÕES DE PAGAMENTO:</t>
    </r>
  </si>
  <si>
    <t>CHEQUES CLIENTE:</t>
  </si>
  <si>
    <t>Prazo</t>
  </si>
  <si>
    <t>Valor</t>
  </si>
  <si>
    <t>30 Dias</t>
  </si>
  <si>
    <t>45 Dias</t>
  </si>
  <si>
    <t>60 Dias</t>
  </si>
  <si>
    <t>75 Dias</t>
  </si>
  <si>
    <t>90 Dias</t>
  </si>
  <si>
    <t>105 Dias</t>
  </si>
  <si>
    <t>120 Dias</t>
  </si>
  <si>
    <t>135 Dias</t>
  </si>
  <si>
    <t>150 Dias</t>
  </si>
  <si>
    <t>165 Dias</t>
  </si>
  <si>
    <t>180 Dias</t>
  </si>
  <si>
    <t>TOTAL A PAGAR</t>
  </si>
  <si>
    <t># CH</t>
  </si>
  <si>
    <t>Valor à vista</t>
  </si>
  <si>
    <t>NOME</t>
  </si>
  <si>
    <t>VIALAR</t>
  </si>
  <si>
    <t>KISSILA</t>
  </si>
  <si>
    <t>J. M.</t>
  </si>
  <si>
    <t>VERIFICAR “BOM PARA”</t>
  </si>
  <si>
    <t>TOTAL RECEBIDO</t>
  </si>
  <si>
    <t>Acompanhamento de Pagamentos - WD Neuhaus - KS Confort ( Atualizado em 20/03/25 )</t>
  </si>
  <si>
    <t>Pagamento à vista - Pix p/ Ogura Rep - Excedente é o valor do Frete ( ! )</t>
  </si>
  <si>
    <t>Parcela 4/4</t>
  </si>
  <si>
    <t>BOLETO (Madepol)</t>
  </si>
  <si>
    <t>PISKE ESQUADRIAS LTDA EPP</t>
  </si>
  <si>
    <t>WD Neuhaus - KS Confort</t>
  </si>
  <si>
    <t>Embarque: 27/10/25</t>
  </si>
  <si>
    <t>Mercadoria</t>
  </si>
  <si>
    <r>
      <rPr>
        <b val="1"/>
        <i val="1"/>
        <sz val="12"/>
        <color indexed="8"/>
        <rFont val="Arial"/>
      </rPr>
      <t>- Frete</t>
    </r>
    <r>
      <rPr>
        <i val="1"/>
        <sz val="12"/>
        <color indexed="8"/>
        <rFont val="Arial"/>
      </rPr>
      <t xml:space="preserve"> (ao motorista)</t>
    </r>
  </si>
  <si>
    <t>TOTAL A RECEBER</t>
  </si>
  <si>
    <r>
      <rPr>
        <b val="1"/>
        <sz val="12"/>
        <color indexed="8"/>
        <rFont val="Arial"/>
      </rPr>
      <t>31/10/25</t>
    </r>
    <r>
      <rPr>
        <sz val="12"/>
        <color indexed="8"/>
        <rFont val="Arial"/>
      </rPr>
      <t xml:space="preserve"> - Pix p/ Mad Vitoria</t>
    </r>
  </si>
  <si>
    <r>
      <rPr>
        <b val="1"/>
        <sz val="12"/>
        <color indexed="8"/>
        <rFont val="Arial"/>
      </rPr>
      <t>18/11/25</t>
    </r>
    <r>
      <rPr>
        <sz val="12"/>
        <color indexed="8"/>
        <rFont val="Arial"/>
      </rPr>
      <t xml:space="preserve"> - Pix p/ Mad Vitoria</t>
    </r>
  </si>
  <si>
    <t>SALDO</t>
  </si>
  <si>
    <t>Pagar Para:</t>
  </si>
  <si>
    <r>
      <rPr>
        <b val="1"/>
        <sz val="12"/>
        <color indexed="8"/>
        <rFont val="Arial"/>
      </rPr>
      <t xml:space="preserve">Ind. Com. Madeiras Vitoria
</t>
    </r>
    <r>
      <rPr>
        <sz val="12"/>
        <color indexed="8"/>
        <rFont val="Arial"/>
      </rPr>
      <t>CNPJ: 11.888.438/0001-74</t>
    </r>
  </si>
  <si>
    <t>Banco:</t>
  </si>
  <si>
    <t>Bando do Brasil</t>
  </si>
  <si>
    <t>Pix (CNPJ):</t>
  </si>
  <si>
    <t>11.888.438/0001-74</t>
  </si>
  <si>
    <r>
      <rPr>
        <b val="1"/>
        <sz val="12"/>
        <color indexed="8"/>
        <rFont val="Arial"/>
      </rPr>
      <t xml:space="preserve">Pantera Madeiras Ltda
</t>
    </r>
    <r>
      <rPr>
        <sz val="12"/>
        <color indexed="8"/>
        <rFont val="Arial"/>
      </rPr>
      <t>CNPJ: 50.237.001/0001-22</t>
    </r>
  </si>
  <si>
    <t>SICOOB</t>
  </si>
  <si>
    <t>Pix (telefone):</t>
  </si>
  <si>
    <t>(69)98421-2695</t>
  </si>
  <si>
    <t>1 Data</t>
  </si>
  <si>
    <t>SERRARIA BROCADO</t>
  </si>
  <si>
    <t>MC</t>
  </si>
  <si>
    <t>Restante em dinheiro? Dia da Confusão com cédulas</t>
  </si>
  <si>
    <t>SERMAD</t>
  </si>
  <si>
    <t>FALTOU MATERIAL</t>
  </si>
  <si>
    <t>COMPENSADOS HORIZONTE</t>
  </si>
  <si>
    <t>CH DEV PEDRO RENATO - IMPERIAL</t>
  </si>
  <si>
    <t>DESCONTADO DE OGURA</t>
  </si>
  <si>
    <t>DESCONTADO DA COMISSAO DE OGURA</t>
  </si>
  <si>
    <t xml:space="preserve">pignaton - PIX P/ GABRIELENSE </t>
  </si>
  <si>
    <t>DESDE AGOSTO</t>
  </si>
  <si>
    <t>LOCALIZAR PAGAMENTO</t>
  </si>
  <si>
    <t>LANÇADO NA DATA 24/03/23</t>
  </si>
  <si>
    <t>CONFERIR MC 07/23</t>
  </si>
  <si>
    <t>Verificar e Encaminhar Informes</t>
  </si>
  <si>
    <t>VILMAR - ACERTO</t>
  </si>
  <si>
    <t>ficou faltando um pouco</t>
  </si>
  <si>
    <t>CALIARI</t>
  </si>
  <si>
    <t>sobrou um pouco</t>
  </si>
  <si>
    <t>Embarque Mad Vitoria - 06/01/23</t>
  </si>
  <si>
    <t>frete pago em duplicidade ao fornecedor</t>
  </si>
  <si>
    <t>RELATORIO DE ACERTO</t>
  </si>
  <si>
    <t>KL</t>
  </si>
  <si>
    <t>PAGAR SALDO RESTANTE DAS ANTECIPACOES</t>
  </si>
  <si>
    <t>SOMA</t>
  </si>
  <si>
    <t>SOMAMIL</t>
  </si>
  <si>
    <t>ZUMERLE</t>
  </si>
  <si>
    <t>ICMS A VISTA</t>
  </si>
  <si>
    <t>DOJO</t>
  </si>
  <si>
    <t>PARCELA</t>
  </si>
  <si>
    <t>SEBASTIAO</t>
  </si>
  <si>
    <t>TAMARINO</t>
  </si>
  <si>
    <t>GEO-SOL (1 PARCELA)</t>
  </si>
  <si>
    <t>COMISSAO SANTA TERESA</t>
  </si>
  <si>
    <t>SERMAD / ACERTO</t>
  </si>
  <si>
    <t>ACERTO C FALTAS</t>
  </si>
  <si>
    <t>BROCADO</t>
  </si>
  <si>
    <t>ZUMERLE / MAD. VITORIA</t>
  </si>
  <si>
    <t>MEL</t>
  </si>
  <si>
    <t>PIX POR ENGANO</t>
  </si>
  <si>
    <t>SALDO Relatório Anterior</t>
  </si>
  <si>
    <t>CREDOR - OGURA</t>
  </si>
  <si>
    <t>CH</t>
  </si>
  <si>
    <t>VICOM / GT</t>
  </si>
  <si>
    <t>pix tielly</t>
  </si>
  <si>
    <t xml:space="preserve"> +</t>
  </si>
  <si>
    <t>PARTELLI</t>
  </si>
  <si>
    <t>JC</t>
  </si>
  <si>
    <t xml:space="preserve"> = </t>
  </si>
  <si>
    <t xml:space="preserve"> -</t>
  </si>
  <si>
    <t>Desc. A/V (2%)</t>
  </si>
  <si>
    <t xml:space="preserve"> - </t>
  </si>
  <si>
    <t>Comissão</t>
  </si>
  <si>
    <t>SALDO A PAGAR</t>
  </si>
  <si>
    <t>Pix (17/12/24)</t>
  </si>
  <si>
    <t>Pix (20/12/24)</t>
  </si>
  <si>
    <t>RESTANTE</t>
  </si>
  <si>
    <t>Madepol - Embarque 24/06/25</t>
  </si>
  <si>
    <t>Madepol - Embarque 24/07/25</t>
  </si>
  <si>
    <t>Parcela</t>
  </si>
  <si>
    <t>VALOR</t>
  </si>
  <si>
    <t>30</t>
  </si>
  <si>
    <t>45</t>
  </si>
  <si>
    <t>60</t>
  </si>
  <si>
    <t>75</t>
  </si>
  <si>
    <t>90</t>
  </si>
  <si>
    <t>RECEBER PIX</t>
  </si>
  <si>
    <t>TOTAL</t>
  </si>
  <si>
    <t>Diferença =</t>
  </si>
  <si>
    <t>CONFIRMAR</t>
  </si>
</sst>
</file>

<file path=xl/styles.xml><?xml version="1.0" encoding="utf-8"?>
<styleSheet xmlns="http://schemas.openxmlformats.org/spreadsheetml/2006/main">
  <numFmts count="11">
    <numFmt numFmtId="0" formatCode="General"/>
    <numFmt numFmtId="59" formatCode="dd/mm/yy"/>
    <numFmt numFmtId="60" formatCode="_-[$R$-416]* #,##0.00_-;_-[$R$-416]* \(#,##0.00\)_-;_-[$R$-416]* &quot;-&quot;??;_-@_-"/>
    <numFmt numFmtId="61" formatCode="d/m/yy"/>
    <numFmt numFmtId="62" formatCode="[$R$-416] #,##0.00"/>
    <numFmt numFmtId="63" formatCode="0000"/>
    <numFmt numFmtId="64" formatCode="[$R$-416] 0.00"/>
    <numFmt numFmtId="65" formatCode="#,##0.0#"/>
    <numFmt numFmtId="66" formatCode="dd/mm/yyyy"/>
    <numFmt numFmtId="67" formatCode="# ???/???"/>
    <numFmt numFmtId="68" formatCode="&quot; R$&quot;* #,##0.00&quot; &quot;;&quot; R$&quot;* (#,##0.00);&quot; R$&quot;* &quot;-&quot;??&quot; &quot;"/>
  </numFmts>
  <fonts count="3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Arial"/>
    </font>
    <font>
      <sz val="10"/>
      <color indexed="8"/>
      <name val="Arial"/>
    </font>
    <font>
      <i val="1"/>
      <sz val="10"/>
      <color indexed="8"/>
      <name val="Arial"/>
    </font>
    <font>
      <b val="1"/>
      <sz val="12"/>
      <color indexed="8"/>
      <name val="Helvetica Neue"/>
    </font>
    <font>
      <b val="1"/>
      <sz val="10"/>
      <color indexed="8"/>
      <name val="Helvetica Neue"/>
    </font>
    <font>
      <b val="1"/>
      <i val="1"/>
      <sz val="10"/>
      <color indexed="8"/>
      <name val="Helvetica Neue"/>
    </font>
    <font>
      <i val="1"/>
      <sz val="10"/>
      <color indexed="8"/>
      <name val="Helvetica Neue"/>
    </font>
    <font>
      <strike val="1"/>
      <sz val="10"/>
      <color indexed="40"/>
      <name val="Helvetica Neue"/>
    </font>
    <font>
      <b val="1"/>
      <sz val="15"/>
      <color indexed="8"/>
      <name val="Arial"/>
    </font>
    <font>
      <b val="1"/>
      <sz val="12"/>
      <color indexed="41"/>
      <name val="Arial"/>
    </font>
    <font>
      <b val="1"/>
      <sz val="12"/>
      <color indexed="8"/>
      <name val="Arial"/>
    </font>
    <font>
      <b val="1"/>
      <sz val="15"/>
      <color indexed="41"/>
      <name val="Arial"/>
    </font>
    <font>
      <b val="1"/>
      <sz val="12"/>
      <color indexed="53"/>
      <name val="Arial"/>
    </font>
    <font>
      <b val="1"/>
      <sz val="14"/>
      <color indexed="8"/>
      <name val="Arial"/>
    </font>
    <font>
      <sz val="18"/>
      <color indexed="8"/>
      <name val="Calibri"/>
    </font>
    <font>
      <b val="1"/>
      <sz val="11"/>
      <color indexed="8"/>
      <name val="Times New Roman"/>
    </font>
    <font>
      <sz val="14"/>
      <color indexed="8"/>
      <name val="Arial"/>
    </font>
    <font>
      <b val="1"/>
      <sz val="14"/>
      <color indexed="53"/>
      <name val="Arial"/>
    </font>
    <font>
      <sz val="11"/>
      <color indexed="8"/>
      <name val="Calibri"/>
    </font>
    <font>
      <b val="1"/>
      <sz val="14"/>
      <color indexed="59"/>
      <name val="Arial"/>
    </font>
    <font>
      <sz val="15"/>
      <color indexed="8"/>
      <name val="Calibri"/>
    </font>
    <font>
      <sz val="12"/>
      <color indexed="8"/>
      <name val="Arial"/>
    </font>
    <font>
      <b val="1"/>
      <i val="1"/>
      <sz val="12"/>
      <color indexed="8"/>
      <name val="Arial"/>
    </font>
    <font>
      <i val="1"/>
      <sz val="12"/>
      <color indexed="8"/>
      <name val="Arial"/>
    </font>
    <font>
      <b val="1"/>
      <sz val="12"/>
      <color indexed="59"/>
      <name val="Arial"/>
    </font>
    <font>
      <sz val="10"/>
      <color indexed="61"/>
      <name val="Helvetica Neue"/>
    </font>
    <font>
      <sz val="10"/>
      <color indexed="40"/>
      <name val="Helvetica Neue"/>
    </font>
    <font>
      <sz val="10"/>
      <color indexed="62"/>
      <name val="Helvetica Neue"/>
    </font>
    <font>
      <b val="1"/>
      <sz val="10"/>
      <color rgb="ffb41700"/>
      <name val="Arial"/>
    </font>
    <font>
      <b val="1"/>
      <sz val="10"/>
      <color rgb="ffb41700"/>
      <name val="Helvetica Neue"/>
    </font>
    <font>
      <sz val="10"/>
      <color indexed="53"/>
      <name val="Helvetica Neue"/>
    </font>
    <font>
      <b val="1"/>
      <sz val="10"/>
      <color indexed="59"/>
      <name val="Helvetica Neue"/>
    </font>
  </fonts>
  <fills count="4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39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5"/>
        <bgColor auto="1"/>
      </patternFill>
    </fill>
    <fill>
      <patternFill patternType="solid">
        <fgColor indexed="46"/>
        <bgColor auto="1"/>
      </patternFill>
    </fill>
    <fill>
      <patternFill patternType="solid">
        <fgColor indexed="47"/>
        <bgColor auto="1"/>
      </patternFill>
    </fill>
    <fill>
      <patternFill patternType="solid">
        <fgColor indexed="48"/>
        <bgColor auto="1"/>
      </patternFill>
    </fill>
    <fill>
      <patternFill patternType="solid">
        <fgColor indexed="49"/>
        <bgColor auto="1"/>
      </patternFill>
    </fill>
    <fill>
      <patternFill patternType="solid">
        <fgColor indexed="50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52"/>
        <bgColor auto="1"/>
      </patternFill>
    </fill>
    <fill>
      <patternFill patternType="solid">
        <fgColor indexed="54"/>
        <bgColor auto="1"/>
      </patternFill>
    </fill>
    <fill>
      <patternFill patternType="solid">
        <fgColor indexed="55"/>
        <bgColor auto="1"/>
      </patternFill>
    </fill>
    <fill>
      <patternFill patternType="solid">
        <fgColor indexed="56"/>
        <bgColor auto="1"/>
      </patternFill>
    </fill>
    <fill>
      <patternFill patternType="solid">
        <fgColor indexed="57"/>
        <bgColor auto="1"/>
      </patternFill>
    </fill>
    <fill>
      <patternFill patternType="solid">
        <fgColor indexed="58"/>
        <bgColor auto="1"/>
      </patternFill>
    </fill>
    <fill>
      <patternFill patternType="solid">
        <fgColor indexed="60"/>
        <bgColor auto="1"/>
      </patternFill>
    </fill>
    <fill>
      <patternFill patternType="solid">
        <fgColor indexed="63"/>
        <bgColor auto="1"/>
      </patternFill>
    </fill>
  </fills>
  <borders count="14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10"/>
      </top>
      <bottom style="thin">
        <color indexed="10"/>
      </bottom>
      <diagonal/>
    </border>
    <border>
      <left style="thin">
        <color indexed="2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27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23"/>
      </right>
      <top style="thin">
        <color indexed="10"/>
      </top>
      <bottom style="thin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10"/>
      </bottom>
      <diagonal/>
    </border>
    <border>
      <left style="thin">
        <color indexed="23"/>
      </left>
      <right style="thin">
        <color indexed="10"/>
      </right>
      <top style="thin">
        <color indexed="23"/>
      </top>
      <bottom style="thin">
        <color indexed="23"/>
      </bottom>
      <diagonal/>
    </border>
    <border>
      <left style="thin">
        <color indexed="10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10"/>
      </top>
      <bottom style="thin">
        <color indexed="23"/>
      </bottom>
      <diagonal/>
    </border>
    <border>
      <left style="thin">
        <color indexed="10"/>
      </left>
      <right style="thin">
        <color indexed="23"/>
      </right>
      <top style="thin">
        <color indexed="23"/>
      </top>
      <bottom style="thin">
        <color indexed="10"/>
      </bottom>
      <diagonal/>
    </border>
    <border>
      <left style="thin">
        <color indexed="23"/>
      </left>
      <right style="thin">
        <color indexed="10"/>
      </right>
      <top style="thin">
        <color indexed="2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27"/>
      </bottom>
      <diagonal/>
    </border>
    <border>
      <left style="thin">
        <color indexed="10"/>
      </left>
      <right style="thin">
        <color indexed="10"/>
      </right>
      <top style="thin">
        <color indexed="27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23"/>
      </bottom>
      <diagonal/>
    </border>
    <border>
      <left style="thin">
        <color indexed="10"/>
      </left>
      <right style="thin">
        <color indexed="10"/>
      </right>
      <top style="thin">
        <color indexed="23"/>
      </top>
      <bottom style="thin">
        <color indexed="10"/>
      </bottom>
      <diagonal/>
    </border>
    <border>
      <left style="thin">
        <color indexed="10"/>
      </left>
      <right style="thin">
        <color indexed="23"/>
      </right>
      <top style="thin">
        <color indexed="10"/>
      </top>
      <bottom style="thin">
        <color indexed="23"/>
      </bottom>
      <diagonal/>
    </border>
    <border>
      <left style="thin">
        <color indexed="23"/>
      </left>
      <right style="thin">
        <color indexed="10"/>
      </right>
      <top style="thin">
        <color indexed="10"/>
      </top>
      <bottom style="thin">
        <color indexed="23"/>
      </bottom>
      <diagonal/>
    </border>
    <border>
      <left style="thin">
        <color indexed="10"/>
      </left>
      <right style="thin">
        <color indexed="10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10"/>
      </top>
      <bottom style="thin">
        <color indexed="27"/>
      </bottom>
      <diagonal/>
    </border>
    <border>
      <left style="thin">
        <color indexed="23"/>
      </left>
      <right style="thin">
        <color indexed="23"/>
      </right>
      <top style="thin">
        <color indexed="27"/>
      </top>
      <bottom style="thin">
        <color indexed="27"/>
      </bottom>
      <diagonal/>
    </border>
    <border>
      <left style="thin">
        <color indexed="23"/>
      </left>
      <right style="thin">
        <color indexed="23"/>
      </right>
      <top style="thin">
        <color indexed="27"/>
      </top>
      <bottom style="thin">
        <color indexed="23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medium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ck">
        <color indexed="8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23"/>
      </right>
      <top style="thick">
        <color indexed="8"/>
      </top>
      <bottom style="thin">
        <color indexed="10"/>
      </bottom>
      <diagonal/>
    </border>
    <border>
      <left style="thin">
        <color indexed="23"/>
      </left>
      <right style="thick">
        <color indexed="8"/>
      </right>
      <top style="thick">
        <color indexed="8"/>
      </top>
      <bottom style="thin">
        <color indexed="23"/>
      </bottom>
      <diagonal/>
    </border>
    <border>
      <left style="thick">
        <color indexed="8"/>
      </left>
      <right style="thin">
        <color indexed="23"/>
      </right>
      <top style="thin">
        <color indexed="10"/>
      </top>
      <bottom style="thin">
        <color indexed="23"/>
      </bottom>
      <diagonal/>
    </border>
    <border>
      <left style="thin">
        <color indexed="23"/>
      </left>
      <right style="thick">
        <color indexed="8"/>
      </right>
      <top style="thin">
        <color indexed="10"/>
      </top>
      <bottom style="thin">
        <color indexed="23"/>
      </bottom>
      <diagonal/>
    </border>
    <border>
      <left style="thin">
        <color indexed="23"/>
      </left>
      <right style="thick">
        <color indexed="8"/>
      </right>
      <top style="thin">
        <color indexed="23"/>
      </top>
      <bottom style="thin">
        <color indexed="23"/>
      </bottom>
      <diagonal/>
    </border>
    <border>
      <left style="thick">
        <color indexed="8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8"/>
      </left>
      <right style="thin">
        <color indexed="23"/>
      </right>
      <top style="thin">
        <color indexed="23"/>
      </top>
      <bottom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>
        <color indexed="8"/>
      </bottom>
      <diagonal/>
    </border>
    <border>
      <left style="thin">
        <color indexed="23"/>
      </left>
      <right style="thick">
        <color indexed="8"/>
      </right>
      <top style="thin">
        <color indexed="23"/>
      </top>
      <bottom>
        <color indexed="8"/>
      </bottom>
      <diagonal/>
    </border>
    <border>
      <left style="thick">
        <color indexed="8"/>
      </left>
      <right style="thin">
        <color indexed="23"/>
      </right>
      <top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>
        <color indexed="8"/>
      </top>
      <bottom style="thin">
        <color indexed="23"/>
      </bottom>
      <diagonal/>
    </border>
    <border>
      <left style="thin">
        <color indexed="23"/>
      </left>
      <right style="thick">
        <color indexed="8"/>
      </right>
      <top>
        <color indexed="8"/>
      </top>
      <bottom style="thin">
        <color indexed="23"/>
      </bottom>
      <diagonal/>
    </border>
    <border>
      <left style="thick">
        <color indexed="8"/>
      </left>
      <right style="thin">
        <color indexed="23"/>
      </right>
      <top style="thin">
        <color indexed="23"/>
      </top>
      <bottom style="thick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8"/>
      </bottom>
      <diagonal/>
    </border>
    <border>
      <left style="thin">
        <color indexed="23"/>
      </left>
      <right style="thick">
        <color indexed="8"/>
      </right>
      <top style="thin">
        <color indexed="23"/>
      </top>
      <bottom style="thick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ck">
        <color indexed="8"/>
      </right>
      <top style="medium">
        <color indexed="8"/>
      </top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23"/>
      </right>
      <top style="medium">
        <color indexed="8"/>
      </top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  <diagonal/>
    </border>
    <border>
      <left style="thin">
        <color indexed="23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23"/>
      </right>
      <top style="medium">
        <color indexed="8"/>
      </top>
      <bottom>
        <color indexed="8"/>
      </bottom>
      <diagonal/>
    </border>
    <border>
      <left style="thin">
        <color indexed="23"/>
      </left>
      <right style="thin">
        <color indexed="23"/>
      </right>
      <top style="medium">
        <color indexed="8"/>
      </top>
      <bottom>
        <color indexed="8"/>
      </bottom>
      <diagonal/>
    </border>
    <border>
      <left style="thin">
        <color indexed="23"/>
      </left>
      <right style="medium">
        <color indexed="8"/>
      </right>
      <top style="medium">
        <color indexed="8"/>
      </top>
      <bottom>
        <color indexed="8"/>
      </bottom>
      <diagonal/>
    </border>
    <border>
      <left style="medium">
        <color indexed="8"/>
      </left>
      <right style="thin">
        <color indexed="23"/>
      </right>
      <top style="medium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8"/>
      </top>
      <bottom style="thin">
        <color indexed="23"/>
      </bottom>
      <diagonal/>
    </border>
    <border>
      <left style="thin">
        <color indexed="23"/>
      </left>
      <right style="medium">
        <color indexed="8"/>
      </right>
      <top style="medium">
        <color indexed="8"/>
      </top>
      <bottom style="thin">
        <color indexed="23"/>
      </bottom>
      <diagonal/>
    </border>
    <border>
      <left style="medium">
        <color indexed="8"/>
      </left>
      <right style="thin">
        <color indexed="23"/>
      </right>
      <top>
        <color indexed="8"/>
      </top>
      <bottom>
        <color indexed="8"/>
      </bottom>
      <diagonal/>
    </border>
    <border>
      <left style="thin">
        <color indexed="23"/>
      </left>
      <right style="thin">
        <color indexed="23"/>
      </right>
      <top>
        <color indexed="8"/>
      </top>
      <bottom>
        <color indexed="8"/>
      </bottom>
      <diagonal/>
    </border>
    <border>
      <left style="thin">
        <color indexed="23"/>
      </left>
      <right style="medium">
        <color indexed="8"/>
      </right>
      <top>
        <color indexed="8"/>
      </top>
      <bottom>
        <color indexed="8"/>
      </bottom>
      <diagonal/>
    </border>
    <border>
      <left style="medium">
        <color indexed="8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8"/>
      </right>
      <top style="thin">
        <color indexed="23"/>
      </top>
      <bottom style="thin">
        <color indexed="23"/>
      </bottom>
      <diagonal/>
    </border>
    <border>
      <left style="medium">
        <color indexed="8"/>
      </left>
      <right style="thin">
        <color indexed="23"/>
      </right>
      <top>
        <color indexed="8"/>
      </top>
      <bottom style="medium">
        <color indexed="8"/>
      </bottom>
      <diagonal/>
    </border>
    <border>
      <left style="thin">
        <color indexed="23"/>
      </left>
      <right style="thin">
        <color indexed="23"/>
      </right>
      <top>
        <color indexed="8"/>
      </top>
      <bottom style="medium">
        <color indexed="8"/>
      </bottom>
      <diagonal/>
    </border>
    <border>
      <left style="thin">
        <color indexed="23"/>
      </left>
      <right style="medium">
        <color indexed="8"/>
      </right>
      <top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23"/>
      </right>
      <top style="thin">
        <color indexed="23"/>
      </top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8"/>
      </bottom>
      <diagonal/>
    </border>
    <border>
      <left style="thin">
        <color indexed="23"/>
      </left>
      <right style="medium">
        <color indexed="8"/>
      </right>
      <top style="thin">
        <color indexed="23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23"/>
      </bottom>
      <diagonal/>
    </border>
    <border>
      <left style="medium">
        <color indexed="8"/>
      </left>
      <right style="thin">
        <color indexed="23"/>
      </right>
      <top style="medium">
        <color indexed="8"/>
      </top>
      <bottom style="medium">
        <color indexed="13"/>
      </bottom>
      <diagonal/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13"/>
      </bottom>
      <diagonal/>
    </border>
    <border>
      <left style="thin">
        <color indexed="23"/>
      </left>
      <right style="medium">
        <color indexed="8"/>
      </right>
      <top style="medium">
        <color indexed="8"/>
      </top>
      <bottom style="medium">
        <color indexed="1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13"/>
      </bottom>
      <diagonal/>
    </border>
    <border>
      <left style="medium">
        <color indexed="8"/>
      </left>
      <right style="medium">
        <color indexed="8"/>
      </right>
      <top style="thin">
        <color indexed="23"/>
      </top>
      <bottom style="thin">
        <color indexed="23"/>
      </bottom>
      <diagonal/>
    </border>
    <border>
      <left style="medium">
        <color indexed="8"/>
      </left>
      <right style="thin">
        <color indexed="23"/>
      </right>
      <top style="medium">
        <color indexed="13"/>
      </top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medium">
        <color indexed="13"/>
      </top>
      <bottom style="medium">
        <color indexed="8"/>
      </bottom>
      <diagonal/>
    </border>
    <border>
      <left style="thin">
        <color indexed="23"/>
      </left>
      <right style="medium">
        <color indexed="8"/>
      </right>
      <top style="medium">
        <color indexed="13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13"/>
      </top>
      <bottom style="medium">
        <color indexed="8"/>
      </bottom>
      <diagonal/>
    </border>
    <border>
      <left style="medium">
        <color indexed="8"/>
      </left>
      <right style="thin">
        <color indexed="23"/>
      </right>
      <top style="medium">
        <color indexed="13"/>
      </top>
      <bottom style="medium">
        <color indexed="13"/>
      </bottom>
      <diagonal/>
    </border>
    <border>
      <left style="thin">
        <color indexed="23"/>
      </left>
      <right style="thin">
        <color indexed="23"/>
      </right>
      <top style="medium">
        <color indexed="13"/>
      </top>
      <bottom style="medium">
        <color indexed="13"/>
      </bottom>
      <diagonal/>
    </border>
    <border>
      <left style="thin">
        <color indexed="23"/>
      </left>
      <right style="medium">
        <color indexed="8"/>
      </right>
      <top style="medium">
        <color indexed="13"/>
      </top>
      <bottom style="medium">
        <color indexed="13"/>
      </bottom>
      <diagonal/>
    </border>
    <border>
      <left style="medium">
        <color indexed="8"/>
      </left>
      <right style="medium">
        <color indexed="8"/>
      </right>
      <top style="medium">
        <color indexed="13"/>
      </top>
      <bottom style="medium">
        <color indexed="13"/>
      </bottom>
      <diagonal/>
    </border>
    <border>
      <left style="medium">
        <color indexed="8"/>
      </left>
      <right style="medium">
        <color indexed="8"/>
      </right>
      <top style="thin">
        <color indexed="23"/>
      </top>
      <bottom style="medium">
        <color indexed="8"/>
      </bottom>
      <diagonal/>
    </border>
    <border>
      <left style="medium">
        <color indexed="8"/>
      </left>
      <right>
        <color indexed="8"/>
      </right>
      <top style="medium">
        <color indexed="8"/>
      </top>
      <bottom style="thin">
        <color indexed="23"/>
      </bottom>
      <diagonal/>
    </border>
    <border>
      <left>
        <color indexed="8"/>
      </left>
      <right>
        <color indexed="8"/>
      </right>
      <top style="medium">
        <color indexed="8"/>
      </top>
      <bottom style="thin">
        <color indexed="23"/>
      </bottom>
      <diagonal/>
    </border>
    <border>
      <left style="medium">
        <color indexed="8"/>
      </left>
      <right>
        <color indexed="8"/>
      </right>
      <top style="thin">
        <color indexed="23"/>
      </top>
      <bottom style="thin">
        <color indexed="23"/>
      </bottom>
      <diagonal/>
    </border>
    <border>
      <left>
        <color indexed="8"/>
      </left>
      <right>
        <color indexed="8"/>
      </right>
      <top style="thin">
        <color indexed="23"/>
      </top>
      <bottom style="thin">
        <color indexed="23"/>
      </bottom>
      <diagonal/>
    </border>
    <border>
      <left style="medium">
        <color indexed="8"/>
      </left>
      <right style="medium">
        <color indexed="8"/>
      </right>
      <top style="medium">
        <color indexed="13"/>
      </top>
      <bottom>
        <color indexed="8"/>
      </bottom>
      <diagonal/>
    </border>
    <border>
      <left style="medium">
        <color indexed="8"/>
      </left>
      <right>
        <color indexed="8"/>
      </right>
      <top style="thin">
        <color indexed="23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23"/>
      </top>
      <bottom>
        <color indexed="8"/>
      </bottom>
      <diagonal/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13"/>
      </bottom>
      <diagonal/>
    </border>
    <border>
      <left style="medium">
        <color indexed="8"/>
      </left>
      <right style="thin">
        <color indexed="10"/>
      </right>
      <top>
        <color indexed="8"/>
      </top>
      <bottom>
        <color indexed="8"/>
      </bottom>
      <diagonal/>
    </border>
    <border>
      <left style="thin">
        <color indexed="10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23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>
        <color indexed="8"/>
      </bottom>
      <diagonal/>
    </border>
    <border>
      <left style="thin">
        <color indexed="23"/>
      </left>
      <right style="thin">
        <color indexed="27"/>
      </right>
      <top style="thin">
        <color indexed="27"/>
      </top>
      <bottom style="thin">
        <color indexed="10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3"/>
      </bottom>
      <diagonal/>
    </border>
    <border>
      <left style="thin">
        <color indexed="27"/>
      </left>
      <right style="thin">
        <color indexed="10"/>
      </right>
      <top style="thin">
        <color indexed="23"/>
      </top>
      <bottom style="thin">
        <color indexed="23"/>
      </bottom>
      <diagonal/>
    </border>
    <border>
      <left style="thin">
        <color indexed="27"/>
      </left>
      <right style="thin">
        <color indexed="27"/>
      </right>
      <top style="thin">
        <color indexed="23"/>
      </top>
      <bottom style="thin">
        <color indexed="23"/>
      </bottom>
      <diagonal/>
    </border>
    <border>
      <left style="thin">
        <color indexed="27"/>
      </left>
      <right style="thin">
        <color indexed="27"/>
      </right>
      <top style="thin">
        <color indexed="23"/>
      </top>
      <bottom style="thin">
        <color indexed="27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10"/>
      </bottom>
      <diagonal/>
    </border>
    <border>
      <left style="thin">
        <color indexed="27"/>
      </left>
      <right style="thin">
        <color indexed="10"/>
      </right>
      <top style="thin">
        <color indexed="10"/>
      </top>
      <bottom style="thin">
        <color indexed="27"/>
      </bottom>
      <diagonal/>
    </border>
    <border>
      <left style="thin">
        <color indexed="10"/>
      </left>
      <right style="thin">
        <color indexed="27"/>
      </right>
      <top style="thin">
        <color indexed="10"/>
      </top>
      <bottom style="thin">
        <color indexed="27"/>
      </bottom>
      <diagonal/>
    </border>
    <border>
      <left style="thin">
        <color indexed="27"/>
      </left>
      <right style="thin">
        <color indexed="27"/>
      </right>
      <top style="thin">
        <color indexed="10"/>
      </top>
      <bottom style="thin">
        <color indexed="27"/>
      </bottom>
      <diagonal/>
    </border>
    <border>
      <left style="thin">
        <color indexed="27"/>
      </left>
      <right style="thin">
        <color indexed="10"/>
      </right>
      <top style="thin">
        <color indexed="27"/>
      </top>
      <bottom style="thin">
        <color indexed="27"/>
      </bottom>
      <diagonal/>
    </border>
    <border>
      <left style="thin">
        <color indexed="10"/>
      </left>
      <right style="thin">
        <color indexed="27"/>
      </right>
      <top style="thin">
        <color indexed="27"/>
      </top>
      <bottom style="thin">
        <color indexed="27"/>
      </bottom>
      <diagonal/>
    </border>
    <border>
      <left style="thin">
        <color indexed="8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8"/>
      </top>
      <bottom style="thin">
        <color indexed="23"/>
      </bottom>
      <diagonal/>
    </border>
    <border>
      <left style="thin">
        <color indexed="8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23"/>
      </right>
      <top style="thin">
        <color indexed="23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8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0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center" vertical="center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1" applyNumberFormat="1" applyFont="1" applyFill="1" applyBorder="1" applyAlignment="1" applyProtection="0">
      <alignment horizontal="center" vertical="center" wrapText="1"/>
    </xf>
    <xf numFmtId="49" fontId="2" fillId="4" borderId="1" applyNumberFormat="1" applyFont="1" applyFill="1" applyBorder="1" applyAlignment="1" applyProtection="0">
      <alignment horizontal="center" vertical="center" wrapText="1"/>
    </xf>
    <xf numFmtId="49" fontId="2" fillId="5" borderId="1" applyNumberFormat="1" applyFont="1" applyFill="1" applyBorder="1" applyAlignment="1" applyProtection="0">
      <alignment vertical="center" wrapText="1"/>
    </xf>
    <xf numFmtId="49" fontId="2" fillId="4" borderId="1" applyNumberFormat="1" applyFont="1" applyFill="1" applyBorder="1" applyAlignment="1" applyProtection="0">
      <alignment vertical="center" wrapText="1"/>
    </xf>
    <xf numFmtId="59" fontId="3" borderId="1" applyNumberFormat="1" applyFont="1" applyFill="0" applyBorder="1" applyAlignment="1" applyProtection="0">
      <alignment horizontal="center" vertical="center" wrapText="1"/>
    </xf>
    <xf numFmtId="0" fontId="3" borderId="1" applyNumberFormat="1" applyFont="1" applyFill="0" applyBorder="1" applyAlignment="1" applyProtection="0">
      <alignment horizontal="center" vertical="center" wrapText="1"/>
    </xf>
    <xf numFmtId="49" fontId="3" borderId="1" applyNumberFormat="1" applyFont="1" applyFill="0" applyBorder="1" applyAlignment="1" applyProtection="0">
      <alignment horizontal="center" vertical="center" wrapText="1"/>
    </xf>
    <xf numFmtId="49" fontId="3" fillId="6" borderId="1" applyNumberFormat="1" applyFont="1" applyFill="1" applyBorder="1" applyAlignment="1" applyProtection="0">
      <alignment horizontal="center" vertical="center" wrapText="1"/>
    </xf>
    <xf numFmtId="60" fontId="3" fillId="3" borderId="1" applyNumberFormat="1" applyFont="1" applyFill="1" applyBorder="1" applyAlignment="1" applyProtection="0">
      <alignment horizontal="center" vertical="center" wrapText="1"/>
    </xf>
    <xf numFmtId="60" fontId="4" fillId="5" borderId="1" applyNumberFormat="1" applyFont="1" applyFill="1" applyBorder="1" applyAlignment="1" applyProtection="0">
      <alignment horizontal="center" vertical="center" wrapText="1"/>
    </xf>
    <xf numFmtId="49" fontId="3" fillId="5" borderId="1" applyNumberFormat="1" applyFont="1" applyFill="1" applyBorder="1" applyAlignment="1" applyProtection="0">
      <alignment horizontal="center" vertical="center" wrapText="1"/>
    </xf>
    <xf numFmtId="60" fontId="3" fillId="5" borderId="1" applyNumberFormat="1" applyFont="1" applyFill="1" applyBorder="1" applyAlignment="1" applyProtection="0">
      <alignment horizontal="center" vertical="center" wrapText="1"/>
    </xf>
    <xf numFmtId="0" fontId="3" borderId="1" applyNumberFormat="0" applyFont="1" applyFill="0" applyBorder="1" applyAlignment="1" applyProtection="0">
      <alignment horizontal="center" vertical="center" wrapText="1"/>
    </xf>
    <xf numFmtId="49" fontId="2" fillId="7" borderId="1" applyNumberFormat="1" applyFont="1" applyFill="1" applyBorder="1" applyAlignment="1" applyProtection="0">
      <alignment horizontal="center" vertical="center" wrapText="1"/>
    </xf>
    <xf numFmtId="49" fontId="2" fillId="3" borderId="1" applyNumberFormat="1" applyFont="1" applyFill="1" applyBorder="1" applyAlignment="1" applyProtection="0">
      <alignment vertical="center" wrapText="1"/>
    </xf>
    <xf numFmtId="60" fontId="2" fillId="8" borderId="1" applyNumberFormat="1" applyFont="1" applyFill="1" applyBorder="1" applyAlignment="1" applyProtection="0">
      <alignment horizontal="center" vertical="center" wrapText="1"/>
    </xf>
    <xf numFmtId="0" fontId="3" fillId="5" borderId="1" applyNumberFormat="0" applyFont="1" applyFill="1" applyBorder="1" applyAlignment="1" applyProtection="0">
      <alignment horizontal="center" vertical="center" wrapText="1"/>
    </xf>
    <xf numFmtId="49" fontId="2" fillId="9" borderId="1" applyNumberFormat="1" applyFont="1" applyFill="1" applyBorder="1" applyAlignment="1" applyProtection="0">
      <alignment horizontal="center" vertical="center" wrapText="1"/>
    </xf>
    <xf numFmtId="0" fontId="2" fillId="5" borderId="1" applyNumberFormat="0" applyFont="1" applyFill="1" applyBorder="1" applyAlignment="1" applyProtection="0">
      <alignment horizontal="center" vertical="center" wrapText="1"/>
    </xf>
    <xf numFmtId="49" fontId="2" fillId="8" borderId="1" applyNumberFormat="1" applyFont="1" applyFill="1" applyBorder="1" applyAlignment="1" applyProtection="0">
      <alignment vertical="center" wrapText="1"/>
    </xf>
    <xf numFmtId="60" fontId="3" fillId="8" borderId="1" applyNumberFormat="1" applyFont="1" applyFill="1" applyBorder="1" applyAlignment="1" applyProtection="0">
      <alignment horizontal="center" vertical="center" wrapText="1"/>
    </xf>
    <xf numFmtId="59" fontId="2" borderId="1" applyNumberFormat="1" applyFont="1" applyFill="0" applyBorder="1" applyAlignment="1" applyProtection="0">
      <alignment horizontal="center" vertical="center" wrapText="1"/>
    </xf>
    <xf numFmtId="60" fontId="3" borderId="1" applyNumberFormat="1" applyFont="1" applyFill="0" applyBorder="1" applyAlignment="1" applyProtection="0">
      <alignment horizontal="center" vertical="center" wrapText="1"/>
    </xf>
    <xf numFmtId="61" fontId="3" borderId="1" applyNumberFormat="1" applyFont="1" applyFill="0" applyBorder="1" applyAlignment="1" applyProtection="0">
      <alignment horizontal="center" vertical="center" wrapText="1"/>
    </xf>
    <xf numFmtId="49" fontId="2" fillId="10" borderId="1" applyNumberFormat="1" applyFont="1" applyFill="1" applyBorder="1" applyAlignment="1" applyProtection="0">
      <alignment vertical="center" wrapText="1"/>
    </xf>
    <xf numFmtId="60" fontId="3" fillId="10" borderId="1" applyNumberFormat="1" applyFont="1" applyFill="1" applyBorder="1" applyAlignment="1" applyProtection="0">
      <alignment horizontal="center" vertical="center" wrapText="1"/>
    </xf>
    <xf numFmtId="49" fontId="2" fillId="10" borderId="1" applyNumberFormat="1" applyFont="1" applyFill="1" applyBorder="1" applyAlignment="1" applyProtection="0">
      <alignment horizontal="center" vertical="center" wrapText="1"/>
    </xf>
    <xf numFmtId="62" fontId="2" fillId="8" borderId="1" applyNumberFormat="1" applyFont="1" applyFill="1" applyBorder="1" applyAlignment="1" applyProtection="0">
      <alignment horizontal="center" vertical="center" wrapText="1"/>
    </xf>
    <xf numFmtId="0" fontId="2" fillId="7" borderId="1" applyNumberFormat="0" applyFont="1" applyFill="1" applyBorder="1" applyAlignment="1" applyProtection="0">
      <alignment horizontal="center" vertical="center" wrapText="1"/>
    </xf>
    <xf numFmtId="49" fontId="4" fillId="5" borderId="1" applyNumberFormat="1" applyFont="1" applyFill="1" applyBorder="1" applyAlignment="1" applyProtection="0">
      <alignment vertical="center" wrapText="1"/>
    </xf>
    <xf numFmtId="49" fontId="2" fillId="11" borderId="1" applyNumberFormat="1" applyFont="1" applyFill="1" applyBorder="1" applyAlignment="1" applyProtection="0">
      <alignment vertical="center" wrapText="1"/>
    </xf>
    <xf numFmtId="60" fontId="2" fillId="11" borderId="1" applyNumberFormat="1" applyFont="1" applyFill="1" applyBorder="1" applyAlignment="1" applyProtection="0">
      <alignment horizontal="center" vertical="center" wrapText="1"/>
    </xf>
    <xf numFmtId="49" fontId="2" fillId="6" borderId="1" applyNumberFormat="1" applyFont="1" applyFill="1" applyBorder="1" applyAlignment="1" applyProtection="0">
      <alignment horizontal="center" vertical="center" wrapText="1"/>
    </xf>
    <xf numFmtId="49" fontId="2" fillId="6" borderId="1" applyNumberFormat="1" applyFont="1" applyFill="1" applyBorder="1" applyAlignment="1" applyProtection="0">
      <alignment vertical="center" wrapText="1"/>
    </xf>
    <xf numFmtId="60" fontId="2" fillId="12" borderId="1" applyNumberFormat="1" applyFont="1" applyFill="1" applyBorder="1" applyAlignment="1" applyProtection="0">
      <alignment horizontal="center" vertical="center" wrapText="1"/>
    </xf>
    <xf numFmtId="60" fontId="2" fillId="5" borderId="1" applyNumberFormat="1" applyFont="1" applyFill="1" applyBorder="1" applyAlignment="1" applyProtection="0">
      <alignment horizontal="center" vertical="center" wrapText="1"/>
    </xf>
    <xf numFmtId="60" fontId="2" fillId="3" borderId="1" applyNumberFormat="1" applyFont="1" applyFill="1" applyBorder="1" applyAlignment="1" applyProtection="0">
      <alignment horizontal="center" vertical="center" wrapText="1"/>
    </xf>
    <xf numFmtId="61" fontId="2" borderId="1" applyNumberFormat="1" applyFont="1" applyFill="0" applyBorder="1" applyAlignment="1" applyProtection="0">
      <alignment horizontal="center" vertical="center" wrapText="1"/>
    </xf>
    <xf numFmtId="60" fontId="2" borderId="1" applyNumberFormat="1" applyFont="1" applyFill="0" applyBorder="1" applyAlignment="1" applyProtection="0">
      <alignment horizontal="center" vertical="center" wrapText="1"/>
    </xf>
    <xf numFmtId="59" fontId="3" fillId="5" borderId="1" applyNumberFormat="1" applyFont="1" applyFill="1" applyBorder="1" applyAlignment="1" applyProtection="0">
      <alignment horizontal="center" vertical="center" wrapText="1"/>
    </xf>
    <xf numFmtId="60" fontId="4" borderId="1" applyNumberFormat="1" applyFont="1" applyFill="0" applyBorder="1" applyAlignment="1" applyProtection="0">
      <alignment horizontal="center" vertical="center" wrapText="1"/>
    </xf>
    <xf numFmtId="62" fontId="2" fillId="12" borderId="1" applyNumberFormat="1" applyFont="1" applyFill="1" applyBorder="1" applyAlignment="1" applyProtection="0">
      <alignment horizontal="center" vertical="center" wrapText="1"/>
    </xf>
    <xf numFmtId="60" fontId="4" fillId="3" borderId="1" applyNumberFormat="1" applyFont="1" applyFill="1" applyBorder="1" applyAlignment="1" applyProtection="0">
      <alignment horizontal="center" vertical="center" wrapText="1"/>
    </xf>
    <xf numFmtId="49" fontId="2" fillId="12" borderId="1" applyNumberFormat="1" applyFont="1" applyFill="1" applyBorder="1" applyAlignment="1" applyProtection="0">
      <alignment horizontal="center" vertical="center" wrapText="1"/>
    </xf>
    <xf numFmtId="62" fontId="2" borderId="1" applyNumberFormat="1" applyFont="1" applyFill="0" applyBorder="1" applyAlignment="1" applyProtection="0">
      <alignment horizontal="center" vertical="center" wrapText="1"/>
    </xf>
    <xf numFmtId="60" fontId="2" fillId="13" borderId="1" applyNumberFormat="1" applyFont="1" applyFill="1" applyBorder="1" applyAlignment="1" applyProtection="0">
      <alignment horizontal="center" vertical="center" wrapText="1"/>
    </xf>
    <xf numFmtId="60" fontId="2" fillId="10" borderId="1" applyNumberFormat="1" applyFont="1" applyFill="1" applyBorder="1" applyAlignment="1" applyProtection="0">
      <alignment horizontal="center" vertical="center" wrapText="1"/>
    </xf>
    <xf numFmtId="62" fontId="2" fillId="10" borderId="1" applyNumberFormat="1" applyFont="1" applyFill="1" applyBorder="1" applyAlignment="1" applyProtection="0">
      <alignment horizontal="center" vertical="center" wrapText="1"/>
    </xf>
    <xf numFmtId="49" fontId="2" fillId="12" borderId="1" applyNumberFormat="1" applyFont="1" applyFill="1" applyBorder="1" applyAlignment="1" applyProtection="0">
      <alignment vertical="center" wrapText="1"/>
    </xf>
    <xf numFmtId="59" fontId="3" fillId="8" borderId="1" applyNumberFormat="1" applyFont="1" applyFill="1" applyBorder="1" applyAlignment="1" applyProtection="0">
      <alignment horizontal="center" vertical="center" wrapText="1"/>
    </xf>
    <xf numFmtId="49" fontId="2" fillId="14" borderId="1" applyNumberFormat="1" applyFont="1" applyFill="1" applyBorder="1" applyAlignment="1" applyProtection="0">
      <alignment vertical="center" wrapText="1"/>
    </xf>
    <xf numFmtId="63" fontId="3" borderId="1" applyNumberFormat="1" applyFont="1" applyFill="0" applyBorder="1" applyAlignment="1" applyProtection="0">
      <alignment horizontal="center" vertical="center" wrapText="1"/>
    </xf>
    <xf numFmtId="64" fontId="3" borderId="1" applyNumberFormat="1" applyFont="1" applyFill="0" applyBorder="1" applyAlignment="1" applyProtection="0">
      <alignment horizontal="center" vertical="center" wrapText="1"/>
    </xf>
    <xf numFmtId="64" fontId="3" fillId="3" borderId="1" applyNumberFormat="1" applyFont="1" applyFill="1" applyBorder="1" applyAlignment="1" applyProtection="0">
      <alignment horizontal="center" vertical="center" wrapText="1"/>
    </xf>
    <xf numFmtId="61" fontId="3" fillId="5" borderId="1" applyNumberFormat="1" applyFont="1" applyFill="1" applyBorder="1" applyAlignment="1" applyProtection="0">
      <alignment horizontal="center" vertical="center" wrapText="1"/>
    </xf>
    <xf numFmtId="49" fontId="3" fillId="10" borderId="1" applyNumberFormat="1" applyFont="1" applyFill="1" applyBorder="1" applyAlignment="1" applyProtection="0">
      <alignment horizontal="center" vertical="center" wrapText="1"/>
    </xf>
    <xf numFmtId="49" fontId="2" fillId="7" borderId="2" applyNumberFormat="1" applyFont="1" applyFill="1" applyBorder="1" applyAlignment="1" applyProtection="0">
      <alignment horizontal="center" vertical="center" wrapText="1"/>
    </xf>
    <xf numFmtId="49" fontId="2" fillId="4" borderId="3" applyNumberFormat="1" applyFont="1" applyFill="1" applyBorder="1" applyAlignment="1" applyProtection="0">
      <alignment horizontal="center" vertical="center" wrapText="1"/>
    </xf>
    <xf numFmtId="60" fontId="3" fillId="12" borderId="1" applyNumberFormat="1" applyFont="1" applyFill="1" applyBorder="1" applyAlignment="1" applyProtection="0">
      <alignment horizontal="center" vertical="center" wrapText="1"/>
    </xf>
    <xf numFmtId="49" fontId="3" fillId="12" borderId="1" applyNumberFormat="1" applyFont="1" applyFill="1" applyBorder="1" applyAlignment="1" applyProtection="0">
      <alignment horizontal="center" vertical="center" wrapText="1"/>
    </xf>
    <xf numFmtId="49" fontId="2" fillId="3" borderId="1" applyNumberFormat="1" applyFont="1" applyFill="1" applyBorder="1" applyAlignment="1" applyProtection="0">
      <alignment horizontal="left" vertical="center" wrapText="1"/>
    </xf>
    <xf numFmtId="49" fontId="3" fillId="9" borderId="1" applyNumberFormat="1" applyFont="1" applyFill="1" applyBorder="1" applyAlignment="1" applyProtection="0">
      <alignment horizontal="center" vertical="center" wrapText="1"/>
    </xf>
    <xf numFmtId="59" fontId="3" fillId="15" borderId="1" applyNumberFormat="1" applyFont="1" applyFill="1" applyBorder="1" applyAlignment="1" applyProtection="0">
      <alignment horizontal="center" vertical="center" wrapText="1"/>
    </xf>
    <xf numFmtId="59" fontId="4" borderId="1" applyNumberFormat="1" applyFont="1" applyFill="0" applyBorder="1" applyAlignment="1" applyProtection="0">
      <alignment horizontal="center" vertical="center" wrapText="1"/>
    </xf>
    <xf numFmtId="59" fontId="2" fillId="15" borderId="1" applyNumberFormat="1" applyFont="1" applyFill="1" applyBorder="1" applyAlignment="1" applyProtection="0">
      <alignment horizontal="center" vertical="center" wrapText="1"/>
    </xf>
    <xf numFmtId="64" fontId="2" fillId="15" borderId="1" applyNumberFormat="1" applyFont="1" applyFill="1" applyBorder="1" applyAlignment="1" applyProtection="0">
      <alignment horizontal="center" vertical="center" wrapText="1"/>
    </xf>
    <xf numFmtId="61" fontId="2" fillId="15" borderId="1" applyNumberFormat="1" applyFont="1" applyFill="1" applyBorder="1" applyAlignment="1" applyProtection="0">
      <alignment horizontal="center" vertical="center" wrapText="1"/>
    </xf>
    <xf numFmtId="61" fontId="2" fillId="5" borderId="1" applyNumberFormat="1" applyFont="1" applyFill="1" applyBorder="1" applyAlignment="1" applyProtection="0">
      <alignment horizontal="center" vertical="center" wrapText="1"/>
    </xf>
    <xf numFmtId="61" fontId="3" fillId="8" borderId="1" applyNumberFormat="1" applyFont="1" applyFill="1" applyBorder="1" applyAlignment="1" applyProtection="0">
      <alignment horizontal="center" vertical="center" wrapText="1"/>
    </xf>
    <xf numFmtId="0" fontId="3" fillId="15" borderId="1" applyNumberFormat="0" applyFont="1" applyFill="1" applyBorder="1" applyAlignment="1" applyProtection="0">
      <alignment horizontal="center" vertical="center" wrapText="1"/>
    </xf>
    <xf numFmtId="0" fontId="2" fillId="12" borderId="1" applyNumberFormat="0" applyFont="1" applyFill="1" applyBorder="1" applyAlignment="1" applyProtection="0">
      <alignment horizontal="center" vertical="center" wrapText="1"/>
    </xf>
    <xf numFmtId="49" fontId="2" fillId="16" borderId="1" applyNumberFormat="1" applyFont="1" applyFill="1" applyBorder="1" applyAlignment="1" applyProtection="0">
      <alignment horizontal="center" vertical="center" wrapText="1"/>
    </xf>
    <xf numFmtId="49" fontId="2" fillId="16" borderId="1" applyNumberFormat="1" applyFont="1" applyFill="1" applyBorder="1" applyAlignment="1" applyProtection="0">
      <alignment vertical="center" wrapText="1"/>
    </xf>
    <xf numFmtId="59" fontId="3" fillId="12" borderId="1" applyNumberFormat="1" applyFont="1" applyFill="1" applyBorder="1" applyAlignment="1" applyProtection="0">
      <alignment horizontal="center" vertical="center" wrapText="1"/>
    </xf>
    <xf numFmtId="60" fontId="3" fillId="9" borderId="1" applyNumberFormat="1" applyFont="1" applyFill="1" applyBorder="1" applyAlignment="1" applyProtection="0">
      <alignment horizontal="center" vertical="center" wrapText="1"/>
    </xf>
    <xf numFmtId="49" fontId="2" fillId="8" borderId="1" applyNumberFormat="1" applyFont="1" applyFill="1" applyBorder="1" applyAlignment="1" applyProtection="0">
      <alignment horizontal="left" vertical="center" wrapText="1"/>
    </xf>
    <xf numFmtId="4" fontId="2" fillId="8" borderId="1" applyNumberFormat="1" applyFont="1" applyFill="1" applyBorder="1" applyAlignment="1" applyProtection="0">
      <alignment horizontal="center" vertical="center" wrapText="1"/>
    </xf>
    <xf numFmtId="49" fontId="3" fillId="8" borderId="1" applyNumberFormat="1" applyFont="1" applyFill="1" applyBorder="1" applyAlignment="1" applyProtection="0">
      <alignment horizontal="center" vertical="center" wrapText="1"/>
    </xf>
    <xf numFmtId="49" fontId="2" fillId="17" borderId="1" applyNumberFormat="1" applyFont="1" applyFill="1" applyBorder="1" applyAlignment="1" applyProtection="0">
      <alignment horizontal="center" vertical="center" wrapText="1"/>
    </xf>
    <xf numFmtId="49" fontId="2" fillId="17" borderId="1" applyNumberFormat="1" applyFont="1" applyFill="1" applyBorder="1" applyAlignment="1" applyProtection="0">
      <alignment vertical="center" wrapText="1"/>
    </xf>
    <xf numFmtId="60" fontId="2" fillId="17" borderId="1" applyNumberFormat="1" applyFont="1" applyFill="1" applyBorder="1" applyAlignment="1" applyProtection="0">
      <alignment horizontal="center" vertical="center" wrapText="1"/>
    </xf>
    <xf numFmtId="59" fontId="3" fillId="3" borderId="1" applyNumberFormat="1" applyFont="1" applyFill="1" applyBorder="1" applyAlignment="1" applyProtection="0">
      <alignment horizontal="center" vertical="center" wrapText="1"/>
    </xf>
    <xf numFmtId="49" fontId="4" fillId="5" borderId="1" applyNumberFormat="1" applyFont="1" applyFill="1" applyBorder="1" applyAlignment="1" applyProtection="0">
      <alignment horizontal="center" vertical="center" wrapText="1"/>
    </xf>
    <xf numFmtId="59" fontId="2" fillId="5" borderId="1" applyNumberFormat="1" applyFont="1" applyFill="1" applyBorder="1" applyAlignment="1" applyProtection="0">
      <alignment horizontal="center" vertical="center" wrapText="1"/>
    </xf>
    <xf numFmtId="49" fontId="3" fillId="8" borderId="1" applyNumberFormat="1" applyFont="1" applyFill="1" applyBorder="1" applyAlignment="1" applyProtection="0">
      <alignment vertical="center" wrapText="1"/>
    </xf>
    <xf numFmtId="62" fontId="3" fillId="3" borderId="1" applyNumberFormat="1" applyFont="1" applyFill="1" applyBorder="1" applyAlignment="1" applyProtection="0">
      <alignment horizontal="center" vertical="center" wrapText="1"/>
    </xf>
    <xf numFmtId="0" fontId="3" fillId="12" borderId="1" applyNumberFormat="0" applyFont="1" applyFill="1" applyBorder="1" applyAlignment="1" applyProtection="0">
      <alignment horizontal="center" vertical="center" wrapText="1"/>
    </xf>
    <xf numFmtId="49" fontId="2" fillId="10" borderId="1" applyNumberFormat="1" applyFont="1" applyFill="1" applyBorder="1" applyAlignment="1" applyProtection="0">
      <alignment horizontal="left" vertical="center" wrapText="1"/>
    </xf>
    <xf numFmtId="0" fontId="2" fillId="4" borderId="1" applyNumberFormat="0" applyFont="1" applyFill="1" applyBorder="1" applyAlignment="1" applyProtection="0">
      <alignment vertical="center" wrapText="1"/>
    </xf>
    <xf numFmtId="0" fontId="2" borderId="1" applyNumberFormat="0" applyFont="1" applyFill="0" applyBorder="1" applyAlignment="1" applyProtection="0">
      <alignment horizontal="center" vertical="center" wrapText="1"/>
    </xf>
    <xf numFmtId="62" fontId="3" borderId="1" applyNumberFormat="1" applyFont="1" applyFill="0" applyBorder="1" applyAlignment="1" applyProtection="0">
      <alignment horizontal="center" vertical="center" wrapText="1"/>
    </xf>
    <xf numFmtId="61" fontId="3" fillId="15" borderId="1" applyNumberFormat="1" applyFont="1" applyFill="1" applyBorder="1" applyAlignment="1" applyProtection="0">
      <alignment horizontal="center" vertical="center" wrapText="1"/>
    </xf>
    <xf numFmtId="49" fontId="2" fillId="15" borderId="1" applyNumberFormat="1" applyFont="1" applyFill="1" applyBorder="1" applyAlignment="1" applyProtection="0">
      <alignment horizontal="center" vertical="center" wrapText="1"/>
    </xf>
    <xf numFmtId="60" fontId="2" fillId="15" borderId="1" applyNumberFormat="1" applyFont="1" applyFill="1" applyBorder="1" applyAlignment="1" applyProtection="0">
      <alignment horizontal="center" vertical="center" wrapText="1"/>
    </xf>
    <xf numFmtId="60" fontId="2" fillId="16" borderId="1" applyNumberFormat="1" applyFont="1" applyFill="1" applyBorder="1" applyAlignment="1" applyProtection="0">
      <alignment horizontal="center" vertical="center" wrapText="1"/>
    </xf>
    <xf numFmtId="62" fontId="2" fillId="3" borderId="1" applyNumberFormat="1" applyFont="1" applyFill="1" applyBorder="1" applyAlignment="1" applyProtection="0">
      <alignment horizontal="center" vertical="center" wrapText="1"/>
    </xf>
    <xf numFmtId="49" fontId="2" fillId="15" borderId="1" applyNumberFormat="1" applyFont="1" applyFill="1" applyBorder="1" applyAlignment="1" applyProtection="0">
      <alignment vertical="center" wrapText="1"/>
    </xf>
    <xf numFmtId="0" fontId="4" borderId="1" applyNumberFormat="0" applyFont="1" applyFill="0" applyBorder="1" applyAlignment="1" applyProtection="0">
      <alignment horizontal="center" vertical="center" wrapText="1"/>
    </xf>
    <xf numFmtId="49" fontId="4" borderId="1" applyNumberFormat="1" applyFont="1" applyFill="0" applyBorder="1" applyAlignment="1" applyProtection="0">
      <alignment horizontal="center" vertical="center" wrapText="1"/>
    </xf>
    <xf numFmtId="49" fontId="2" fillId="9" borderId="4" applyNumberFormat="1" applyFont="1" applyFill="1" applyBorder="1" applyAlignment="1" applyProtection="0">
      <alignment horizontal="center" vertical="center" wrapText="1"/>
    </xf>
    <xf numFmtId="49" fontId="2" fillId="18" borderId="1" applyNumberFormat="1" applyFont="1" applyFill="1" applyBorder="1" applyAlignment="1" applyProtection="0">
      <alignment vertical="center" wrapText="1"/>
    </xf>
    <xf numFmtId="60" fontId="2" fillId="18" borderId="1" applyNumberFormat="1" applyFont="1" applyFill="1" applyBorder="1" applyAlignment="1" applyProtection="0">
      <alignment horizontal="center" vertical="center" wrapText="1"/>
    </xf>
    <xf numFmtId="49" fontId="2" fillId="9" borderId="5" applyNumberFormat="1" applyFont="1" applyFill="1" applyBorder="1" applyAlignment="1" applyProtection="0">
      <alignment horizontal="center" vertical="center" wrapText="1"/>
    </xf>
    <xf numFmtId="49" fontId="2" fillId="4" borderId="2" applyNumberFormat="1" applyFont="1" applyFill="1" applyBorder="1" applyAlignment="1" applyProtection="0">
      <alignment horizontal="center" vertical="center" wrapText="1"/>
    </xf>
    <xf numFmtId="49" fontId="2" fillId="8" borderId="3" applyNumberFormat="1" applyFont="1" applyFill="1" applyBorder="1" applyAlignment="1" applyProtection="0">
      <alignment vertical="center" wrapText="1"/>
    </xf>
    <xf numFmtId="65" fontId="2" fillId="10" borderId="1" applyNumberFormat="1" applyFont="1" applyFill="1" applyBorder="1" applyAlignment="1" applyProtection="0">
      <alignment horizontal="center" vertical="center" wrapText="1"/>
    </xf>
    <xf numFmtId="49" fontId="3" fillId="10" borderId="1" applyNumberFormat="1" applyFont="1" applyFill="1" applyBorder="1" applyAlignment="1" applyProtection="0">
      <alignment vertical="center" wrapText="1"/>
    </xf>
    <xf numFmtId="66" fontId="3" borderId="1" applyNumberFormat="1" applyFont="1" applyFill="0" applyBorder="1" applyAlignment="1" applyProtection="0">
      <alignment horizontal="center" vertical="center" wrapText="1"/>
    </xf>
    <xf numFmtId="0" fontId="3" fillId="3" borderId="1" applyNumberFormat="1" applyFont="1" applyFill="1" applyBorder="1" applyAlignment="1" applyProtection="0">
      <alignment horizontal="center" vertical="center" wrapText="1"/>
    </xf>
    <xf numFmtId="49" fontId="2" fillId="5" borderId="1" applyNumberFormat="1" applyFont="1" applyFill="1" applyBorder="1" applyAlignment="1" applyProtection="0">
      <alignment horizontal="center" vertical="center" wrapText="1"/>
    </xf>
    <xf numFmtId="49" fontId="2" fillId="8" borderId="1" applyNumberFormat="1" applyFont="1" applyFill="1" applyBorder="1" applyAlignment="1" applyProtection="0">
      <alignment horizontal="center" vertical="center" wrapText="1"/>
    </xf>
    <xf numFmtId="67" fontId="3" borderId="1" applyNumberFormat="1" applyFont="1" applyFill="0" applyBorder="1" applyAlignment="1" applyProtection="0">
      <alignment horizontal="center" vertical="center" wrapText="1"/>
    </xf>
    <xf numFmtId="49" fontId="2" borderId="1" applyNumberFormat="1" applyFont="1" applyFill="0" applyBorder="1" applyAlignment="1" applyProtection="0">
      <alignment vertical="center" wrapText="1"/>
    </xf>
    <xf numFmtId="60" fontId="3" fillId="19" borderId="1" applyNumberFormat="1" applyFont="1" applyFill="1" applyBorder="1" applyAlignment="1" applyProtection="0">
      <alignment horizontal="center" vertical="center" wrapText="1"/>
    </xf>
    <xf numFmtId="49" fontId="2" fillId="9" borderId="1" applyNumberFormat="1" applyFont="1" applyFill="1" applyBorder="1" applyAlignment="1" applyProtection="0">
      <alignment vertical="center" wrapText="1"/>
    </xf>
    <xf numFmtId="62" fontId="2" fillId="11" borderId="1" applyNumberFormat="1" applyFont="1" applyFill="1" applyBorder="1" applyAlignment="1" applyProtection="0">
      <alignment horizontal="center" vertical="center" wrapText="1"/>
    </xf>
    <xf numFmtId="49" fontId="2" fillId="15" borderId="1" applyNumberFormat="1" applyFont="1" applyFill="1" applyBorder="1" applyAlignment="1" applyProtection="0">
      <alignment horizontal="left" vertical="center" wrapText="1"/>
    </xf>
    <xf numFmtId="49" fontId="3" fillId="15" borderId="1" applyNumberFormat="1" applyFont="1" applyFill="1" applyBorder="1" applyAlignment="1" applyProtection="0">
      <alignment horizontal="center" vertical="center" wrapText="1"/>
    </xf>
    <xf numFmtId="0" fontId="2" fillId="5" borderId="1" applyNumberFormat="0" applyFont="1" applyFill="1" applyBorder="1" applyAlignment="1" applyProtection="0">
      <alignment vertical="center" wrapText="1"/>
    </xf>
    <xf numFmtId="0" fontId="2" fillId="4" borderId="1" applyNumberFormat="0" applyFont="1" applyFill="1" applyBorder="1" applyAlignment="1" applyProtection="0">
      <alignment horizontal="center" vertical="center" wrapText="1"/>
    </xf>
    <xf numFmtId="49" fontId="3" fillId="5" borderId="1" applyNumberFormat="1" applyFont="1" applyFill="1" applyBorder="1" applyAlignment="1" applyProtection="0">
      <alignment vertical="center" wrapText="1"/>
    </xf>
    <xf numFmtId="49" fontId="4" borderId="1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0" fontId="5" applyNumberFormat="0" applyFont="1" applyFill="0" applyBorder="0" applyAlignment="1" applyProtection="0">
      <alignment horizontal="center" vertical="center"/>
    </xf>
    <xf numFmtId="49" fontId="2" fillId="2" borderId="6" applyNumberFormat="1" applyFont="1" applyFill="1" applyBorder="1" applyAlignment="1" applyProtection="0">
      <alignment horizontal="center" vertical="center" wrapText="1"/>
    </xf>
    <xf numFmtId="49" fontId="6" fillId="2" borderId="6" applyNumberFormat="1" applyFont="1" applyFill="1" applyBorder="1" applyAlignment="1" applyProtection="0">
      <alignment horizontal="center" vertical="center" wrapText="1"/>
    </xf>
    <xf numFmtId="49" fontId="2" fillId="7" borderId="6" applyNumberFormat="1" applyFont="1" applyFill="1" applyBorder="1" applyAlignment="1" applyProtection="0">
      <alignment horizontal="center" vertical="center" wrapText="1"/>
    </xf>
    <xf numFmtId="49" fontId="2" fillId="4" borderId="6" applyNumberFormat="1" applyFont="1" applyFill="1" applyBorder="1" applyAlignment="1" applyProtection="0">
      <alignment horizontal="center" vertical="center" wrapText="1"/>
    </xf>
    <xf numFmtId="49" fontId="0" fillId="3" borderId="6" applyNumberFormat="1" applyFont="1" applyFill="1" applyBorder="1" applyAlignment="1" applyProtection="0">
      <alignment horizontal="left" vertical="center" wrapText="1"/>
    </xf>
    <xf numFmtId="49" fontId="2" fillId="4" borderId="6" applyNumberFormat="1" applyFont="1" applyFill="1" applyBorder="1" applyAlignment="1" applyProtection="0">
      <alignment vertical="center" wrapText="1"/>
    </xf>
    <xf numFmtId="59" fontId="0" borderId="6" applyNumberFormat="1" applyFont="1" applyFill="0" applyBorder="1" applyAlignment="1" applyProtection="0">
      <alignment horizontal="center" vertical="center" wrapText="1"/>
    </xf>
    <xf numFmtId="59" fontId="6" fillId="5" borderId="6" applyNumberFormat="1" applyFont="1" applyFill="1" applyBorder="1" applyAlignment="1" applyProtection="0">
      <alignment horizontal="center" vertical="center" wrapText="1"/>
    </xf>
    <xf numFmtId="60" fontId="0" borderId="6" applyNumberFormat="1" applyFont="1" applyFill="0" applyBorder="1" applyAlignment="1" applyProtection="0">
      <alignment horizontal="center" vertical="center" wrapText="1"/>
    </xf>
    <xf numFmtId="59" fontId="6" fillId="3" borderId="6" applyNumberFormat="1" applyFont="1" applyFill="1" applyBorder="1" applyAlignment="1" applyProtection="0">
      <alignment horizontal="center" vertical="center" wrapText="1"/>
    </xf>
    <xf numFmtId="60" fontId="6" fillId="8" borderId="6" applyNumberFormat="1" applyFont="1" applyFill="1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59" fontId="6" fillId="15" borderId="6" applyNumberFormat="1" applyFont="1" applyFill="1" applyBorder="1" applyAlignment="1" applyProtection="0">
      <alignment horizontal="center" vertical="center" wrapText="1"/>
    </xf>
    <xf numFmtId="59" fontId="6" fillId="6" borderId="6" applyNumberFormat="1" applyFont="1" applyFill="1" applyBorder="1" applyAlignment="1" applyProtection="0">
      <alignment horizontal="center" vertical="center" wrapText="1"/>
    </xf>
    <xf numFmtId="60" fontId="6" fillId="10" borderId="6" applyNumberFormat="1" applyFont="1" applyFill="1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left" vertical="center" wrapText="1"/>
    </xf>
    <xf numFmtId="59" fontId="6" borderId="6" applyNumberFormat="1" applyFont="1" applyFill="0" applyBorder="1" applyAlignment="1" applyProtection="0">
      <alignment horizontal="center" vertical="center" wrapText="1"/>
    </xf>
    <xf numFmtId="60" fontId="6" borderId="6" applyNumberFormat="1" applyFont="1" applyFill="0" applyBorder="1" applyAlignment="1" applyProtection="0">
      <alignment horizontal="center" vertical="center" wrapText="1"/>
    </xf>
    <xf numFmtId="49" fontId="3" fillId="3" borderId="6" applyNumberFormat="1" applyFont="1" applyFill="1" applyBorder="1" applyAlignment="1" applyProtection="0">
      <alignment horizontal="left" vertical="center" wrapText="1"/>
    </xf>
    <xf numFmtId="59" fontId="3" borderId="6" applyNumberFormat="1" applyFont="1" applyFill="0" applyBorder="1" applyAlignment="1" applyProtection="0">
      <alignment horizontal="center" vertical="center" wrapText="1"/>
    </xf>
    <xf numFmtId="60" fontId="0" fillId="12" borderId="6" applyNumberFormat="1" applyFont="1" applyFill="1" applyBorder="1" applyAlignment="1" applyProtection="0">
      <alignment horizontal="center" vertical="center" wrapText="1"/>
    </xf>
    <xf numFmtId="60" fontId="6" fillId="19" borderId="6" applyNumberFormat="1" applyFont="1" applyFill="1" applyBorder="1" applyAlignment="1" applyProtection="0">
      <alignment horizontal="center" vertical="center" wrapText="1"/>
    </xf>
    <xf numFmtId="49" fontId="3" fillId="3" borderId="6" applyNumberFormat="1" applyFont="1" applyFill="1" applyBorder="1" applyAlignment="1" applyProtection="0">
      <alignment vertical="center" wrapText="1"/>
    </xf>
    <xf numFmtId="60" fontId="0" fillId="5" borderId="6" applyNumberFormat="1" applyFont="1" applyFill="1" applyBorder="1" applyAlignment="1" applyProtection="0">
      <alignment horizontal="center" vertical="center" wrapText="1"/>
    </xf>
    <xf numFmtId="49" fontId="0" fillId="5" borderId="6" applyNumberFormat="1" applyFont="1" applyFill="1" applyBorder="1" applyAlignment="1" applyProtection="0">
      <alignment horizontal="center" vertical="center" wrapText="1"/>
    </xf>
    <xf numFmtId="59" fontId="6" fillId="12" borderId="6" applyNumberFormat="1" applyFont="1" applyFill="1" applyBorder="1" applyAlignment="1" applyProtection="0">
      <alignment horizontal="center" vertical="center" wrapText="1"/>
    </xf>
    <xf numFmtId="49" fontId="2" fillId="15" borderId="6" applyNumberFormat="1" applyFont="1" applyFill="1" applyBorder="1" applyAlignment="1" applyProtection="0">
      <alignment horizontal="center" vertical="center" wrapText="1"/>
    </xf>
    <xf numFmtId="49" fontId="0" fillId="15" borderId="6" applyNumberFormat="1" applyFont="1" applyFill="1" applyBorder="1" applyAlignment="1" applyProtection="0">
      <alignment horizontal="left" vertical="center" wrapText="1"/>
    </xf>
    <xf numFmtId="0" fontId="0" borderId="6" applyNumberFormat="0" applyFont="1" applyFill="0" applyBorder="1" applyAlignment="1" applyProtection="0">
      <alignment vertical="top" wrapText="1"/>
    </xf>
    <xf numFmtId="60" fontId="7" fillId="10" borderId="6" applyNumberFormat="1" applyFont="1" applyFill="1" applyBorder="1" applyAlignment="1" applyProtection="0">
      <alignment horizontal="center" vertical="center" wrapText="1"/>
    </xf>
    <xf numFmtId="0" fontId="2" fillId="4" borderId="6" applyNumberFormat="0" applyFont="1" applyFill="1" applyBorder="1" applyAlignment="1" applyProtection="0">
      <alignment horizontal="center" vertical="center" wrapText="1"/>
    </xf>
    <xf numFmtId="60" fontId="6" fillId="11" borderId="6" applyNumberFormat="1" applyFont="1" applyFill="1" applyBorder="1" applyAlignment="1" applyProtection="0">
      <alignment horizontal="center" vertical="center" wrapText="1"/>
    </xf>
    <xf numFmtId="60" fontId="7" fillId="19" borderId="6" applyNumberFormat="1" applyFont="1" applyFill="1" applyBorder="1" applyAlignment="1" applyProtection="0">
      <alignment horizontal="center" vertical="center" wrapText="1"/>
    </xf>
    <xf numFmtId="60" fontId="6" fillId="20" borderId="6" applyNumberFormat="1" applyFont="1" applyFill="1" applyBorder="1" applyAlignment="1" applyProtection="0">
      <alignment vertical="center" wrapText="1"/>
    </xf>
    <xf numFmtId="60" fontId="0" borderId="6" applyNumberFormat="1" applyFont="1" applyFill="0" applyBorder="1" applyAlignment="1" applyProtection="0">
      <alignment vertical="center" wrapText="1"/>
    </xf>
    <xf numFmtId="0" fontId="2" fillId="7" borderId="6" applyNumberFormat="0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49" fontId="2" fillId="4" borderId="7" applyNumberFormat="1" applyFont="1" applyFill="1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left" vertical="center" wrapText="1"/>
    </xf>
    <xf numFmtId="49" fontId="2" fillId="4" borderId="7" applyNumberFormat="1" applyFont="1" applyFill="1" applyBorder="1" applyAlignment="1" applyProtection="0">
      <alignment vertical="center" wrapText="1"/>
    </xf>
    <xf numFmtId="59" fontId="3" borderId="7" applyNumberFormat="1" applyFont="1" applyFill="0" applyBorder="1" applyAlignment="1" applyProtection="0">
      <alignment horizontal="center" vertical="center" wrapText="1"/>
    </xf>
    <xf numFmtId="49" fontId="2" fillId="7" borderId="8" applyNumberFormat="1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horizontal="left" vertical="center" wrapText="1"/>
    </xf>
    <xf numFmtId="59" fontId="6" borderId="9" applyNumberFormat="1" applyFont="1" applyFill="0" applyBorder="1" applyAlignment="1" applyProtection="0">
      <alignment horizontal="center" vertical="center" wrapText="1"/>
    </xf>
    <xf numFmtId="49" fontId="0" fillId="12" borderId="1" applyNumberFormat="1" applyFont="1" applyFill="1" applyBorder="1" applyAlignment="1" applyProtection="0">
      <alignment horizontal="left" vertical="center" wrapText="1"/>
    </xf>
    <xf numFmtId="49" fontId="0" borderId="1" applyNumberFormat="1" applyFont="1" applyFill="0" applyBorder="1" applyAlignment="1" applyProtection="0">
      <alignment horizontal="left" vertical="center" wrapText="1"/>
    </xf>
    <xf numFmtId="49" fontId="2" fillId="4" borderId="10" applyNumberFormat="1" applyFont="1" applyFill="1" applyBorder="1" applyAlignment="1" applyProtection="0">
      <alignment horizontal="center" vertical="center" wrapText="1"/>
    </xf>
    <xf numFmtId="49" fontId="0" fillId="3" borderId="10" applyNumberFormat="1" applyFont="1" applyFill="1" applyBorder="1" applyAlignment="1" applyProtection="0">
      <alignment horizontal="left" vertical="center" wrapText="1"/>
    </xf>
    <xf numFmtId="49" fontId="2" fillId="4" borderId="10" applyNumberFormat="1" applyFont="1" applyFill="1" applyBorder="1" applyAlignment="1" applyProtection="0">
      <alignment vertical="center" wrapText="1"/>
    </xf>
    <xf numFmtId="59" fontId="3" borderId="10" applyNumberFormat="1" applyFont="1" applyFill="0" applyBorder="1" applyAlignment="1" applyProtection="0">
      <alignment horizontal="center" vertical="center" wrapText="1"/>
    </xf>
    <xf numFmtId="60" fontId="8" fillId="10" borderId="6" applyNumberFormat="1" applyFont="1" applyFill="1" applyBorder="1" applyAlignment="1" applyProtection="0">
      <alignment horizontal="center" vertical="center" wrapText="1"/>
    </xf>
    <xf numFmtId="49" fontId="6" borderId="6" applyNumberFormat="1" applyFont="1" applyFill="0" applyBorder="1" applyAlignment="1" applyProtection="0">
      <alignment horizontal="center" vertical="center" wrapText="1"/>
    </xf>
    <xf numFmtId="59" fontId="6" fillId="21" borderId="6" applyNumberFormat="1" applyFont="1" applyFill="1" applyBorder="1" applyAlignment="1" applyProtection="0">
      <alignment horizontal="center" vertical="center" wrapText="1"/>
    </xf>
    <xf numFmtId="60" fontId="6" fillId="5" borderId="6" applyNumberFormat="1" applyFont="1" applyFill="1" applyBorder="1" applyAlignment="1" applyProtection="0">
      <alignment horizontal="center" vertical="center" wrapText="1"/>
    </xf>
    <xf numFmtId="49" fontId="0" fillId="6" borderId="6" applyNumberFormat="1" applyFont="1" applyFill="1" applyBorder="1" applyAlignment="1" applyProtection="0">
      <alignment horizontal="left" vertical="center" wrapText="1"/>
    </xf>
    <xf numFmtId="49" fontId="0" fillId="5" borderId="6" applyNumberFormat="1" applyFont="1" applyFill="1" applyBorder="1" applyAlignment="1" applyProtection="0">
      <alignment horizontal="left" vertical="center" wrapText="1"/>
    </xf>
    <xf numFmtId="60" fontId="6" fillId="22" borderId="6" applyNumberFormat="1" applyFont="1" applyFill="1" applyBorder="1" applyAlignment="1" applyProtection="0">
      <alignment horizontal="center" vertical="center" wrapText="1"/>
    </xf>
    <xf numFmtId="60" fontId="0" fillId="10" borderId="6" applyNumberFormat="1" applyFont="1" applyFill="1" applyBorder="1" applyAlignment="1" applyProtection="0">
      <alignment horizontal="center" vertical="center" wrapText="1"/>
    </xf>
    <xf numFmtId="0" fontId="6" borderId="6" applyNumberFormat="0" applyFont="1" applyFill="0" applyBorder="1" applyAlignment="1" applyProtection="0">
      <alignment horizontal="center" vertical="center" wrapText="1"/>
    </xf>
    <xf numFmtId="49" fontId="0" fillId="3" borderId="6" applyNumberFormat="1" applyFont="1" applyFill="1" applyBorder="1" applyAlignment="1" applyProtection="0">
      <alignment horizontal="center" vertical="center" wrapText="1"/>
    </xf>
    <xf numFmtId="49" fontId="3" borderId="6" applyNumberFormat="1" applyFont="1" applyFill="0" applyBorder="1" applyAlignment="1" applyProtection="0">
      <alignment horizontal="center" vertical="center" wrapText="1"/>
    </xf>
    <xf numFmtId="49" fontId="3" fillId="4" borderId="6" applyNumberFormat="1" applyFont="1" applyFill="1" applyBorder="1" applyAlignment="1" applyProtection="0">
      <alignment horizontal="center" vertical="center" wrapText="1"/>
    </xf>
    <xf numFmtId="49" fontId="0" fillId="10" borderId="6" applyNumberFormat="1" applyFont="1" applyFill="1" applyBorder="1" applyAlignment="1" applyProtection="0">
      <alignment horizontal="left" vertical="center" wrapText="1"/>
    </xf>
    <xf numFmtId="49" fontId="0" fillId="12" borderId="6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60" fontId="6" fillId="3" borderId="6" applyNumberFormat="1" applyFont="1" applyFill="1" applyBorder="1" applyAlignment="1" applyProtection="0">
      <alignment horizontal="center" vertical="center" wrapText="1"/>
    </xf>
    <xf numFmtId="0" fontId="6" fillId="23" borderId="6" applyNumberFormat="0" applyFont="1" applyFill="1" applyBorder="1" applyAlignment="1" applyProtection="0">
      <alignment vertical="top" wrapText="1"/>
    </xf>
    <xf numFmtId="49" fontId="0" fillId="7" borderId="6" applyNumberFormat="1" applyFont="1" applyFill="1" applyBorder="1" applyAlignment="1" applyProtection="0">
      <alignment horizontal="left" vertical="center" wrapText="1"/>
    </xf>
    <xf numFmtId="59" fontId="3" fillId="7" borderId="6" applyNumberFormat="1" applyFont="1" applyFill="1" applyBorder="1" applyAlignment="1" applyProtection="0">
      <alignment horizontal="center" vertical="center" wrapText="1"/>
    </xf>
    <xf numFmtId="59" fontId="6" fillId="7" borderId="6" applyNumberFormat="1" applyFont="1" applyFill="1" applyBorder="1" applyAlignment="1" applyProtection="0">
      <alignment horizontal="center" vertical="center" wrapText="1"/>
    </xf>
    <xf numFmtId="60" fontId="6" fillId="24" borderId="6" applyNumberFormat="1" applyFont="1" applyFill="1" applyBorder="1" applyAlignment="1" applyProtection="0">
      <alignment horizontal="center" vertical="center" wrapText="1"/>
    </xf>
    <xf numFmtId="60" fontId="6" fillId="25" borderId="6" applyNumberFormat="1" applyFont="1" applyFill="1" applyBorder="1" applyAlignment="1" applyProtection="0">
      <alignment horizontal="center" vertical="center" wrapText="1"/>
    </xf>
    <xf numFmtId="0" fontId="0" fillId="7" borderId="6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2" fillId="12" borderId="1" applyNumberFormat="1" applyFont="1" applyFill="1" applyBorder="1" applyAlignment="1" applyProtection="0">
      <alignment horizontal="center" vertical="center" wrapText="1"/>
    </xf>
    <xf numFmtId="49" fontId="2" fillId="2" borderId="11" applyNumberFormat="1" applyFont="1" applyFill="1" applyBorder="1" applyAlignment="1" applyProtection="0">
      <alignment horizontal="center" vertical="center" wrapText="1"/>
    </xf>
    <xf numFmtId="49" fontId="2" fillId="2" borderId="7" applyNumberFormat="1" applyFont="1" applyFill="1" applyBorder="1" applyAlignment="1" applyProtection="0">
      <alignment horizontal="center" vertical="center" wrapText="1"/>
    </xf>
    <xf numFmtId="49" fontId="6" fillId="2" borderId="12" applyNumberFormat="1" applyFont="1" applyFill="1" applyBorder="1" applyAlignment="1" applyProtection="0">
      <alignment horizontal="center" vertical="center" wrapText="1"/>
    </xf>
    <xf numFmtId="49" fontId="2" fillId="2" borderId="12" applyNumberFormat="1" applyFont="1" applyFill="1" applyBorder="1" applyAlignment="1" applyProtection="0">
      <alignment horizontal="center" vertical="center" wrapText="1"/>
    </xf>
    <xf numFmtId="49" fontId="6" fillId="2" borderId="11" applyNumberFormat="1" applyFont="1" applyFill="1" applyBorder="1" applyAlignment="1" applyProtection="0">
      <alignment horizontal="center" vertical="center" wrapText="1"/>
    </xf>
    <xf numFmtId="49" fontId="6" fillId="2" borderId="7" applyNumberFormat="1" applyFont="1" applyFill="1" applyBorder="1" applyAlignment="1" applyProtection="0">
      <alignment horizontal="center" vertical="center" wrapText="1"/>
    </xf>
    <xf numFmtId="49" fontId="2" fillId="26" borderId="1" applyNumberFormat="1" applyFont="1" applyFill="1" applyBorder="1" applyAlignment="1" applyProtection="0">
      <alignment horizontal="center" vertical="center" wrapText="1"/>
    </xf>
    <xf numFmtId="49" fontId="2" fillId="27" borderId="1" applyNumberFormat="1" applyFont="1" applyFill="1" applyBorder="1" applyAlignment="1" applyProtection="0">
      <alignment vertical="center" wrapText="1"/>
    </xf>
    <xf numFmtId="49" fontId="6" fillId="2" borderId="1" applyNumberFormat="1" applyFont="1" applyFill="1" applyBorder="1" applyAlignment="1" applyProtection="0">
      <alignment horizontal="center" vertical="center" wrapText="1"/>
    </xf>
    <xf numFmtId="0" fontId="2" fillId="26" borderId="1" applyNumberFormat="0" applyFont="1" applyFill="1" applyBorder="1" applyAlignment="1" applyProtection="0">
      <alignment horizontal="center" vertical="center" wrapText="1"/>
    </xf>
    <xf numFmtId="59" fontId="2" fillId="2" borderId="1" applyNumberFormat="1" applyFont="1" applyFill="1" applyBorder="1" applyAlignment="1" applyProtection="0">
      <alignment horizontal="center" vertical="center" wrapText="1"/>
    </xf>
    <xf numFmtId="60" fontId="6" fillId="24" borderId="1" applyNumberFormat="1" applyFont="1" applyFill="1" applyBorder="1" applyAlignment="1" applyProtection="0">
      <alignment vertical="top" wrapText="1"/>
    </xf>
    <xf numFmtId="60" fontId="6" fillId="2" borderId="1" applyNumberFormat="1" applyFont="1" applyFill="1" applyBorder="1" applyAlignment="1" applyProtection="0">
      <alignment horizontal="center" vertical="center" wrapText="1"/>
    </xf>
    <xf numFmtId="59" fontId="6" fillId="2" borderId="1" applyNumberFormat="1" applyFont="1" applyFill="1" applyBorder="1" applyAlignment="1" applyProtection="0">
      <alignment horizontal="center" vertical="center" wrapText="1"/>
    </xf>
    <xf numFmtId="60" fontId="6" fillId="2" borderId="1" applyNumberFormat="1" applyFont="1" applyFill="1" applyBorder="1" applyAlignment="1" applyProtection="0">
      <alignment vertical="top" wrapText="1"/>
    </xf>
    <xf numFmtId="60" fontId="6" fillId="24" borderId="13" applyNumberFormat="1" applyFont="1" applyFill="1" applyBorder="1" applyAlignment="1" applyProtection="0">
      <alignment vertical="top" wrapText="1"/>
    </xf>
    <xf numFmtId="60" fontId="6" fillId="24" borderId="14" applyNumberFormat="1" applyFont="1" applyFill="1" applyBorder="1" applyAlignment="1" applyProtection="0">
      <alignment vertical="top" wrapText="1"/>
    </xf>
    <xf numFmtId="0" fontId="3" fillId="4" borderId="1" applyNumberFormat="0" applyFont="1" applyFill="1" applyBorder="1" applyAlignment="1" applyProtection="0">
      <alignment horizontal="center" vertical="center" wrapText="1"/>
    </xf>
    <xf numFmtId="0" fontId="3" fillId="27" borderId="1" applyNumberFormat="0" applyFont="1" applyFill="1" applyBorder="1" applyAlignment="1" applyProtection="0">
      <alignment horizontal="center" vertical="center" wrapText="1"/>
    </xf>
    <xf numFmtId="60" fontId="0" borderId="1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6" borderId="1" applyNumberFormat="0" applyFont="1" applyFill="0" applyBorder="1" applyAlignment="1" applyProtection="0">
      <alignment horizontal="center" vertical="center" wrapText="1"/>
    </xf>
    <xf numFmtId="59" fontId="6" borderId="15" applyNumberFormat="1" applyFont="1" applyFill="0" applyBorder="1" applyAlignment="1" applyProtection="0">
      <alignment horizontal="center" vertical="center" wrapText="1"/>
    </xf>
    <xf numFmtId="59" fontId="6" borderId="1" applyNumberFormat="1" applyFont="1" applyFill="0" applyBorder="1" applyAlignment="1" applyProtection="0">
      <alignment horizontal="center" vertical="center" wrapText="1"/>
    </xf>
    <xf numFmtId="60" fontId="0" borderId="1" applyNumberFormat="1" applyFont="1" applyFill="0" applyBorder="1" applyAlignment="1" applyProtection="0">
      <alignment horizontal="center" vertical="center" wrapText="1"/>
    </xf>
    <xf numFmtId="49" fontId="2" fillId="28" borderId="10" applyNumberFormat="1" applyFont="1" applyFill="1" applyBorder="1" applyAlignment="1" applyProtection="0">
      <alignment horizontal="center" vertical="center" wrapText="1"/>
    </xf>
    <xf numFmtId="49" fontId="6" borderId="1" applyNumberFormat="1" applyFont="1" applyFill="0" applyBorder="1" applyAlignment="1" applyProtection="0">
      <alignment horizontal="center" vertical="center" wrapText="1"/>
    </xf>
    <xf numFmtId="49" fontId="2" fillId="4" borderId="5" applyNumberFormat="1" applyFont="1" applyFill="1" applyBorder="1" applyAlignment="1" applyProtection="0">
      <alignment horizontal="center" vertical="center" wrapText="1"/>
    </xf>
    <xf numFmtId="49" fontId="2" fillId="27" borderId="10" applyNumberFormat="1" applyFont="1" applyFill="1" applyBorder="1" applyAlignment="1" applyProtection="0">
      <alignment horizontal="center" vertical="center" wrapText="1"/>
    </xf>
    <xf numFmtId="49" fontId="2" fillId="5" borderId="3" applyNumberFormat="1" applyFont="1" applyFill="1" applyBorder="1" applyAlignment="1" applyProtection="0">
      <alignment horizontal="center" vertical="center" wrapText="1"/>
    </xf>
    <xf numFmtId="49" fontId="2" fillId="29" borderId="1" applyNumberFormat="1" applyFont="1" applyFill="1" applyBorder="1" applyAlignment="1" applyProtection="0">
      <alignment horizontal="center" vertical="center" wrapText="1"/>
    </xf>
    <xf numFmtId="60" fontId="6" fillId="12" borderId="1" applyNumberFormat="1" applyFont="1" applyFill="1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center" vertical="center" wrapText="1"/>
    </xf>
    <xf numFmtId="0" fontId="6" borderId="5" applyNumberFormat="1" applyFont="1" applyFill="0" applyBorder="1" applyAlignment="1" applyProtection="0">
      <alignment horizontal="center" vertical="center" wrapText="1"/>
    </xf>
    <xf numFmtId="59" fontId="6" borderId="3" applyNumberFormat="1" applyFont="1" applyFill="0" applyBorder="1" applyAlignment="1" applyProtection="0">
      <alignment horizontal="center" vertical="center" wrapText="1"/>
    </xf>
    <xf numFmtId="49" fontId="2" fillId="28" borderId="6" applyNumberFormat="1" applyFont="1" applyFill="1" applyBorder="1" applyAlignment="1" applyProtection="0">
      <alignment horizontal="center" vertical="center" wrapText="1"/>
    </xf>
    <xf numFmtId="49" fontId="2" fillId="27" borderId="6" applyNumberFormat="1" applyFont="1" applyFill="1" applyBorder="1" applyAlignment="1" applyProtection="0">
      <alignment horizontal="center" vertical="center" wrapText="1"/>
    </xf>
    <xf numFmtId="49" fontId="3" fillId="5" borderId="3" applyNumberFormat="1" applyFont="1" applyFill="1" applyBorder="1" applyAlignment="1" applyProtection="0">
      <alignment horizontal="center" vertical="center" wrapText="1"/>
    </xf>
    <xf numFmtId="60" fontId="6" fillId="3" borderId="1" applyNumberFormat="1" applyFont="1" applyFill="1" applyBorder="1" applyAlignment="1" applyProtection="0">
      <alignment vertical="top" wrapText="1"/>
    </xf>
    <xf numFmtId="0" fontId="2" fillId="4" borderId="5" applyNumberFormat="0" applyFont="1" applyFill="1" applyBorder="1" applyAlignment="1" applyProtection="0">
      <alignment horizontal="center" vertical="center" wrapText="1"/>
    </xf>
    <xf numFmtId="0" fontId="2" fillId="27" borderId="6" applyNumberFormat="0" applyFont="1" applyFill="1" applyBorder="1" applyAlignment="1" applyProtection="0">
      <alignment horizontal="center" vertical="center" wrapText="1"/>
    </xf>
    <xf numFmtId="0" fontId="6" borderId="5" applyNumberFormat="0" applyFont="1" applyFill="0" applyBorder="1" applyAlignment="1" applyProtection="0">
      <alignment horizontal="center" vertical="center" wrapText="1"/>
    </xf>
    <xf numFmtId="0" fontId="2" fillId="4" borderId="3" applyNumberFormat="0" applyFont="1" applyFill="1" applyBorder="1" applyAlignment="1" applyProtection="0">
      <alignment horizontal="center" vertical="center" wrapText="1"/>
    </xf>
    <xf numFmtId="0" fontId="2" fillId="7" borderId="7" applyNumberFormat="0" applyFont="1" applyFill="1" applyBorder="1" applyAlignment="1" applyProtection="0">
      <alignment horizontal="center" vertical="center" wrapText="1"/>
    </xf>
    <xf numFmtId="0" fontId="2" fillId="27" borderId="7" applyNumberFormat="0" applyFont="1" applyFill="1" applyBorder="1" applyAlignment="1" applyProtection="0">
      <alignment horizontal="center" vertical="center" wrapText="1"/>
    </xf>
    <xf numFmtId="59" fontId="6" borderId="7" applyNumberFormat="1" applyFont="1" applyFill="0" applyBorder="1" applyAlignment="1" applyProtection="0">
      <alignment horizontal="center" vertical="center" wrapText="1"/>
    </xf>
    <xf numFmtId="49" fontId="2" fillId="27" borderId="1" applyNumberFormat="1" applyFont="1" applyFill="1" applyBorder="1" applyAlignment="1" applyProtection="0">
      <alignment horizontal="center" vertical="center" wrapText="1"/>
    </xf>
    <xf numFmtId="0" fontId="2" fillId="27" borderId="1" applyNumberFormat="0" applyFont="1" applyFill="1" applyBorder="1" applyAlignment="1" applyProtection="0">
      <alignment horizontal="center" vertical="center" wrapText="1"/>
    </xf>
    <xf numFmtId="59" fontId="3" borderId="5" applyNumberFormat="1" applyFont="1" applyFill="0" applyBorder="1" applyAlignment="1" applyProtection="0">
      <alignment horizontal="center" vertical="center" wrapText="1"/>
    </xf>
    <xf numFmtId="0" fontId="6" borderId="1" applyNumberFormat="1" applyFont="1" applyFill="0" applyBorder="1" applyAlignment="1" applyProtection="0">
      <alignment horizontal="center" vertical="center" wrapText="1"/>
    </xf>
    <xf numFmtId="49" fontId="2" fillId="4" borderId="16" applyNumberFormat="1" applyFont="1" applyFill="1" applyBorder="1" applyAlignment="1" applyProtection="0">
      <alignment horizontal="center" vertical="center" wrapText="1"/>
    </xf>
    <xf numFmtId="60" fontId="6" borderId="1" applyNumberFormat="1" applyFont="1" applyFill="0" applyBorder="1" applyAlignment="1" applyProtection="0">
      <alignment vertical="top" wrapText="1"/>
    </xf>
    <xf numFmtId="49" fontId="8" borderId="1" applyNumberFormat="1" applyFont="1" applyFill="0" applyBorder="1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2" fillId="10" borderId="10" applyNumberFormat="1" applyFont="1" applyFill="1" applyBorder="1" applyAlignment="1" applyProtection="0">
      <alignment horizontal="center" vertical="center" wrapText="1"/>
    </xf>
    <xf numFmtId="59" fontId="6" fillId="3" borderId="10" applyNumberFormat="1" applyFont="1" applyFill="1" applyBorder="1" applyAlignment="1" applyProtection="0">
      <alignment horizontal="center" vertical="center" wrapText="1"/>
    </xf>
    <xf numFmtId="49" fontId="2" fillId="10" borderId="6" applyNumberFormat="1" applyFont="1" applyFill="1" applyBorder="1" applyAlignment="1" applyProtection="0">
      <alignment horizontal="center" vertical="center" wrapText="1"/>
    </xf>
    <xf numFmtId="49" fontId="2" fillId="10" borderId="16" applyNumberFormat="1" applyFont="1" applyFill="1" applyBorder="1" applyAlignment="1" applyProtection="0">
      <alignment horizontal="center" vertical="center" wrapText="1"/>
    </xf>
    <xf numFmtId="49" fontId="2" fillId="27" borderId="16" applyNumberFormat="1" applyFont="1" applyFill="1" applyBorder="1" applyAlignment="1" applyProtection="0">
      <alignment horizontal="center" vertical="center" wrapText="1"/>
    </xf>
    <xf numFmtId="59" fontId="6" borderId="16" applyNumberFormat="1" applyFont="1" applyFill="0" applyBorder="1" applyAlignment="1" applyProtection="0">
      <alignment horizontal="center" vertical="center" wrapText="1"/>
    </xf>
    <xf numFmtId="60" fontId="6" fillId="16" borderId="1" applyNumberFormat="1" applyFont="1" applyFill="1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60" fontId="6" borderId="5" applyNumberFormat="1" applyFont="1" applyFill="0" applyBorder="1" applyAlignment="1" applyProtection="0">
      <alignment vertical="top" wrapText="1"/>
    </xf>
    <xf numFmtId="0" fontId="6" borderId="3" applyNumberFormat="1" applyFont="1" applyFill="0" applyBorder="1" applyAlignment="1" applyProtection="0">
      <alignment horizontal="center" vertical="center" wrapText="1"/>
    </xf>
    <xf numFmtId="49" fontId="0" borderId="16" applyNumberFormat="1" applyFont="1" applyFill="0" applyBorder="1" applyAlignment="1" applyProtection="0">
      <alignment horizontal="center" vertical="center" wrapText="1"/>
    </xf>
    <xf numFmtId="49" fontId="3" fillId="4" borderId="1" applyNumberFormat="1" applyFont="1" applyFill="1" applyBorder="1" applyAlignment="1" applyProtection="0">
      <alignment horizontal="center" vertical="center" wrapText="1"/>
    </xf>
    <xf numFmtId="49" fontId="3" fillId="27" borderId="1" applyNumberFormat="1" applyFont="1" applyFill="1" applyBorder="1" applyAlignment="1" applyProtection="0">
      <alignment horizontal="center" vertical="center" wrapText="1"/>
    </xf>
    <xf numFmtId="49" fontId="6" fillId="9" borderId="1" applyNumberFormat="1" applyFont="1" applyFill="1" applyBorder="1" applyAlignment="1" applyProtection="0">
      <alignment horizontal="center" vertical="center" wrapText="1"/>
    </xf>
    <xf numFmtId="49" fontId="2" fillId="4" borderId="15" applyNumberFormat="1" applyFont="1" applyFill="1" applyBorder="1" applyAlignment="1" applyProtection="0">
      <alignment horizontal="center" vertical="center" wrapText="1"/>
    </xf>
    <xf numFmtId="0" fontId="2" fillId="4" borderId="16" applyNumberFormat="0" applyFont="1" applyFill="1" applyBorder="1" applyAlignment="1" applyProtection="0">
      <alignment horizontal="center" vertical="center" wrapText="1"/>
    </xf>
    <xf numFmtId="49" fontId="0" borderId="16" applyNumberFormat="1" applyFont="1" applyFill="0" applyBorder="1" applyAlignment="1" applyProtection="0">
      <alignment vertical="top" wrapText="1"/>
    </xf>
    <xf numFmtId="49" fontId="2" fillId="9" borderId="15" applyNumberFormat="1" applyFont="1" applyFill="1" applyBorder="1" applyAlignment="1" applyProtection="0">
      <alignment horizontal="center" vertical="center" wrapText="1"/>
    </xf>
    <xf numFmtId="49" fontId="2" fillId="27" borderId="17" applyNumberFormat="1" applyFont="1" applyFill="1" applyBorder="1" applyAlignment="1" applyProtection="0">
      <alignment horizontal="center" vertical="center" wrapText="1"/>
    </xf>
    <xf numFmtId="49" fontId="6" fillId="5" borderId="10" applyNumberFormat="1" applyFont="1" applyFill="1" applyBorder="1" applyAlignment="1" applyProtection="0">
      <alignment horizontal="center" vertical="center" wrapText="1"/>
    </xf>
    <xf numFmtId="49" fontId="6" fillId="9" borderId="10" applyNumberFormat="1" applyFont="1" applyFill="1" applyBorder="1" applyAlignment="1" applyProtection="0">
      <alignment horizontal="center" vertical="center" wrapText="1"/>
    </xf>
    <xf numFmtId="59" fontId="3" borderId="2" applyNumberFormat="1" applyFont="1" applyFill="0" applyBorder="1" applyAlignment="1" applyProtection="0">
      <alignment horizontal="center" vertical="center" wrapText="1"/>
    </xf>
    <xf numFmtId="60" fontId="6" borderId="10" applyNumberFormat="1" applyFont="1" applyFill="0" applyBorder="1" applyAlignment="1" applyProtection="0">
      <alignment vertical="top" wrapText="1"/>
    </xf>
    <xf numFmtId="49" fontId="0" borderId="18" applyNumberFormat="1" applyFont="1" applyFill="0" applyBorder="1" applyAlignment="1" applyProtection="0">
      <alignment horizontal="center" vertical="center" wrapText="1"/>
    </xf>
    <xf numFmtId="49" fontId="2" fillId="9" borderId="7" applyNumberFormat="1" applyFont="1" applyFill="1" applyBorder="1" applyAlignment="1" applyProtection="0">
      <alignment horizontal="center" vertical="center" wrapText="1"/>
    </xf>
    <xf numFmtId="49" fontId="2" fillId="27" borderId="7" applyNumberFormat="1" applyFont="1" applyFill="1" applyBorder="1" applyAlignment="1" applyProtection="0">
      <alignment horizontal="center" vertical="center" wrapText="1"/>
    </xf>
    <xf numFmtId="49" fontId="6" fillId="5" borderId="6" applyNumberFormat="1" applyFont="1" applyFill="1" applyBorder="1" applyAlignment="1" applyProtection="0">
      <alignment horizontal="center" vertical="center" wrapText="1"/>
    </xf>
    <xf numFmtId="49" fontId="6" fillId="9" borderId="6" applyNumberFormat="1" applyFont="1" applyFill="1" applyBorder="1" applyAlignment="1" applyProtection="0">
      <alignment horizontal="center" vertical="center" wrapText="1"/>
    </xf>
    <xf numFmtId="59" fontId="3" borderId="3" applyNumberFormat="1" applyFont="1" applyFill="0" applyBorder="1" applyAlignment="1" applyProtection="0">
      <alignment horizontal="center" vertical="center" wrapText="1"/>
    </xf>
    <xf numFmtId="60" fontId="6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center" vertical="center" wrapText="1"/>
    </xf>
    <xf numFmtId="59" fontId="6" borderId="5" applyNumberFormat="1" applyFont="1" applyFill="0" applyBorder="1" applyAlignment="1" applyProtection="0">
      <alignment horizontal="center" vertical="center" wrapText="1"/>
    </xf>
    <xf numFmtId="60" fontId="0" borderId="3" applyNumberFormat="1" applyFont="1" applyFill="0" applyBorder="1" applyAlignment="1" applyProtection="0">
      <alignment horizontal="center" vertical="center" wrapText="1"/>
    </xf>
    <xf numFmtId="49" fontId="2" fillId="5" borderId="16" applyNumberFormat="1" applyFont="1" applyFill="1" applyBorder="1" applyAlignment="1" applyProtection="0">
      <alignment horizontal="center" vertical="center" wrapText="1"/>
    </xf>
    <xf numFmtId="49" fontId="2" fillId="9" borderId="16" applyNumberFormat="1" applyFont="1" applyFill="1" applyBorder="1" applyAlignment="1" applyProtection="0">
      <alignment horizontal="center" vertical="center" wrapText="1"/>
    </xf>
    <xf numFmtId="49" fontId="2" fillId="4" borderId="17" applyNumberFormat="1" applyFont="1" applyFill="1" applyBorder="1" applyAlignment="1" applyProtection="0">
      <alignment horizontal="center" vertical="center" wrapText="1"/>
    </xf>
    <xf numFmtId="49" fontId="6" fillId="8" borderId="10" applyNumberFormat="1" applyFont="1" applyFill="1" applyBorder="1" applyAlignment="1" applyProtection="0">
      <alignment horizontal="left" vertical="center" wrapText="1"/>
    </xf>
    <xf numFmtId="59" fontId="0" borderId="10" applyNumberFormat="1" applyFont="1" applyFill="0" applyBorder="1" applyAlignment="1" applyProtection="0">
      <alignment horizontal="center" vertical="center" wrapText="1"/>
    </xf>
    <xf numFmtId="49" fontId="2" fillId="5" borderId="10" applyNumberFormat="1" applyFont="1" applyFill="1" applyBorder="1" applyAlignment="1" applyProtection="0">
      <alignment horizontal="center" vertical="center" wrapText="1"/>
    </xf>
    <xf numFmtId="59" fontId="0" borderId="18" applyNumberFormat="1" applyFont="1" applyFill="0" applyBorder="1" applyAlignment="1" applyProtection="0">
      <alignment horizontal="center" vertical="center" wrapText="1"/>
    </xf>
    <xf numFmtId="60" fontId="8" borderId="17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horizontal="center" vertical="center" wrapText="1"/>
    </xf>
    <xf numFmtId="0" fontId="6" borderId="10" applyNumberFormat="0" applyFont="1" applyFill="0" applyBorder="1" applyAlignment="1" applyProtection="0">
      <alignment horizontal="center" vertical="center" wrapText="1"/>
    </xf>
    <xf numFmtId="59" fontId="6" borderId="10" applyNumberFormat="1" applyFont="1" applyFill="0" applyBorder="1" applyAlignment="1" applyProtection="0">
      <alignment horizontal="center" vertical="center" wrapText="1"/>
    </xf>
    <xf numFmtId="60" fontId="0" borderId="10" applyNumberFormat="1" applyFont="1" applyFill="0" applyBorder="1" applyAlignment="1" applyProtection="0">
      <alignment horizontal="center" vertical="center" wrapText="1"/>
    </xf>
    <xf numFmtId="60" fontId="0" borderId="10" applyNumberFormat="1" applyFont="1" applyFill="0" applyBorder="1" applyAlignment="1" applyProtection="0">
      <alignment vertical="top" wrapText="1"/>
    </xf>
    <xf numFmtId="49" fontId="2" fillId="4" borderId="9" applyNumberFormat="1" applyFont="1" applyFill="1" applyBorder="1" applyAlignment="1" applyProtection="0">
      <alignment horizontal="center" vertical="center" wrapText="1"/>
    </xf>
    <xf numFmtId="49" fontId="6" fillId="8" borderId="6" applyNumberFormat="1" applyFont="1" applyFill="1" applyBorder="1" applyAlignment="1" applyProtection="0">
      <alignment horizontal="left" vertical="center" wrapText="1"/>
    </xf>
    <xf numFmtId="49" fontId="6" fillId="5" borderId="7" applyNumberFormat="1" applyFont="1" applyFill="1" applyBorder="1" applyAlignment="1" applyProtection="0">
      <alignment horizontal="center" vertical="center" wrapText="1"/>
    </xf>
    <xf numFmtId="49" fontId="2" fillId="5" borderId="7" applyNumberFormat="1" applyFont="1" applyFill="1" applyBorder="1" applyAlignment="1" applyProtection="0">
      <alignment horizontal="center" vertical="center" wrapText="1"/>
    </xf>
    <xf numFmtId="59" fontId="0" borderId="8" applyNumberFormat="1" applyFont="1" applyFill="0" applyBorder="1" applyAlignment="1" applyProtection="0">
      <alignment horizontal="center" vertical="center" wrapText="1"/>
    </xf>
    <xf numFmtId="0" fontId="4" fillId="4" borderId="1" applyNumberFormat="0" applyFont="1" applyFill="1" applyBorder="1" applyAlignment="1" applyProtection="0">
      <alignment horizontal="center" vertical="center" wrapText="1"/>
    </xf>
    <xf numFmtId="0" fontId="2" fillId="4" borderId="17" applyNumberFormat="0" applyFont="1" applyFill="1" applyBorder="1" applyAlignment="1" applyProtection="0">
      <alignment horizontal="center" vertical="center" wrapText="1"/>
    </xf>
    <xf numFmtId="60" fontId="8" borderId="6" applyNumberFormat="1" applyFont="1" applyFill="0" applyBorder="1" applyAlignment="1" applyProtection="0">
      <alignment vertical="top" wrapText="1"/>
    </xf>
    <xf numFmtId="60" fontId="0" borderId="6" applyNumberFormat="1" applyFont="1" applyFill="0" applyBorder="1" applyAlignment="1" applyProtection="0">
      <alignment vertical="top" wrapText="1"/>
    </xf>
    <xf numFmtId="49" fontId="2" fillId="27" borderId="8" applyNumberFormat="1" applyFont="1" applyFill="1" applyBorder="1" applyAlignment="1" applyProtection="0">
      <alignment horizontal="center" vertical="center" wrapText="1"/>
    </xf>
    <xf numFmtId="59" fontId="0" borderId="19" applyNumberFormat="1" applyFont="1" applyFill="0" applyBorder="1" applyAlignment="1" applyProtection="0">
      <alignment horizontal="center" vertical="center" wrapText="1"/>
    </xf>
    <xf numFmtId="0" fontId="2" fillId="4" borderId="9" applyNumberFormat="0" applyFont="1" applyFill="1" applyBorder="1" applyAlignment="1" applyProtection="0">
      <alignment horizontal="center" vertical="center" wrapText="1"/>
    </xf>
    <xf numFmtId="49" fontId="2" fillId="5" borderId="6" applyNumberFormat="1" applyFont="1" applyFill="1" applyBorder="1" applyAlignment="1" applyProtection="0">
      <alignment horizontal="center" vertical="center" wrapText="1"/>
    </xf>
    <xf numFmtId="49" fontId="4" fillId="4" borderId="1" applyNumberFormat="1" applyFont="1" applyFill="1" applyBorder="1" applyAlignment="1" applyProtection="0">
      <alignment horizontal="center" vertical="center" wrapText="1"/>
    </xf>
    <xf numFmtId="0" fontId="2" fillId="7" borderId="10" applyNumberFormat="0" applyFont="1" applyFill="1" applyBorder="1" applyAlignment="1" applyProtection="0">
      <alignment horizontal="center" vertical="center" wrapText="1"/>
    </xf>
    <xf numFmtId="0" fontId="3" fillId="4" borderId="6" applyNumberFormat="0" applyFont="1" applyFill="1" applyBorder="1" applyAlignment="1" applyProtection="0">
      <alignment horizontal="center" vertical="center" wrapText="1"/>
    </xf>
    <xf numFmtId="0" fontId="3" fillId="27" borderId="6" applyNumberFormat="0" applyFont="1" applyFill="1" applyBorder="1" applyAlignment="1" applyProtection="0">
      <alignment horizontal="center" vertical="center" wrapText="1"/>
    </xf>
    <xf numFmtId="49" fontId="2" fillId="7" borderId="7" applyNumberFormat="1" applyFont="1" applyFill="1" applyBorder="1" applyAlignment="1" applyProtection="0">
      <alignment horizontal="center" vertical="center" wrapText="1"/>
    </xf>
    <xf numFmtId="59" fontId="0" borderId="7" applyNumberFormat="1" applyFont="1" applyFill="0" applyBorder="1" applyAlignment="1" applyProtection="0">
      <alignment horizontal="center" vertical="center" wrapText="1"/>
    </xf>
    <xf numFmtId="49" fontId="3" fillId="4" borderId="7" applyNumberFormat="1" applyFont="1" applyFill="1" applyBorder="1" applyAlignment="1" applyProtection="0">
      <alignment horizontal="center" vertical="center" wrapText="1"/>
    </xf>
    <xf numFmtId="49" fontId="3" fillId="27" borderId="7" applyNumberFormat="1" applyFont="1" applyFill="1" applyBorder="1" applyAlignment="1" applyProtection="0">
      <alignment horizontal="center" vertical="center" wrapText="1"/>
    </xf>
    <xf numFmtId="49" fontId="0" fillId="5" borderId="7" applyNumberFormat="1" applyFont="1" applyFill="1" applyBorder="1" applyAlignment="1" applyProtection="0">
      <alignment horizontal="center" vertical="center" wrapText="1"/>
    </xf>
    <xf numFmtId="59" fontId="0" borderId="12" applyNumberFormat="1" applyFont="1" applyFill="0" applyBorder="1" applyAlignment="1" applyProtection="0">
      <alignment horizontal="center" vertical="center" wrapText="1"/>
    </xf>
    <xf numFmtId="49" fontId="2" fillId="4" borderId="11" applyNumberFormat="1" applyFont="1" applyFill="1" applyBorder="1" applyAlignment="1" applyProtection="0">
      <alignment horizontal="center" vertical="center" wrapText="1"/>
    </xf>
    <xf numFmtId="60" fontId="8" borderId="7" applyNumberFormat="1" applyFont="1" applyFill="0" applyBorder="1" applyAlignment="1" applyProtection="0">
      <alignment vertical="top" wrapText="1"/>
    </xf>
    <xf numFmtId="49" fontId="6" borderId="7" applyNumberFormat="1" applyFont="1" applyFill="0" applyBorder="1" applyAlignment="1" applyProtection="0">
      <alignment horizontal="center" vertical="center" wrapText="1"/>
    </xf>
    <xf numFmtId="60" fontId="0" borderId="7" applyNumberFormat="1" applyFont="1" applyFill="0" applyBorder="1" applyAlignment="1" applyProtection="0">
      <alignment horizontal="center" vertical="center" wrapText="1"/>
    </xf>
    <xf numFmtId="60" fontId="0" borderId="7" applyNumberFormat="1" applyFont="1" applyFill="0" applyBorder="1" applyAlignment="1" applyProtection="0">
      <alignment vertical="top" wrapText="1"/>
    </xf>
    <xf numFmtId="49" fontId="9" fillId="5" borderId="15" applyNumberFormat="1" applyFont="1" applyFill="1" applyBorder="1" applyAlignment="1" applyProtection="0">
      <alignment horizontal="center" vertical="center" wrapText="1"/>
    </xf>
    <xf numFmtId="49" fontId="3" fillId="5" borderId="16" applyNumberFormat="1" applyFont="1" applyFill="1" applyBorder="1" applyAlignment="1" applyProtection="0">
      <alignment horizontal="center" vertical="center" wrapText="1"/>
    </xf>
    <xf numFmtId="60" fontId="6" fillId="5" borderId="1" applyNumberFormat="1" applyFont="1" applyFill="1" applyBorder="1" applyAlignment="1" applyProtection="0">
      <alignment vertical="top" wrapText="1"/>
    </xf>
    <xf numFmtId="49" fontId="6" fillId="5" borderId="1" applyNumberFormat="1" applyFont="1" applyFill="1" applyBorder="1" applyAlignment="1" applyProtection="0">
      <alignment horizontal="center" vertical="center" wrapText="1"/>
    </xf>
    <xf numFmtId="60" fontId="6" borderId="9" applyNumberFormat="1" applyFont="1" applyFill="0" applyBorder="1" applyAlignment="1" applyProtection="0">
      <alignment vertical="top" wrapText="1"/>
    </xf>
    <xf numFmtId="59" fontId="6" fillId="3" borderId="1" applyNumberFormat="1" applyFont="1" applyFill="1" applyBorder="1" applyAlignment="1" applyProtection="0">
      <alignment horizontal="center" vertical="center" wrapText="1"/>
    </xf>
    <xf numFmtId="60" fontId="0" borderId="16" applyNumberFormat="1" applyFont="1" applyFill="0" applyBorder="1" applyAlignment="1" applyProtection="0">
      <alignment vertical="top" wrapText="1"/>
    </xf>
    <xf numFmtId="60" fontId="6" borderId="17" applyNumberFormat="1" applyFont="1" applyFill="0" applyBorder="1" applyAlignment="1" applyProtection="0">
      <alignment vertical="top" wrapText="1"/>
    </xf>
    <xf numFmtId="60" fontId="6" borderId="6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horizontal="center" vertical="center" wrapText="1"/>
    </xf>
    <xf numFmtId="60" fontId="6" fillId="3" borderId="16" applyNumberFormat="1" applyFont="1" applyFill="1" applyBorder="1" applyAlignment="1" applyProtection="0">
      <alignment vertical="top" wrapText="1"/>
    </xf>
    <xf numFmtId="59" fontId="2" fillId="3" borderId="1" applyNumberFormat="1" applyFont="1" applyFill="1" applyBorder="1" applyAlignment="1" applyProtection="0">
      <alignment horizontal="center" vertical="center" wrapText="1"/>
    </xf>
    <xf numFmtId="49" fontId="0" fillId="5" borderId="1" applyNumberFormat="1" applyFont="1" applyFill="1" applyBorder="1" applyAlignment="1" applyProtection="0">
      <alignment horizontal="center" vertical="center" wrapText="1"/>
    </xf>
    <xf numFmtId="49" fontId="3" fillId="4" borderId="1" applyNumberFormat="1" applyFont="1" applyFill="1" applyBorder="1" applyAlignment="1" applyProtection="0">
      <alignment vertical="center" wrapText="1"/>
    </xf>
    <xf numFmtId="49" fontId="2" fillId="6" borderId="6" applyNumberFormat="1" applyFont="1" applyFill="1" applyBorder="1" applyAlignment="1" applyProtection="0">
      <alignment horizontal="center" vertical="center" wrapText="1"/>
    </xf>
    <xf numFmtId="49" fontId="6" fillId="6" borderId="1" applyNumberFormat="1" applyFont="1" applyFill="1" applyBorder="1" applyAlignment="1" applyProtection="0">
      <alignment vertical="top" wrapText="1"/>
    </xf>
    <xf numFmtId="49" fontId="2" fillId="6" borderId="16" applyNumberFormat="1" applyFont="1" applyFill="1" applyBorder="1" applyAlignment="1" applyProtection="0">
      <alignment horizontal="center" vertical="center" wrapText="1"/>
    </xf>
    <xf numFmtId="59" fontId="6" fillId="10" borderId="1" applyNumberFormat="1" applyFont="1" applyFill="1" applyBorder="1" applyAlignment="1" applyProtection="0">
      <alignment horizontal="center" vertical="center" wrapText="1"/>
    </xf>
    <xf numFmtId="49" fontId="3" fillId="7" borderId="1" applyNumberFormat="1" applyFont="1" applyFill="1" applyBorder="1" applyAlignment="1" applyProtection="0">
      <alignment horizontal="center" vertical="center" wrapText="1"/>
    </xf>
    <xf numFmtId="49" fontId="3" borderId="1" applyNumberFormat="1" applyFont="1" applyFill="0" applyBorder="1" applyAlignment="1" applyProtection="0">
      <alignment vertical="center" wrapText="1"/>
    </xf>
    <xf numFmtId="0" fontId="0" borderId="1" applyNumberFormat="0" applyFont="1" applyFill="0" applyBorder="1" applyAlignment="1" applyProtection="0">
      <alignment horizontal="center" vertical="center" wrapText="1"/>
    </xf>
    <xf numFmtId="59" fontId="0" borderId="1" applyNumberFormat="1" applyFont="1" applyFill="0" applyBorder="1" applyAlignment="1" applyProtection="0">
      <alignment horizontal="center" vertical="center" wrapText="1"/>
    </xf>
    <xf numFmtId="49" fontId="0" borderId="18" applyNumberFormat="1" applyFont="1" applyFill="0" applyBorder="1" applyAlignment="1" applyProtection="0">
      <alignment vertical="top" wrapText="1"/>
    </xf>
    <xf numFmtId="60" fontId="6" borderId="11" applyNumberFormat="1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60" fontId="8" borderId="1" applyNumberFormat="1" applyFont="1" applyFill="0" applyBorder="1" applyAlignment="1" applyProtection="0">
      <alignment vertical="top" wrapText="1"/>
    </xf>
    <xf numFmtId="0" fontId="2" fillId="9" borderId="1" applyNumberFormat="0" applyFont="1" applyFill="1" applyBorder="1" applyAlignment="1" applyProtection="0">
      <alignment horizontal="center" vertical="center" wrapText="1"/>
    </xf>
    <xf numFmtId="0" fontId="2" fillId="7" borderId="15" applyNumberFormat="0" applyFont="1" applyFill="1" applyBorder="1" applyAlignment="1" applyProtection="0">
      <alignment horizontal="center" vertical="center" wrapText="1"/>
    </xf>
    <xf numFmtId="0" fontId="2" fillId="4" borderId="15" applyNumberFormat="0" applyFont="1" applyFill="1" applyBorder="1" applyAlignment="1" applyProtection="0">
      <alignment horizontal="center" vertical="center" wrapText="1"/>
    </xf>
    <xf numFmtId="60" fontId="0" borderId="3" applyNumberFormat="1" applyFont="1" applyFill="0" applyBorder="1" applyAlignment="1" applyProtection="0">
      <alignment vertical="top" wrapText="1"/>
    </xf>
    <xf numFmtId="49" fontId="2" fillId="6" borderId="7" applyNumberFormat="1" applyFont="1" applyFill="1" applyBorder="1" applyAlignment="1" applyProtection="0">
      <alignment horizontal="center" vertical="center" wrapText="1"/>
    </xf>
    <xf numFmtId="0" fontId="2" fillId="7" borderId="19" applyNumberFormat="0" applyFont="1" applyFill="1" applyBorder="1" applyAlignment="1" applyProtection="0">
      <alignment horizontal="center" vertical="center" wrapText="1"/>
    </xf>
    <xf numFmtId="60" fontId="0" borderId="15" applyNumberFormat="1" applyFont="1" applyFill="0" applyBorder="1" applyAlignment="1" applyProtection="0">
      <alignment vertical="top" wrapText="1"/>
    </xf>
    <xf numFmtId="0" fontId="6" borderId="15" applyNumberFormat="0" applyFont="1" applyFill="0" applyBorder="1" applyAlignment="1" applyProtection="0">
      <alignment horizontal="center" vertical="center" wrapText="1"/>
    </xf>
    <xf numFmtId="49" fontId="2" fillId="5" borderId="2" applyNumberFormat="1" applyFont="1" applyFill="1" applyBorder="1" applyAlignment="1" applyProtection="0">
      <alignment vertical="center" wrapText="1"/>
    </xf>
    <xf numFmtId="49" fontId="2" fillId="4" borderId="2" applyNumberFormat="1" applyFont="1" applyFill="1" applyBorder="1" applyAlignment="1" applyProtection="0">
      <alignment vertical="center" wrapText="1"/>
    </xf>
    <xf numFmtId="59" fontId="0" borderId="2" applyNumberFormat="1" applyFont="1" applyFill="0" applyBorder="1" applyAlignment="1" applyProtection="0">
      <alignment horizontal="center" vertical="center" wrapText="1"/>
    </xf>
    <xf numFmtId="49" fontId="6" fillId="5" borderId="18" applyNumberFormat="1" applyFont="1" applyFill="1" applyBorder="1" applyAlignment="1" applyProtection="0">
      <alignment horizontal="center" vertical="center" wrapText="1"/>
    </xf>
    <xf numFmtId="59" fontId="0" borderId="17" applyNumberFormat="1" applyFont="1" applyFill="0" applyBorder="1" applyAlignment="1" applyProtection="0">
      <alignment horizontal="center" vertical="center" wrapText="1"/>
    </xf>
    <xf numFmtId="0" fontId="4" fillId="4" borderId="6" applyNumberFormat="0" applyFont="1" applyFill="1" applyBorder="1" applyAlignment="1" applyProtection="0">
      <alignment horizontal="center" vertical="center" wrapText="1"/>
    </xf>
    <xf numFmtId="0" fontId="2" fillId="4" borderId="10" applyNumberFormat="0" applyFont="1" applyFill="1" applyBorder="1" applyAlignment="1" applyProtection="0">
      <alignment horizontal="center" vertical="center" wrapText="1"/>
    </xf>
    <xf numFmtId="59" fontId="6" fillId="12" borderId="10" applyNumberFormat="1" applyFont="1" applyFill="1" applyBorder="1" applyAlignment="1" applyProtection="0">
      <alignment horizontal="center" vertical="center" wrapText="1"/>
    </xf>
    <xf numFmtId="60" fontId="0" borderId="20" applyNumberFormat="1" applyFont="1" applyFill="0" applyBorder="1" applyAlignment="1" applyProtection="0">
      <alignment vertical="top" wrapText="1"/>
    </xf>
    <xf numFmtId="49" fontId="2" fillId="9" borderId="18" applyNumberFormat="1" applyFont="1" applyFill="1" applyBorder="1" applyAlignment="1" applyProtection="0">
      <alignment horizontal="center" vertical="center" wrapText="1"/>
    </xf>
    <xf numFmtId="49" fontId="0" fillId="5" borderId="8" applyNumberFormat="1" applyFont="1" applyFill="1" applyBorder="1" applyAlignment="1" applyProtection="0">
      <alignment horizontal="center" vertical="center" wrapText="1"/>
    </xf>
    <xf numFmtId="59" fontId="0" borderId="9" applyNumberFormat="1" applyFont="1" applyFill="0" applyBorder="1" applyAlignment="1" applyProtection="0">
      <alignment horizontal="center" vertical="center" wrapText="1"/>
    </xf>
    <xf numFmtId="60" fontId="0" borderId="21" applyNumberFormat="1" applyFont="1" applyFill="0" applyBorder="1" applyAlignment="1" applyProtection="0">
      <alignment vertical="top" wrapText="1"/>
    </xf>
    <xf numFmtId="49" fontId="2" fillId="9" borderId="6" applyNumberFormat="1" applyFont="1" applyFill="1" applyBorder="1" applyAlignment="1" applyProtection="0">
      <alignment horizontal="center" vertical="center" wrapText="1"/>
    </xf>
    <xf numFmtId="49" fontId="2" fillId="8" borderId="10" applyNumberFormat="1" applyFont="1" applyFill="1" applyBorder="1" applyAlignment="1" applyProtection="0">
      <alignment vertical="center" wrapText="1"/>
    </xf>
    <xf numFmtId="49" fontId="3" fillId="27" borderId="6" applyNumberFormat="1" applyFont="1" applyFill="1" applyBorder="1" applyAlignment="1" applyProtection="0">
      <alignment horizontal="center" vertical="center" wrapText="1"/>
    </xf>
    <xf numFmtId="49" fontId="4" fillId="4" borderId="6" applyNumberFormat="1" applyFont="1" applyFill="1" applyBorder="1" applyAlignment="1" applyProtection="0">
      <alignment horizontal="center" vertical="center" wrapText="1"/>
    </xf>
    <xf numFmtId="60" fontId="0" borderId="22" applyNumberFormat="1" applyFont="1" applyFill="0" applyBorder="1" applyAlignment="1" applyProtection="0">
      <alignment vertical="top" wrapText="1"/>
    </xf>
    <xf numFmtId="49" fontId="6" fillId="5" borderId="6" applyNumberFormat="1" applyFont="1" applyFill="1" applyBorder="1" applyAlignment="1" applyProtection="0">
      <alignment horizontal="left" vertical="center" wrapText="1"/>
    </xf>
    <xf numFmtId="49" fontId="2" fillId="4" borderId="19" applyNumberFormat="1" applyFont="1" applyFill="1" applyBorder="1" applyAlignment="1" applyProtection="0">
      <alignment horizontal="center" vertical="center" wrapText="1"/>
    </xf>
    <xf numFmtId="0" fontId="6" borderId="6" applyNumberFormat="1" applyFont="1" applyFill="0" applyBorder="1" applyAlignment="1" applyProtection="0">
      <alignment horizontal="center" vertical="center" wrapText="1"/>
    </xf>
    <xf numFmtId="49" fontId="6" fillId="5" borderId="7" applyNumberFormat="1" applyFont="1" applyFill="1" applyBorder="1" applyAlignment="1" applyProtection="0">
      <alignment horizontal="left" vertical="center" wrapText="1"/>
    </xf>
    <xf numFmtId="49" fontId="2" fillId="4" borderId="8" applyNumberFormat="1" applyFont="1" applyFill="1" applyBorder="1" applyAlignment="1" applyProtection="0">
      <alignment horizontal="center" vertical="center" wrapText="1"/>
    </xf>
    <xf numFmtId="49" fontId="6" fillId="5" borderId="1" applyNumberFormat="1" applyFont="1" applyFill="1" applyBorder="1" applyAlignment="1" applyProtection="0">
      <alignment horizontal="left" vertical="center" wrapText="1"/>
    </xf>
    <xf numFmtId="49" fontId="2" fillId="4" borderId="9" applyNumberFormat="1" applyFont="1" applyFill="1" applyBorder="1" applyAlignment="1" applyProtection="0">
      <alignment vertical="center" wrapText="1"/>
    </xf>
    <xf numFmtId="49" fontId="6" fillId="5" borderId="9" applyNumberFormat="1" applyFont="1" applyFill="1" applyBorder="1" applyAlignment="1" applyProtection="0">
      <alignment horizontal="center" vertical="center" wrapText="1"/>
    </xf>
    <xf numFmtId="0" fontId="4" fillId="4" borderId="15" applyNumberFormat="0" applyFont="1" applyFill="1" applyBorder="1" applyAlignment="1" applyProtection="0">
      <alignment horizontal="center" vertical="center" wrapText="1"/>
    </xf>
    <xf numFmtId="49" fontId="6" borderId="10" applyNumberFormat="1" applyFont="1" applyFill="0" applyBorder="1" applyAlignment="1" applyProtection="0">
      <alignment horizontal="left" vertical="center" wrapText="1"/>
    </xf>
    <xf numFmtId="0" fontId="4" fillId="4" borderId="16" applyNumberFormat="0" applyFont="1" applyFill="1" applyBorder="1" applyAlignment="1" applyProtection="0">
      <alignment horizontal="center" vertical="center" wrapText="1"/>
    </xf>
    <xf numFmtId="49" fontId="2" fillId="7" borderId="10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10" fillId="5" borderId="23" applyNumberFormat="1" applyFont="1" applyFill="1" applyBorder="1" applyAlignment="1" applyProtection="0">
      <alignment horizontal="center" vertical="center" wrapText="1"/>
    </xf>
    <xf numFmtId="0" fontId="0" borderId="24" applyNumberFormat="0" applyFont="1" applyFill="0" applyBorder="1" applyAlignment="1" applyProtection="0">
      <alignment vertical="top" wrapText="1"/>
    </xf>
    <xf numFmtId="0" fontId="0" borderId="25" applyNumberFormat="0" applyFont="1" applyFill="0" applyBorder="1" applyAlignment="1" applyProtection="0">
      <alignment vertical="top" wrapText="1"/>
    </xf>
    <xf numFmtId="49" fontId="10" fillId="25" borderId="23" applyNumberFormat="1" applyFont="1" applyFill="1" applyBorder="1" applyAlignment="1" applyProtection="0">
      <alignment horizontal="center" vertical="center" wrapText="1"/>
    </xf>
    <xf numFmtId="49" fontId="11" fillId="7" borderId="26" applyNumberFormat="1" applyFont="1" applyFill="1" applyBorder="1" applyAlignment="1" applyProtection="0">
      <alignment horizontal="center" vertical="center" wrapText="1"/>
    </xf>
    <xf numFmtId="49" fontId="11" fillId="7" borderId="27" applyNumberFormat="1" applyFont="1" applyFill="1" applyBorder="1" applyAlignment="1" applyProtection="0">
      <alignment horizontal="center" vertical="center" wrapText="1"/>
    </xf>
    <xf numFmtId="49" fontId="11" fillId="7" borderId="28" applyNumberFormat="1" applyFont="1" applyFill="1" applyBorder="1" applyAlignment="1" applyProtection="0">
      <alignment horizontal="center" vertical="center" wrapText="1"/>
    </xf>
    <xf numFmtId="49" fontId="12" fillId="7" borderId="26" applyNumberFormat="1" applyFont="1" applyFill="1" applyBorder="1" applyAlignment="1" applyProtection="0">
      <alignment horizontal="center" vertical="center" wrapText="1"/>
    </xf>
    <xf numFmtId="49" fontId="12" fillId="7" borderId="27" applyNumberFormat="1" applyFont="1" applyFill="1" applyBorder="1" applyAlignment="1" applyProtection="0">
      <alignment horizontal="center" vertical="center" wrapText="1"/>
    </xf>
    <xf numFmtId="49" fontId="12" fillId="7" borderId="28" applyNumberFormat="1" applyFont="1" applyFill="1" applyBorder="1" applyAlignment="1" applyProtection="0">
      <alignment horizontal="center" vertical="center" wrapText="1"/>
    </xf>
    <xf numFmtId="49" fontId="12" fillId="30" borderId="23" applyNumberFormat="1" applyFont="1" applyFill="1" applyBorder="1" applyAlignment="1" applyProtection="0">
      <alignment horizontal="center" vertical="center" wrapText="1"/>
    </xf>
    <xf numFmtId="49" fontId="12" fillId="5" borderId="24" applyNumberFormat="1" applyFont="1" applyFill="1" applyBorder="1" applyAlignment="1" applyProtection="0">
      <alignment horizontal="center" vertical="center" wrapText="1"/>
    </xf>
    <xf numFmtId="60" fontId="12" fillId="24" borderId="24" applyNumberFormat="1" applyFont="1" applyFill="1" applyBorder="1" applyAlignment="1" applyProtection="0">
      <alignment horizontal="center" vertical="center" wrapText="1"/>
    </xf>
    <xf numFmtId="60" fontId="12" fillId="31" borderId="24" applyNumberFormat="1" applyFont="1" applyFill="1" applyBorder="1" applyAlignment="1" applyProtection="0">
      <alignment horizontal="center" vertical="center" wrapText="1"/>
    </xf>
    <xf numFmtId="60" fontId="12" fillId="5" borderId="25" applyNumberFormat="1" applyFont="1" applyFill="1" applyBorder="1" applyAlignment="1" applyProtection="0">
      <alignment horizontal="center" vertical="center" wrapText="1"/>
    </xf>
    <xf numFmtId="59" fontId="12" fillId="5" borderId="23" applyNumberFormat="1" applyFont="1" applyFill="1" applyBorder="1" applyAlignment="1" applyProtection="0">
      <alignment horizontal="center" vertical="center" wrapText="1"/>
    </xf>
    <xf numFmtId="60" fontId="12" fillId="5" borderId="24" applyNumberFormat="1" applyFont="1" applyFill="1" applyBorder="1" applyAlignment="1" applyProtection="0">
      <alignment horizontal="center" vertical="center" wrapText="1"/>
    </xf>
    <xf numFmtId="60" fontId="12" fillId="31" borderId="25" applyNumberFormat="1" applyFont="1" applyFill="1" applyBorder="1" applyAlignment="1" applyProtection="0">
      <alignment horizontal="center" vertical="center" wrapText="1"/>
    </xf>
    <xf numFmtId="0" fontId="0" borderId="29" applyNumberFormat="0" applyFont="1" applyFill="0" applyBorder="1" applyAlignment="1" applyProtection="0">
      <alignment vertical="top" wrapText="1"/>
    </xf>
    <xf numFmtId="0" fontId="12" fillId="5" borderId="30" applyNumberFormat="0" applyFont="1" applyFill="1" applyBorder="1" applyAlignment="1" applyProtection="0">
      <alignment horizontal="center" vertical="center" wrapText="1"/>
    </xf>
    <xf numFmtId="0" fontId="0" borderId="30" applyNumberFormat="0" applyFont="1" applyFill="0" applyBorder="1" applyAlignment="1" applyProtection="0">
      <alignment vertical="top" wrapText="1"/>
    </xf>
    <xf numFmtId="0" fontId="0" borderId="31" applyNumberFormat="0" applyFont="1" applyFill="0" applyBorder="1" applyAlignment="1" applyProtection="0">
      <alignment vertical="top" wrapText="1"/>
    </xf>
    <xf numFmtId="59" fontId="12" fillId="5" borderId="29" applyNumberFormat="1" applyFont="1" applyFill="1" applyBorder="1" applyAlignment="1" applyProtection="0">
      <alignment horizontal="center" vertical="center" wrapText="1"/>
    </xf>
    <xf numFmtId="60" fontId="12" fillId="5" borderId="30" applyNumberFormat="1" applyFont="1" applyFill="1" applyBorder="1" applyAlignment="1" applyProtection="0">
      <alignment horizontal="center" vertical="center" wrapText="1"/>
    </xf>
    <xf numFmtId="0" fontId="12" fillId="5" borderId="32" applyNumberFormat="0" applyFont="1" applyFill="1" applyBorder="1" applyAlignment="1" applyProtection="0">
      <alignment horizontal="center" vertical="center" wrapText="1"/>
    </xf>
    <xf numFmtId="0" fontId="0" borderId="32" applyNumberFormat="0" applyFont="1" applyFill="0" applyBorder="1" applyAlignment="1" applyProtection="0">
      <alignment vertical="top" wrapText="1"/>
    </xf>
    <xf numFmtId="59" fontId="12" fillId="5" borderId="33" applyNumberFormat="1" applyFont="1" applyFill="1" applyBorder="1" applyAlignment="1" applyProtection="0">
      <alignment horizontal="center" vertical="center" wrapText="1"/>
    </xf>
    <xf numFmtId="60" fontId="12" fillId="5" borderId="32" applyNumberFormat="1" applyFont="1" applyFill="1" applyBorder="1" applyAlignment="1" applyProtection="0">
      <alignment horizontal="center" vertical="center" wrapText="1"/>
    </xf>
    <xf numFmtId="49" fontId="12" fillId="5" borderId="34" applyNumberFormat="1" applyFont="1" applyFill="1" applyBorder="1" applyAlignment="1" applyProtection="0">
      <alignment horizontal="center" vertical="center" wrapText="1"/>
    </xf>
    <xf numFmtId="60" fontId="12" fillId="24" borderId="34" applyNumberFormat="1" applyFont="1" applyFill="1" applyBorder="1" applyAlignment="1" applyProtection="0">
      <alignment horizontal="center" vertical="center" wrapText="1"/>
    </xf>
    <xf numFmtId="59" fontId="12" fillId="5" borderId="35" applyNumberFormat="1" applyFont="1" applyFill="1" applyBorder="1" applyAlignment="1" applyProtection="0">
      <alignment horizontal="center" vertical="center" wrapText="1"/>
    </xf>
    <xf numFmtId="60" fontId="12" fillId="5" borderId="34" applyNumberFormat="1" applyFont="1" applyFill="1" applyBorder="1" applyAlignment="1" applyProtection="0">
      <alignment horizontal="center" vertical="center" wrapText="1"/>
    </xf>
    <xf numFmtId="0" fontId="0" borderId="26" applyNumberFormat="0" applyFont="1" applyFill="0" applyBorder="1" applyAlignment="1" applyProtection="0">
      <alignment vertical="top" wrapText="1"/>
    </xf>
    <xf numFmtId="0" fontId="12" fillId="5" borderId="27" applyNumberFormat="0" applyFont="1" applyFill="1" applyBorder="1" applyAlignment="1" applyProtection="0">
      <alignment horizontal="center" vertical="center" wrapText="1"/>
    </xf>
    <xf numFmtId="0" fontId="0" borderId="27" applyNumberFormat="0" applyFont="1" applyFill="0" applyBorder="1" applyAlignment="1" applyProtection="0">
      <alignment vertical="top" wrapText="1"/>
    </xf>
    <xf numFmtId="0" fontId="0" borderId="28" applyNumberFormat="0" applyFont="1" applyFill="0" applyBorder="1" applyAlignment="1" applyProtection="0">
      <alignment vertical="top" wrapText="1"/>
    </xf>
    <xf numFmtId="59" fontId="12" fillId="5" borderId="26" applyNumberFormat="1" applyFont="1" applyFill="1" applyBorder="1" applyAlignment="1" applyProtection="0">
      <alignment horizontal="center" vertical="center" wrapText="1"/>
    </xf>
    <xf numFmtId="60" fontId="12" fillId="5" borderId="27" applyNumberFormat="1" applyFont="1" applyFill="1" applyBorder="1" applyAlignment="1" applyProtection="0">
      <alignment horizontal="center" vertical="center" wrapText="1"/>
    </xf>
    <xf numFmtId="49" fontId="12" fillId="32" borderId="23" applyNumberFormat="1" applyFont="1" applyFill="1" applyBorder="1" applyAlignment="1" applyProtection="0">
      <alignment horizontal="center" vertical="center" wrapText="1"/>
    </xf>
    <xf numFmtId="49" fontId="12" fillId="5" borderId="36" applyNumberFormat="1" applyFont="1" applyFill="1" applyBorder="1" applyAlignment="1" applyProtection="0">
      <alignment horizontal="center" vertical="center" wrapText="1"/>
    </xf>
    <xf numFmtId="60" fontId="12" fillId="24" borderId="36" applyNumberFormat="1" applyFont="1" applyFill="1" applyBorder="1" applyAlignment="1" applyProtection="0">
      <alignment horizontal="center" vertical="center" wrapText="1"/>
    </xf>
    <xf numFmtId="60" fontId="12" fillId="33" borderId="24" applyNumberFormat="1" applyFont="1" applyFill="1" applyBorder="1" applyAlignment="1" applyProtection="0">
      <alignment horizontal="center" vertical="center" wrapText="1"/>
    </xf>
    <xf numFmtId="49" fontId="12" fillId="25" borderId="23" applyNumberFormat="1" applyFont="1" applyFill="1" applyBorder="1" applyAlignment="1" applyProtection="0">
      <alignment horizontal="center" vertical="center" wrapText="1"/>
    </xf>
    <xf numFmtId="49" fontId="12" fillId="25" borderId="24" applyNumberFormat="1" applyFont="1" applyFill="1" applyBorder="1" applyAlignment="1" applyProtection="0">
      <alignment horizontal="center" vertical="center" wrapText="1"/>
    </xf>
    <xf numFmtId="60" fontId="12" fillId="25" borderId="25" applyNumberFormat="1" applyFont="1" applyFill="1" applyBorder="1" applyAlignment="1" applyProtection="0">
      <alignment horizontal="center" vertical="center" wrapText="1"/>
    </xf>
    <xf numFmtId="0" fontId="0" borderId="34" applyNumberFormat="0" applyFont="1" applyFill="0" applyBorder="1" applyAlignment="1" applyProtection="0">
      <alignment vertical="top" wrapText="1"/>
    </xf>
    <xf numFmtId="59" fontId="12" fillId="34" borderId="29" applyNumberFormat="1" applyFont="1" applyFill="1" applyBorder="1" applyAlignment="1" applyProtection="0">
      <alignment horizontal="center" vertical="center" wrapText="1"/>
    </xf>
    <xf numFmtId="60" fontId="12" fillId="34" borderId="30" applyNumberFormat="1" applyFont="1" applyFill="1" applyBorder="1" applyAlignment="1" applyProtection="0">
      <alignment horizontal="center" vertical="center" wrapText="1"/>
    </xf>
    <xf numFmtId="60" fontId="12" fillId="33" borderId="31" applyNumberFormat="1" applyFont="1" applyFill="1" applyBorder="1" applyAlignment="1" applyProtection="0">
      <alignment horizontal="center" vertical="center" wrapText="1"/>
    </xf>
    <xf numFmtId="59" fontId="12" fillId="34" borderId="33" applyNumberFormat="1" applyFont="1" applyFill="1" applyBorder="1" applyAlignment="1" applyProtection="0">
      <alignment horizontal="center" vertical="center" wrapText="1"/>
    </xf>
    <xf numFmtId="60" fontId="12" fillId="34" borderId="32" applyNumberFormat="1" applyFont="1" applyFill="1" applyBorder="1" applyAlignment="1" applyProtection="0">
      <alignment horizontal="center" vertical="center" wrapText="1"/>
    </xf>
    <xf numFmtId="49" fontId="12" fillId="35" borderId="23" applyNumberFormat="1" applyFont="1" applyFill="1" applyBorder="1" applyAlignment="1" applyProtection="0">
      <alignment horizontal="center" vertical="center" wrapText="1"/>
    </xf>
    <xf numFmtId="60" fontId="12" fillId="35" borderId="24" applyNumberFormat="1" applyFont="1" applyFill="1" applyBorder="1" applyAlignment="1" applyProtection="0">
      <alignment horizontal="center" vertical="center" wrapText="1"/>
    </xf>
    <xf numFmtId="59" fontId="12" fillId="34" borderId="23" applyNumberFormat="1" applyFont="1" applyFill="1" applyBorder="1" applyAlignment="1" applyProtection="0">
      <alignment horizontal="center" vertical="center" wrapText="1"/>
    </xf>
    <xf numFmtId="60" fontId="12" fillId="34" borderId="24" applyNumberFormat="1" applyFont="1" applyFill="1" applyBorder="1" applyAlignment="1" applyProtection="0">
      <alignment horizontal="center" vertical="center" wrapText="1"/>
    </xf>
    <xf numFmtId="60" fontId="12" fillId="35" borderId="25" applyNumberFormat="1" applyFont="1" applyFill="1" applyBorder="1" applyAlignment="1" applyProtection="0">
      <alignment horizontal="center" vertical="center" wrapText="1"/>
    </xf>
    <xf numFmtId="0" fontId="0" borderId="37" applyNumberFormat="0" applyFont="1" applyFill="0" applyBorder="1" applyAlignment="1" applyProtection="0">
      <alignment vertical="top" wrapText="1"/>
    </xf>
    <xf numFmtId="49" fontId="12" fillId="36" borderId="23" applyNumberFormat="1" applyFont="1" applyFill="1" applyBorder="1" applyAlignment="1" applyProtection="0">
      <alignment horizontal="center" vertical="center" wrapText="1"/>
    </xf>
    <xf numFmtId="60" fontId="12" fillId="37" borderId="24" applyNumberFormat="1" applyFont="1" applyFill="1" applyBorder="1" applyAlignment="1" applyProtection="0">
      <alignment horizontal="center" vertical="center" wrapText="1"/>
    </xf>
    <xf numFmtId="60" fontId="12" borderId="24" applyNumberFormat="1" applyFont="1" applyFill="0" applyBorder="1" applyAlignment="1" applyProtection="0">
      <alignment horizontal="center" vertical="center" wrapText="1"/>
    </xf>
    <xf numFmtId="60" fontId="12" fillId="37" borderId="25" applyNumberFormat="1" applyFont="1" applyFill="1" applyBorder="1" applyAlignment="1" applyProtection="0">
      <alignment horizontal="center" vertical="center" wrapText="1"/>
    </xf>
    <xf numFmtId="60" fontId="12" borderId="38" applyNumberFormat="1" applyFont="1" applyFill="0" applyBorder="1" applyAlignment="1" applyProtection="0">
      <alignment horizontal="center" vertical="center" wrapText="1"/>
    </xf>
    <xf numFmtId="49" fontId="12" fillId="38" borderId="23" applyNumberFormat="1" applyFont="1" applyFill="1" applyBorder="1" applyAlignment="1" applyProtection="0">
      <alignment horizontal="center" vertical="center" wrapText="1"/>
    </xf>
    <xf numFmtId="60" fontId="12" fillId="39" borderId="24" applyNumberFormat="1" applyFont="1" applyFill="1" applyBorder="1" applyAlignment="1" applyProtection="0">
      <alignment horizontal="center" vertical="center" wrapText="1"/>
    </xf>
    <xf numFmtId="49" fontId="13" fillId="40" borderId="26" applyNumberFormat="1" applyFont="1" applyFill="1" applyBorder="1" applyAlignment="1" applyProtection="0">
      <alignment horizontal="right" vertical="center" wrapText="1"/>
    </xf>
    <xf numFmtId="60" fontId="12" fillId="12" borderId="27" applyNumberFormat="1" applyFont="1" applyFill="1" applyBorder="1" applyAlignment="1" applyProtection="0">
      <alignment horizontal="center" vertical="center" wrapText="1"/>
    </xf>
    <xf numFmtId="0" fontId="14" fillId="40" borderId="27" applyNumberFormat="0" applyFont="1" applyFill="1" applyBorder="1" applyAlignment="1" applyProtection="0">
      <alignment horizontal="center" vertical="center" wrapText="1"/>
    </xf>
    <xf numFmtId="0" fontId="14" fillId="40" borderId="28" applyNumberFormat="0" applyFont="1" applyFill="1" applyBorder="1" applyAlignment="1" applyProtection="0">
      <alignment horizontal="center" vertical="center" wrapText="1"/>
    </xf>
    <xf numFmtId="49" fontId="10" fillId="40" borderId="26" applyNumberFormat="1" applyFont="1" applyFill="1" applyBorder="1" applyAlignment="1" applyProtection="0">
      <alignment horizontal="right" vertical="center" wrapText="1"/>
    </xf>
    <xf numFmtId="49" fontId="15" fillId="40" borderId="27" applyNumberFormat="1" applyFont="1" applyFill="1" applyBorder="1" applyAlignment="1" applyProtection="0">
      <alignment horizontal="right" vertical="center" wrapText="1"/>
    </xf>
    <xf numFmtId="60" fontId="12" fillId="12" borderId="28" applyNumberFormat="1" applyFont="1" applyFill="1" applyBorder="1" applyAlignment="1" applyProtection="0">
      <alignment horizontal="center" vertical="center" wrapText="1"/>
    </xf>
    <xf numFmtId="0" fontId="16" applyNumberFormat="1" applyFont="1" applyFill="0" applyBorder="0" applyAlignment="1" applyProtection="0">
      <alignment horizontal="left" vertical="top" wrapText="1"/>
    </xf>
    <xf numFmtId="49" fontId="15" fillId="7" borderId="39" applyNumberFormat="1" applyFont="1" applyFill="1" applyBorder="1" applyAlignment="1" applyProtection="0">
      <alignment horizontal="center" vertical="center" wrapText="1"/>
    </xf>
    <xf numFmtId="0" fontId="17" fillId="41" borderId="40" applyNumberFormat="0" applyFont="1" applyFill="1" applyBorder="1" applyAlignment="1" applyProtection="0">
      <alignment horizontal="center" vertical="center" wrapText="1"/>
    </xf>
    <xf numFmtId="0" fontId="17" fillId="41" borderId="41" applyNumberFormat="0" applyFont="1" applyFill="1" applyBorder="1" applyAlignment="1" applyProtection="0">
      <alignment horizontal="center" vertical="center" wrapText="1"/>
    </xf>
    <xf numFmtId="49" fontId="15" fillId="17" borderId="39" applyNumberFormat="1" applyFont="1" applyFill="1" applyBorder="1" applyAlignment="1" applyProtection="0">
      <alignment horizontal="center" vertical="center" wrapText="1"/>
    </xf>
    <xf numFmtId="0" fontId="16" fillId="42" borderId="42" applyNumberFormat="0" applyFont="1" applyFill="1" applyBorder="1" applyAlignment="1" applyProtection="0">
      <alignment horizontal="left" vertical="top" wrapText="1"/>
    </xf>
    <xf numFmtId="49" fontId="15" fillId="25" borderId="43" applyNumberFormat="1" applyFont="1" applyFill="1" applyBorder="1" applyAlignment="1" applyProtection="0">
      <alignment horizontal="center" vertical="center" wrapText="1"/>
    </xf>
    <xf numFmtId="49" fontId="15" fillId="27" borderId="44" applyNumberFormat="1" applyFont="1" applyFill="1" applyBorder="1" applyAlignment="1" applyProtection="0">
      <alignment horizontal="center" vertical="center" wrapText="1"/>
    </xf>
    <xf numFmtId="49" fontId="15" fillId="27" borderId="10" applyNumberFormat="1" applyFont="1" applyFill="1" applyBorder="1" applyAlignment="1" applyProtection="0">
      <alignment horizontal="center" vertical="center" wrapText="1"/>
    </xf>
    <xf numFmtId="49" fontId="15" fillId="27" borderId="45" applyNumberFormat="1" applyFont="1" applyFill="1" applyBorder="1" applyAlignment="1" applyProtection="0">
      <alignment horizontal="center" vertical="center" wrapText="1"/>
    </xf>
    <xf numFmtId="0" fontId="16" fillId="43" borderId="46" applyNumberFormat="0" applyFont="1" applyFill="1" applyBorder="1" applyAlignment="1" applyProtection="0">
      <alignment horizontal="left" vertical="top" wrapText="1"/>
    </xf>
    <xf numFmtId="49" fontId="15" borderId="47" applyNumberFormat="1" applyFont="1" applyFill="0" applyBorder="1" applyAlignment="1" applyProtection="0">
      <alignment horizontal="center" vertical="center" wrapText="1"/>
    </xf>
    <xf numFmtId="59" fontId="15" borderId="6" applyNumberFormat="1" applyFont="1" applyFill="0" applyBorder="1" applyAlignment="1" applyProtection="0">
      <alignment horizontal="center" vertical="center" wrapText="1"/>
    </xf>
    <xf numFmtId="60" fontId="15" borderId="46" applyNumberFormat="1" applyFont="1" applyFill="0" applyBorder="1" applyAlignment="1" applyProtection="0">
      <alignment horizontal="center" vertical="center" wrapText="1"/>
    </xf>
    <xf numFmtId="59" fontId="18" borderId="47" applyNumberFormat="1" applyFont="1" applyFill="0" applyBorder="1" applyAlignment="1" applyProtection="0">
      <alignment horizontal="center" vertical="center" wrapText="1"/>
    </xf>
    <xf numFmtId="60" fontId="18" borderId="6" applyNumberFormat="1" applyFont="1" applyFill="0" applyBorder="1" applyAlignment="1" applyProtection="0">
      <alignment horizontal="center" vertical="center" wrapText="1"/>
    </xf>
    <xf numFmtId="60" fontId="18" borderId="46" applyNumberFormat="1" applyFont="1" applyFill="0" applyBorder="1" applyAlignment="1" applyProtection="0">
      <alignment horizontal="center" vertical="center" wrapText="1"/>
    </xf>
    <xf numFmtId="49" fontId="15" borderId="48" applyNumberFormat="1" applyFont="1" applyFill="0" applyBorder="1" applyAlignment="1" applyProtection="0">
      <alignment horizontal="center" vertical="center" wrapText="1"/>
    </xf>
    <xf numFmtId="59" fontId="15" borderId="49" applyNumberFormat="1" applyFont="1" applyFill="0" applyBorder="1" applyAlignment="1" applyProtection="0">
      <alignment horizontal="center" vertical="center" wrapText="1"/>
    </xf>
    <xf numFmtId="60" fontId="15" borderId="50" applyNumberFormat="1" applyFont="1" applyFill="0" applyBorder="1" applyAlignment="1" applyProtection="0">
      <alignment horizontal="center" vertical="center" wrapText="1"/>
    </xf>
    <xf numFmtId="59" fontId="18" borderId="48" applyNumberFormat="1" applyFont="1" applyFill="0" applyBorder="1" applyAlignment="1" applyProtection="0">
      <alignment horizontal="center" vertical="center" wrapText="1"/>
    </xf>
    <xf numFmtId="60" fontId="18" borderId="49" applyNumberFormat="1" applyFont="1" applyFill="0" applyBorder="1" applyAlignment="1" applyProtection="0">
      <alignment horizontal="center" vertical="center" wrapText="1"/>
    </xf>
    <xf numFmtId="60" fontId="18" borderId="50" applyNumberFormat="1" applyFont="1" applyFill="0" applyBorder="1" applyAlignment="1" applyProtection="0">
      <alignment horizontal="center" vertical="center" wrapText="1"/>
    </xf>
    <xf numFmtId="0" fontId="15" borderId="51" applyNumberFormat="0" applyFont="1" applyFill="0" applyBorder="1" applyAlignment="1" applyProtection="0">
      <alignment horizontal="center" vertical="center" wrapText="1"/>
    </xf>
    <xf numFmtId="59" fontId="15" borderId="52" applyNumberFormat="1" applyFont="1" applyFill="0" applyBorder="1" applyAlignment="1" applyProtection="0">
      <alignment horizontal="center" vertical="center" wrapText="1"/>
    </xf>
    <xf numFmtId="60" fontId="15" borderId="53" applyNumberFormat="1" applyFont="1" applyFill="0" applyBorder="1" applyAlignment="1" applyProtection="0">
      <alignment horizontal="center" vertical="center" wrapText="1"/>
    </xf>
    <xf numFmtId="59" fontId="18" borderId="51" applyNumberFormat="1" applyFont="1" applyFill="0" applyBorder="1" applyAlignment="1" applyProtection="0">
      <alignment horizontal="center" vertical="center" wrapText="1"/>
    </xf>
    <xf numFmtId="60" fontId="18" borderId="52" applyNumberFormat="1" applyFont="1" applyFill="0" applyBorder="1" applyAlignment="1" applyProtection="0">
      <alignment horizontal="center" vertical="center" wrapText="1"/>
    </xf>
    <xf numFmtId="60" fontId="18" borderId="53" applyNumberFormat="1" applyFont="1" applyFill="0" applyBorder="1" applyAlignment="1" applyProtection="0">
      <alignment horizontal="center" vertical="center" wrapText="1"/>
    </xf>
    <xf numFmtId="0" fontId="15" fillId="7" borderId="47" applyNumberFormat="0" applyFont="1" applyFill="1" applyBorder="1" applyAlignment="1" applyProtection="0">
      <alignment horizontal="center" vertical="center" wrapText="1"/>
    </xf>
    <xf numFmtId="59" fontId="15" fillId="7" borderId="6" applyNumberFormat="1" applyFont="1" applyFill="1" applyBorder="1" applyAlignment="1" applyProtection="0">
      <alignment horizontal="center" vertical="center" wrapText="1"/>
    </xf>
    <xf numFmtId="60" fontId="15" fillId="7" borderId="46" applyNumberFormat="1" applyFont="1" applyFill="1" applyBorder="1" applyAlignment="1" applyProtection="0">
      <alignment horizontal="center" vertical="center" wrapText="1"/>
    </xf>
    <xf numFmtId="59" fontId="18" fillId="7" borderId="47" applyNumberFormat="1" applyFont="1" applyFill="1" applyBorder="1" applyAlignment="1" applyProtection="0">
      <alignment horizontal="center" vertical="center" wrapText="1"/>
    </xf>
    <xf numFmtId="60" fontId="18" fillId="7" borderId="6" applyNumberFormat="1" applyFont="1" applyFill="1" applyBorder="1" applyAlignment="1" applyProtection="0">
      <alignment horizontal="center" vertical="center" wrapText="1"/>
    </xf>
    <xf numFmtId="60" fontId="18" fillId="7" borderId="46" applyNumberFormat="1" applyFont="1" applyFill="1" applyBorder="1" applyAlignment="1" applyProtection="0">
      <alignment horizontal="center" vertical="center" wrapText="1"/>
    </xf>
    <xf numFmtId="49" fontId="19" borderId="47" applyNumberFormat="1" applyFont="1" applyFill="0" applyBorder="1" applyAlignment="1" applyProtection="0">
      <alignment horizontal="center" vertical="center" wrapText="1"/>
    </xf>
    <xf numFmtId="59" fontId="19" borderId="6" applyNumberFormat="1" applyFont="1" applyFill="0" applyBorder="1" applyAlignment="1" applyProtection="0">
      <alignment horizontal="center" vertical="center" wrapText="1"/>
    </xf>
    <xf numFmtId="49" fontId="19" borderId="48" applyNumberFormat="1" applyFont="1" applyFill="0" applyBorder="1" applyAlignment="1" applyProtection="0">
      <alignment horizontal="center" vertical="center" wrapText="1"/>
    </xf>
    <xf numFmtId="59" fontId="19" borderId="49" applyNumberFormat="1" applyFont="1" applyFill="0" applyBorder="1" applyAlignment="1" applyProtection="0">
      <alignment horizontal="center" vertical="center" wrapText="1"/>
    </xf>
    <xf numFmtId="49" fontId="15" fillId="27" borderId="54" applyNumberFormat="1" applyFont="1" applyFill="1" applyBorder="1" applyAlignment="1" applyProtection="0">
      <alignment horizontal="center" vertical="center" wrapText="1" readingOrder="1"/>
    </xf>
    <xf numFmtId="0" fontId="20" fillId="41" borderId="55" applyNumberFormat="0" applyFont="1" applyFill="1" applyBorder="1" applyAlignment="1" applyProtection="0">
      <alignment horizontal="center" vertical="center" wrapText="1"/>
    </xf>
    <xf numFmtId="60" fontId="15" fillId="24" borderId="56" applyNumberFormat="1" applyFont="1" applyFill="1" applyBorder="1" applyAlignment="1" applyProtection="0">
      <alignment horizontal="center" vertical="center" wrapText="1"/>
    </xf>
    <xf numFmtId="60" fontId="15" fillId="24" borderId="54" applyNumberFormat="1" applyFont="1" applyFill="1" applyBorder="1" applyAlignment="1" applyProtection="0">
      <alignment horizontal="center" vertical="center" wrapText="1"/>
    </xf>
    <xf numFmtId="60" fontId="15" fillId="24" borderId="55" applyNumberFormat="1" applyFont="1" applyFill="1" applyBorder="1" applyAlignment="1" applyProtection="0">
      <alignment horizontal="center" vertical="center" wrapText="1"/>
    </xf>
    <xf numFmtId="0" fontId="16" applyNumberFormat="1" applyFont="1" applyFill="0" applyBorder="0" applyAlignment="1" applyProtection="0">
      <alignment horizontal="left" vertical="top" wrapText="1"/>
    </xf>
    <xf numFmtId="49" fontId="15" fillId="7" borderId="57" applyNumberFormat="1" applyFont="1" applyFill="1" applyBorder="1" applyAlignment="1" applyProtection="0">
      <alignment horizontal="center" vertical="center" wrapText="1"/>
    </xf>
    <xf numFmtId="0" fontId="17" fillId="41" borderId="58" applyNumberFormat="0" applyFont="1" applyFill="1" applyBorder="1" applyAlignment="1" applyProtection="0">
      <alignment horizontal="center" vertical="center" wrapText="1"/>
    </xf>
    <xf numFmtId="0" fontId="17" fillId="41" borderId="59" applyNumberFormat="0" applyFont="1" applyFill="1" applyBorder="1" applyAlignment="1" applyProtection="0">
      <alignment horizontal="center" vertical="center" wrapText="1"/>
    </xf>
    <xf numFmtId="49" fontId="15" fillId="17" borderId="60" applyNumberFormat="1" applyFont="1" applyFill="1" applyBorder="1" applyAlignment="1" applyProtection="0">
      <alignment horizontal="center" vertical="center" wrapText="1"/>
    </xf>
    <xf numFmtId="0" fontId="16" fillId="42" borderId="61" applyNumberFormat="0" applyFont="1" applyFill="1" applyBorder="1" applyAlignment="1" applyProtection="0">
      <alignment horizontal="left" vertical="top" wrapText="1"/>
    </xf>
    <xf numFmtId="0" fontId="16" fillId="42" borderId="62" applyNumberFormat="0" applyFont="1" applyFill="1" applyBorder="1" applyAlignment="1" applyProtection="0">
      <alignment horizontal="left" vertical="top" wrapText="1"/>
    </xf>
    <xf numFmtId="49" fontId="15" fillId="27" borderId="63" applyNumberFormat="1" applyFont="1" applyFill="1" applyBorder="1" applyAlignment="1" applyProtection="0">
      <alignment horizontal="center" vertical="center" wrapText="1"/>
    </xf>
    <xf numFmtId="49" fontId="15" fillId="27" borderId="64" applyNumberFormat="1" applyFont="1" applyFill="1" applyBorder="1" applyAlignment="1" applyProtection="0">
      <alignment horizontal="center" vertical="center" wrapText="1"/>
    </xf>
    <xf numFmtId="49" fontId="15" fillId="27" borderId="65" applyNumberFormat="1" applyFont="1" applyFill="1" applyBorder="1" applyAlignment="1" applyProtection="0">
      <alignment horizontal="center" vertical="center" wrapText="1"/>
    </xf>
    <xf numFmtId="49" fontId="15" fillId="27" borderId="66" applyNumberFormat="1" applyFont="1" applyFill="1" applyBorder="1" applyAlignment="1" applyProtection="0">
      <alignment horizontal="center" vertical="center" wrapText="1"/>
    </xf>
    <xf numFmtId="59" fontId="15" borderId="67" applyNumberFormat="1" applyFont="1" applyFill="0" applyBorder="1" applyAlignment="1" applyProtection="0">
      <alignment horizontal="center" vertical="center" wrapText="1"/>
    </xf>
    <xf numFmtId="60" fontId="15" borderId="68" applyNumberFormat="1" applyFont="1" applyFill="0" applyBorder="1" applyAlignment="1" applyProtection="0">
      <alignment horizontal="center" vertical="center" wrapText="1"/>
    </xf>
    <xf numFmtId="59" fontId="18" borderId="69" applyNumberFormat="1" applyFont="1" applyFill="0" applyBorder="1" applyAlignment="1" applyProtection="0">
      <alignment horizontal="center" vertical="center" wrapText="1"/>
    </xf>
    <xf numFmtId="0" fontId="18" borderId="70" applyNumberFormat="1" applyFont="1" applyFill="0" applyBorder="1" applyAlignment="1" applyProtection="0">
      <alignment horizontal="center" vertical="center" wrapText="1"/>
    </xf>
    <xf numFmtId="60" fontId="18" borderId="71" applyNumberFormat="1" applyFont="1" applyFill="0" applyBorder="1" applyAlignment="1" applyProtection="0">
      <alignment horizontal="center" vertical="center" wrapText="1"/>
    </xf>
    <xf numFmtId="0" fontId="16" fillId="43" borderId="72" applyNumberFormat="0" applyFont="1" applyFill="1" applyBorder="1" applyAlignment="1" applyProtection="0">
      <alignment horizontal="left" vertical="top" wrapText="1"/>
    </xf>
    <xf numFmtId="0" fontId="16" fillId="43" borderId="73" applyNumberFormat="0" applyFont="1" applyFill="1" applyBorder="1" applyAlignment="1" applyProtection="0">
      <alignment horizontal="left" vertical="top" wrapText="1"/>
    </xf>
    <xf numFmtId="0" fontId="16" fillId="43" borderId="74" applyNumberFormat="0" applyFont="1" applyFill="1" applyBorder="1" applyAlignment="1" applyProtection="0">
      <alignment horizontal="left" vertical="top" wrapText="1"/>
    </xf>
    <xf numFmtId="59" fontId="18" borderId="75" applyNumberFormat="1" applyFont="1" applyFill="0" applyBorder="1" applyAlignment="1" applyProtection="0">
      <alignment horizontal="center" vertical="center" wrapText="1"/>
    </xf>
    <xf numFmtId="0" fontId="18" borderId="6" applyNumberFormat="1" applyFont="1" applyFill="0" applyBorder="1" applyAlignment="1" applyProtection="0">
      <alignment horizontal="center" vertical="center" wrapText="1"/>
    </xf>
    <xf numFmtId="60" fontId="18" borderId="76" applyNumberFormat="1" applyFont="1" applyFill="0" applyBorder="1" applyAlignment="1" applyProtection="0">
      <alignment horizontal="center" vertical="center" wrapText="1"/>
    </xf>
    <xf numFmtId="0" fontId="16" fillId="42" borderId="72" applyNumberFormat="0" applyFont="1" applyFill="1" applyBorder="1" applyAlignment="1" applyProtection="0">
      <alignment horizontal="left" vertical="top" wrapText="1"/>
    </xf>
    <xf numFmtId="0" fontId="16" fillId="42" borderId="73" applyNumberFormat="0" applyFont="1" applyFill="1" applyBorder="1" applyAlignment="1" applyProtection="0">
      <alignment horizontal="left" vertical="top" wrapText="1"/>
    </xf>
    <xf numFmtId="0" fontId="16" fillId="42" borderId="74" applyNumberFormat="0" applyFont="1" applyFill="1" applyBorder="1" applyAlignment="1" applyProtection="0">
      <alignment horizontal="left" vertical="top" wrapText="1"/>
    </xf>
    <xf numFmtId="0" fontId="16" fillId="43" borderId="77" applyNumberFormat="0" applyFont="1" applyFill="1" applyBorder="1" applyAlignment="1" applyProtection="0">
      <alignment horizontal="left" vertical="top" wrapText="1"/>
    </xf>
    <xf numFmtId="0" fontId="16" fillId="43" borderId="78" applyNumberFormat="0" applyFont="1" applyFill="1" applyBorder="1" applyAlignment="1" applyProtection="0">
      <alignment horizontal="left" vertical="top" wrapText="1"/>
    </xf>
    <xf numFmtId="0" fontId="16" fillId="43" borderId="79" applyNumberFormat="0" applyFont="1" applyFill="1" applyBorder="1" applyAlignment="1" applyProtection="0">
      <alignment horizontal="left" vertical="top" wrapText="1"/>
    </xf>
    <xf numFmtId="59" fontId="18" borderId="80" applyNumberFormat="1" applyFont="1" applyFill="0" applyBorder="1" applyAlignment="1" applyProtection="0">
      <alignment horizontal="center" vertical="center" wrapText="1"/>
    </xf>
    <xf numFmtId="0" fontId="18" borderId="81" applyNumberFormat="1" applyFont="1" applyFill="0" applyBorder="1" applyAlignment="1" applyProtection="0">
      <alignment horizontal="center" vertical="center" wrapText="1"/>
    </xf>
    <xf numFmtId="60" fontId="18" borderId="82" applyNumberFormat="1" applyFont="1" applyFill="0" applyBorder="1" applyAlignment="1" applyProtection="0">
      <alignment horizontal="center" vertical="center" wrapText="1"/>
    </xf>
    <xf numFmtId="59" fontId="15" borderId="64" applyNumberFormat="1" applyFont="1" applyFill="0" applyBorder="1" applyAlignment="1" applyProtection="0">
      <alignment horizontal="center" vertical="center" wrapText="1"/>
    </xf>
    <xf numFmtId="60" fontId="15" borderId="65" applyNumberFormat="1" applyFont="1" applyFill="0" applyBorder="1" applyAlignment="1" applyProtection="0">
      <alignment horizontal="center" vertical="center" wrapText="1"/>
    </xf>
    <xf numFmtId="59" fontId="18" borderId="63" applyNumberFormat="1" applyFont="1" applyFill="0" applyBorder="1" applyAlignment="1" applyProtection="0">
      <alignment horizontal="center" vertical="center" wrapText="1"/>
    </xf>
    <xf numFmtId="0" fontId="18" borderId="64" applyNumberFormat="1" applyFont="1" applyFill="0" applyBorder="1" applyAlignment="1" applyProtection="0">
      <alignment horizontal="center" vertical="center" wrapText="1"/>
    </xf>
    <xf numFmtId="60" fontId="18" borderId="65" applyNumberFormat="1" applyFont="1" applyFill="0" applyBorder="1" applyAlignment="1" applyProtection="0">
      <alignment horizontal="center" vertical="center" wrapText="1"/>
    </xf>
    <xf numFmtId="59" fontId="18" fillId="12" borderId="63" applyNumberFormat="1" applyFont="1" applyFill="1" applyBorder="1" applyAlignment="1" applyProtection="0">
      <alignment horizontal="center" vertical="center" wrapText="1"/>
    </xf>
    <xf numFmtId="0" fontId="18" fillId="12" borderId="64" applyNumberFormat="1" applyFont="1" applyFill="1" applyBorder="1" applyAlignment="1" applyProtection="0">
      <alignment horizontal="center" vertical="center" wrapText="1"/>
    </xf>
    <xf numFmtId="49" fontId="15" fillId="27" borderId="63" applyNumberFormat="1" applyFont="1" applyFill="1" applyBorder="1" applyAlignment="1" applyProtection="0">
      <alignment horizontal="center" vertical="center" wrapText="1" readingOrder="1"/>
    </xf>
    <xf numFmtId="0" fontId="20" fillId="41" borderId="64" applyNumberFormat="0" applyFont="1" applyFill="1" applyBorder="1" applyAlignment="1" applyProtection="0">
      <alignment horizontal="center" vertical="center" wrapText="1"/>
    </xf>
    <xf numFmtId="60" fontId="15" fillId="24" borderId="65" applyNumberFormat="1" applyFont="1" applyFill="1" applyBorder="1" applyAlignment="1" applyProtection="0">
      <alignment horizontal="center" vertical="center" wrapText="1"/>
    </xf>
    <xf numFmtId="0" fontId="15" fillId="7" borderId="63" applyNumberFormat="0" applyFont="1" applyFill="1" applyBorder="1" applyAlignment="1" applyProtection="0">
      <alignment horizontal="center" vertical="center" wrapText="1"/>
    </xf>
    <xf numFmtId="0" fontId="16" fillId="42" borderId="64" applyNumberFormat="0" applyFont="1" applyFill="1" applyBorder="1" applyAlignment="1" applyProtection="0">
      <alignment horizontal="left" vertical="top" wrapText="1"/>
    </xf>
    <xf numFmtId="0" fontId="16" applyNumberFormat="1" applyFont="1" applyFill="0" applyBorder="0" applyAlignment="1" applyProtection="0">
      <alignment horizontal="left" vertical="top" wrapText="1"/>
    </xf>
    <xf numFmtId="49" fontId="15" fillId="44" borderId="57" applyNumberFormat="1" applyFont="1" applyFill="1" applyBorder="1" applyAlignment="1" applyProtection="0">
      <alignment horizontal="center" vertical="center" wrapText="1"/>
    </xf>
    <xf numFmtId="0" fontId="15" borderId="83" applyNumberFormat="0" applyFont="1" applyFill="0" applyBorder="1" applyAlignment="1" applyProtection="0">
      <alignment horizontal="center" vertical="center" wrapText="1"/>
    </xf>
    <xf numFmtId="49" fontId="15" fillId="45" borderId="60" applyNumberFormat="1" applyFont="1" applyFill="1" applyBorder="1" applyAlignment="1" applyProtection="0">
      <alignment horizontal="center" vertical="center" wrapText="1"/>
    </xf>
    <xf numFmtId="0" fontId="15" borderId="84" applyNumberFormat="0" applyFont="1" applyFill="0" applyBorder="1" applyAlignment="1" applyProtection="0">
      <alignment horizontal="center" vertical="center" wrapText="1"/>
    </xf>
    <xf numFmtId="0" fontId="15" borderId="85" applyNumberFormat="0" applyFont="1" applyFill="0" applyBorder="1" applyAlignment="1" applyProtection="0">
      <alignment horizontal="center" vertical="center" wrapText="1"/>
    </xf>
    <xf numFmtId="49" fontId="15" fillId="7" borderId="63" applyNumberFormat="1" applyFont="1" applyFill="1" applyBorder="1" applyAlignment="1" applyProtection="0">
      <alignment horizontal="center" vertical="center" wrapText="1"/>
    </xf>
    <xf numFmtId="49" fontId="15" fillId="7" borderId="64" applyNumberFormat="1" applyFont="1" applyFill="1" applyBorder="1" applyAlignment="1" applyProtection="0">
      <alignment horizontal="center" vertical="center" wrapText="1"/>
    </xf>
    <xf numFmtId="49" fontId="15" fillId="7" borderId="65" applyNumberFormat="1" applyFont="1" applyFill="1" applyBorder="1" applyAlignment="1" applyProtection="0">
      <alignment horizontal="center" vertical="center" wrapText="1"/>
    </xf>
    <xf numFmtId="49" fontId="21" borderId="86" applyNumberFormat="1" applyFont="1" applyFill="0" applyBorder="1" applyAlignment="1" applyProtection="0">
      <alignment horizontal="center" vertical="center" wrapText="1"/>
    </xf>
    <xf numFmtId="49" fontId="21" borderId="87" applyNumberFormat="1" applyFont="1" applyFill="0" applyBorder="1" applyAlignment="1" applyProtection="0">
      <alignment horizontal="center" vertical="center" wrapText="1"/>
    </xf>
    <xf numFmtId="49" fontId="19" borderId="88" applyNumberFormat="1" applyFont="1" applyFill="0" applyBorder="1" applyAlignment="1" applyProtection="0">
      <alignment horizontal="center" vertical="center" wrapText="1"/>
    </xf>
    <xf numFmtId="59" fontId="19" borderId="64" applyNumberFormat="1" applyFont="1" applyFill="0" applyBorder="1" applyAlignment="1" applyProtection="0">
      <alignment horizontal="center" vertical="center" wrapText="1"/>
    </xf>
    <xf numFmtId="60" fontId="21" fillId="5" borderId="62" applyNumberFormat="1" applyFont="1" applyFill="1" applyBorder="1" applyAlignment="1" applyProtection="0">
      <alignment horizontal="center" vertical="center" wrapText="1"/>
    </xf>
    <xf numFmtId="49" fontId="18" borderId="63" applyNumberFormat="1" applyFont="1" applyFill="0" applyBorder="1" applyAlignment="1" applyProtection="0">
      <alignment horizontal="center" vertical="center" wrapText="1"/>
    </xf>
    <xf numFmtId="49" fontId="18" borderId="64" applyNumberFormat="1" applyFont="1" applyFill="0" applyBorder="1" applyAlignment="1" applyProtection="0">
      <alignment horizontal="center" vertical="center" wrapText="1"/>
    </xf>
    <xf numFmtId="60" fontId="21" borderId="89" applyNumberFormat="1" applyFont="1" applyFill="0" applyBorder="1" applyAlignment="1" applyProtection="0">
      <alignment horizontal="center" vertical="center" wrapText="1"/>
    </xf>
    <xf numFmtId="60" fontId="19" borderId="89" applyNumberFormat="1" applyFont="1" applyFill="0" applyBorder="1" applyAlignment="1" applyProtection="0">
      <alignment horizontal="center" vertical="center" wrapText="1"/>
    </xf>
    <xf numFmtId="49" fontId="15" fillId="27" borderId="90" applyNumberFormat="1" applyFont="1" applyFill="1" applyBorder="1" applyAlignment="1" applyProtection="0">
      <alignment horizontal="center" vertical="center" wrapText="1"/>
    </xf>
    <xf numFmtId="59" fontId="19" borderId="91" applyNumberFormat="1" applyFont="1" applyFill="0" applyBorder="1" applyAlignment="1" applyProtection="0">
      <alignment horizontal="center" vertical="center" wrapText="1"/>
    </xf>
    <xf numFmtId="60" fontId="15" borderId="92" applyNumberFormat="1" applyFont="1" applyFill="0" applyBorder="1" applyAlignment="1" applyProtection="0">
      <alignment horizontal="center" vertical="center" wrapText="1"/>
    </xf>
    <xf numFmtId="0" fontId="16" fillId="43" borderId="93" applyNumberFormat="0" applyFont="1" applyFill="1" applyBorder="1" applyAlignment="1" applyProtection="0">
      <alignment horizontal="left" vertical="top" wrapText="1"/>
    </xf>
    <xf numFmtId="49" fontId="18" borderId="70" applyNumberFormat="1" applyFont="1" applyFill="0" applyBorder="1" applyAlignment="1" applyProtection="0">
      <alignment horizontal="center" vertical="center" wrapText="1"/>
    </xf>
    <xf numFmtId="0" fontId="16" fillId="43" borderId="94" applyNumberFormat="0" applyFont="1" applyFill="1" applyBorder="1" applyAlignment="1" applyProtection="0">
      <alignment horizontal="left" vertical="top" wrapText="1"/>
    </xf>
    <xf numFmtId="0" fontId="15" fillId="27" borderId="95" applyNumberFormat="0" applyFont="1" applyFill="1" applyBorder="1" applyAlignment="1" applyProtection="0">
      <alignment horizontal="center" vertical="center" wrapText="1"/>
    </xf>
    <xf numFmtId="59" fontId="15" borderId="96" applyNumberFormat="1" applyFont="1" applyFill="0" applyBorder="1" applyAlignment="1" applyProtection="0">
      <alignment horizontal="center" vertical="center" wrapText="1"/>
    </xf>
    <xf numFmtId="60" fontId="15" borderId="97" applyNumberFormat="1" applyFont="1" applyFill="0" applyBorder="1" applyAlignment="1" applyProtection="0">
      <alignment horizontal="center" vertical="center" wrapText="1"/>
    </xf>
    <xf numFmtId="0" fontId="16" fillId="42" borderId="98" applyNumberFormat="0" applyFont="1" applyFill="1" applyBorder="1" applyAlignment="1" applyProtection="0">
      <alignment horizontal="left" vertical="top" wrapText="1"/>
    </xf>
    <xf numFmtId="49" fontId="18" borderId="81" applyNumberFormat="1" applyFont="1" applyFill="0" applyBorder="1" applyAlignment="1" applyProtection="0">
      <alignment horizontal="center" vertical="center" wrapText="1"/>
    </xf>
    <xf numFmtId="0" fontId="16" fillId="42" borderId="94" applyNumberFormat="0" applyFont="1" applyFill="1" applyBorder="1" applyAlignment="1" applyProtection="0">
      <alignment horizontal="left" vertical="top" wrapText="1"/>
    </xf>
    <xf numFmtId="0" fontId="15" fillId="27" borderId="99" applyNumberFormat="0" applyFont="1" applyFill="1" applyBorder="1" applyAlignment="1" applyProtection="0">
      <alignment horizontal="center" vertical="center" wrapText="1"/>
    </xf>
    <xf numFmtId="59" fontId="15" borderId="100" applyNumberFormat="1" applyFont="1" applyFill="0" applyBorder="1" applyAlignment="1" applyProtection="0">
      <alignment horizontal="center" vertical="center" wrapText="1"/>
    </xf>
    <xf numFmtId="60" fontId="15" borderId="101" applyNumberFormat="1" applyFont="1" applyFill="0" applyBorder="1" applyAlignment="1" applyProtection="0">
      <alignment horizontal="center" vertical="center" wrapText="1"/>
    </xf>
    <xf numFmtId="0" fontId="16" fillId="42" borderId="102" applyNumberFormat="0" applyFont="1" applyFill="1" applyBorder="1" applyAlignment="1" applyProtection="0">
      <alignment horizontal="left" vertical="top" wrapText="1"/>
    </xf>
    <xf numFmtId="49" fontId="18" borderId="6" applyNumberFormat="1" applyFont="1" applyFill="0" applyBorder="1" applyAlignment="1" applyProtection="0">
      <alignment horizontal="center" vertical="center" wrapText="1"/>
    </xf>
    <xf numFmtId="0" fontId="16" fillId="43" borderId="98" applyNumberFormat="0" applyFont="1" applyFill="1" applyBorder="1" applyAlignment="1" applyProtection="0">
      <alignment horizontal="left" vertical="top" wrapText="1"/>
    </xf>
    <xf numFmtId="0" fontId="16" fillId="43" borderId="103" applyNumberFormat="0" applyFont="1" applyFill="1" applyBorder="1" applyAlignment="1" applyProtection="0">
      <alignment horizontal="left" vertical="top" wrapText="1"/>
    </xf>
    <xf numFmtId="59" fontId="15" borderId="91" applyNumberFormat="1" applyFont="1" applyFill="0" applyBorder="1" applyAlignment="1" applyProtection="0">
      <alignment horizontal="center" vertical="center" wrapText="1"/>
    </xf>
    <xf numFmtId="60" fontId="15" borderId="93" applyNumberFormat="1" applyFont="1" applyFill="0" applyBorder="1" applyAlignment="1" applyProtection="0">
      <alignment horizontal="center" vertical="center" wrapText="1"/>
    </xf>
    <xf numFmtId="60" fontId="15" borderId="104" applyNumberFormat="1" applyFont="1" applyFill="0" applyBorder="1" applyAlignment="1" applyProtection="0">
      <alignment horizontal="center" vertical="center" wrapText="1"/>
    </xf>
    <xf numFmtId="60" fontId="15" borderId="105" applyNumberFormat="1" applyFont="1" applyFill="0" applyBorder="1" applyAlignment="1" applyProtection="0">
      <alignment horizontal="center" vertical="center" wrapText="1"/>
    </xf>
    <xf numFmtId="0" fontId="16" fillId="43" borderId="102" applyNumberFormat="0" applyFont="1" applyFill="1" applyBorder="1" applyAlignment="1" applyProtection="0">
      <alignment horizontal="left" vertical="top" wrapText="1"/>
    </xf>
    <xf numFmtId="0" fontId="16" fillId="43" borderId="106" applyNumberFormat="0" applyFont="1" applyFill="1" applyBorder="1" applyAlignment="1" applyProtection="0">
      <alignment horizontal="left" vertical="top" wrapText="1"/>
    </xf>
    <xf numFmtId="0" fontId="16" fillId="43" borderId="107" applyNumberFormat="0" applyFont="1" applyFill="1" applyBorder="1" applyAlignment="1" applyProtection="0">
      <alignment horizontal="left" vertical="top" wrapText="1"/>
    </xf>
    <xf numFmtId="0" fontId="16" fillId="42" borderId="108" applyNumberFormat="0" applyFont="1" applyFill="1" applyBorder="1" applyAlignment="1" applyProtection="0">
      <alignment horizontal="left" vertical="top" wrapText="1"/>
    </xf>
    <xf numFmtId="0" fontId="16" fillId="42" borderId="109" applyNumberFormat="0" applyFont="1" applyFill="1" applyBorder="1" applyAlignment="1" applyProtection="0">
      <alignment horizontal="left" vertical="top" wrapText="1"/>
    </xf>
    <xf numFmtId="0" fontId="16" fillId="42" borderId="110" applyNumberFormat="0" applyFont="1" applyFill="1" applyBorder="1" applyAlignment="1" applyProtection="0">
      <alignment horizontal="left" vertical="top" wrapText="1"/>
    </xf>
    <xf numFmtId="60" fontId="15" borderId="111" applyNumberFormat="1" applyFont="1" applyFill="0" applyBorder="1" applyAlignment="1" applyProtection="0">
      <alignment horizontal="center" vertical="center" wrapText="1"/>
    </xf>
    <xf numFmtId="60" fontId="15" borderId="84" applyNumberFormat="1" applyFont="1" applyFill="0" applyBorder="1" applyAlignment="1" applyProtection="0">
      <alignment horizontal="center" vertical="center" wrapText="1"/>
    </xf>
    <xf numFmtId="60" fontId="18" borderId="85" applyNumberFormat="1" applyFont="1" applyFill="0" applyBorder="1" applyAlignment="1" applyProtection="0">
      <alignment horizontal="center" vertical="center" wrapText="1"/>
    </xf>
    <xf numFmtId="59" fontId="15" fillId="12" borderId="75" applyNumberFormat="1" applyFont="1" applyFill="1" applyBorder="1" applyAlignment="1" applyProtection="0">
      <alignment horizontal="center" vertical="center" wrapText="1"/>
    </xf>
    <xf numFmtId="0" fontId="15" fillId="12" borderId="6" applyNumberFormat="1" applyFont="1" applyFill="1" applyBorder="1" applyAlignment="1" applyProtection="0">
      <alignment horizontal="center" vertical="center" wrapText="1"/>
    </xf>
    <xf numFmtId="49" fontId="15" fillId="12" borderId="6" applyNumberFormat="1" applyFont="1" applyFill="1" applyBorder="1" applyAlignment="1" applyProtection="0">
      <alignment horizontal="center" vertical="center" wrapText="1"/>
    </xf>
    <xf numFmtId="60" fontId="15" fillId="12" borderId="76" applyNumberFormat="1" applyFont="1" applyFill="1" applyBorder="1" applyAlignment="1" applyProtection="0">
      <alignment horizontal="center" vertical="center" wrapText="1"/>
    </xf>
    <xf numFmtId="49" fontId="15" fillId="12" borderId="112" applyNumberFormat="1" applyFont="1" applyFill="1" applyBorder="1" applyAlignment="1" applyProtection="0">
      <alignment horizontal="center" vertical="center" wrapText="1" readingOrder="1"/>
    </xf>
    <xf numFmtId="0" fontId="17" fillId="41" borderId="113" applyNumberFormat="0" applyFont="1" applyFill="1" applyBorder="1" applyAlignment="1" applyProtection="0">
      <alignment horizontal="center" vertical="center" wrapText="1"/>
    </xf>
    <xf numFmtId="0" fontId="16" fillId="43" borderId="108" applyNumberFormat="0" applyFont="1" applyFill="1" applyBorder="1" applyAlignment="1" applyProtection="0">
      <alignment horizontal="left" vertical="top" wrapText="1"/>
    </xf>
    <xf numFmtId="0" fontId="16" borderId="84" applyNumberFormat="0" applyFont="1" applyFill="0" applyBorder="1" applyAlignment="1" applyProtection="0">
      <alignment horizontal="left" vertical="top" wrapText="1"/>
    </xf>
    <xf numFmtId="59" fontId="15" fillId="7" borderId="114" applyNumberFormat="1" applyFont="1" applyFill="1" applyBorder="1" applyAlignment="1" applyProtection="0">
      <alignment horizontal="center" vertical="center" wrapText="1"/>
    </xf>
    <xf numFmtId="0" fontId="15" fillId="7" borderId="115" applyNumberFormat="0" applyFont="1" applyFill="1" applyBorder="1" applyAlignment="1" applyProtection="0">
      <alignment horizontal="center" vertical="center" wrapText="1"/>
    </xf>
    <xf numFmtId="0" fontId="15" borderId="86" applyNumberFormat="0" applyFont="1" applyFill="0" applyBorder="1" applyAlignment="1" applyProtection="0">
      <alignment horizontal="center" vertical="center" wrapText="1"/>
    </xf>
    <xf numFmtId="60" fontId="18" borderId="84" applyNumberFormat="1" applyFont="1" applyFill="0" applyBorder="1" applyAlignment="1" applyProtection="0">
      <alignment horizontal="center" vertical="center" wrapText="1"/>
    </xf>
    <xf numFmtId="0" fontId="16" fillId="43" borderId="115" applyNumberFormat="0" applyFont="1" applyFill="1" applyBorder="1" applyAlignment="1" applyProtection="0">
      <alignment horizontal="left" vertical="top" wrapText="1"/>
    </xf>
    <xf numFmtId="0" fontId="16" fillId="43" borderId="62" applyNumberFormat="0" applyFont="1" applyFill="1" applyBorder="1" applyAlignment="1" applyProtection="0">
      <alignment horizontal="left" vertical="top" wrapText="1"/>
    </xf>
    <xf numFmtId="0" fontId="16" fillId="42" borderId="115" applyNumberFormat="0" applyFont="1" applyFill="1" applyBorder="1" applyAlignment="1" applyProtection="0">
      <alignment horizontal="left" vertical="top" wrapText="1"/>
    </xf>
    <xf numFmtId="0" fontId="16" fillId="42" borderId="116" applyNumberFormat="0" applyFont="1" applyFill="1" applyBorder="1" applyAlignment="1" applyProtection="0">
      <alignment horizontal="left" vertical="top" wrapText="1"/>
    </xf>
    <xf numFmtId="49" fontId="15" fillId="44" borderId="63" applyNumberFormat="1" applyFont="1" applyFill="1" applyBorder="1" applyAlignment="1" applyProtection="0">
      <alignment horizontal="center" vertical="center" wrapText="1" readingOrder="1"/>
    </xf>
    <xf numFmtId="60" fontId="15" borderId="83" applyNumberFormat="1" applyFont="1" applyFill="0" applyBorder="1" applyAlignment="1" applyProtection="0">
      <alignment horizontal="center" vertical="center" wrapText="1"/>
    </xf>
    <xf numFmtId="49" fontId="15" fillId="45" borderId="63" applyNumberFormat="1" applyFont="1" applyFill="1" applyBorder="1" applyAlignment="1" applyProtection="0">
      <alignment horizontal="center" vertical="center" wrapText="1"/>
    </xf>
    <xf numFmtId="0" fontId="16" fillId="43" borderId="65" applyNumberFormat="0" applyFont="1" applyFill="1" applyBorder="1" applyAlignment="1" applyProtection="0">
      <alignment horizontal="left" vertical="top" wrapText="1"/>
    </xf>
    <xf numFmtId="0" fontId="16" fillId="43" borderId="63" applyNumberFormat="0" applyFont="1" applyFill="1" applyBorder="1" applyAlignment="1" applyProtection="0">
      <alignment horizontal="left" vertical="top" wrapText="1"/>
    </xf>
    <xf numFmtId="60" fontId="15" borderId="85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2" fillId="7" borderId="19" applyNumberFormat="1" applyFont="1" applyFill="1" applyBorder="1" applyAlignment="1" applyProtection="0">
      <alignment horizontal="center" vertical="center" wrapText="1"/>
    </xf>
    <xf numFmtId="49" fontId="3" fillId="3" borderId="19" applyNumberFormat="1" applyFont="1" applyFill="1" applyBorder="1" applyAlignment="1" applyProtection="0">
      <alignment vertical="center" wrapText="1"/>
    </xf>
    <xf numFmtId="49" fontId="2" fillId="4" borderId="19" applyNumberFormat="1" applyFont="1" applyFill="1" applyBorder="1" applyAlignment="1" applyProtection="0">
      <alignment vertical="center" wrapText="1"/>
    </xf>
    <xf numFmtId="49" fontId="0" fillId="3" borderId="8" applyNumberFormat="1" applyFont="1" applyFill="1" applyBorder="1" applyAlignment="1" applyProtection="0">
      <alignment horizontal="left" vertical="center" wrapText="1"/>
    </xf>
    <xf numFmtId="59" fontId="3" borderId="19" applyNumberFormat="1" applyFont="1" applyFill="0" applyBorder="1" applyAlignment="1" applyProtection="0">
      <alignment horizontal="center" vertical="center" wrapText="1"/>
    </xf>
    <xf numFmtId="59" fontId="6" borderId="19" applyNumberFormat="1" applyFont="1" applyFill="0" applyBorder="1" applyAlignment="1" applyProtection="0">
      <alignment horizontal="center" vertical="center" wrapText="1"/>
    </xf>
    <xf numFmtId="60" fontId="0" borderId="9" applyNumberFormat="1" applyFont="1" applyFill="0" applyBorder="1" applyAlignment="1" applyProtection="0">
      <alignment horizontal="center" vertical="center" wrapText="1"/>
    </xf>
    <xf numFmtId="49" fontId="3" fillId="3" borderId="8" applyNumberFormat="1" applyFont="1" applyFill="1" applyBorder="1" applyAlignment="1" applyProtection="0">
      <alignment vertical="center" wrapText="1"/>
    </xf>
    <xf numFmtId="59" fontId="6" fillId="5" borderId="19" applyNumberFormat="1" applyFont="1" applyFill="1" applyBorder="1" applyAlignment="1" applyProtection="0">
      <alignment horizontal="center" vertical="center" wrapText="1"/>
    </xf>
    <xf numFmtId="59" fontId="3" borderId="9" applyNumberFormat="1" applyFont="1" applyFill="0" applyBorder="1" applyAlignment="1" applyProtection="0">
      <alignment horizontal="center" vertical="center" wrapText="1"/>
    </xf>
    <xf numFmtId="59" fontId="3" borderId="8" applyNumberFormat="1" applyFont="1" applyFill="0" applyBorder="1" applyAlignment="1" applyProtection="0">
      <alignment horizontal="center" vertical="center" wrapText="1"/>
    </xf>
    <xf numFmtId="49" fontId="0" borderId="8" applyNumberFormat="1" applyFont="1" applyFill="0" applyBorder="1" applyAlignment="1" applyProtection="0">
      <alignment horizontal="left" vertical="center" wrapText="1"/>
    </xf>
    <xf numFmtId="59" fontId="3" borderId="16" applyNumberFormat="1" applyFont="1" applyFill="0" applyBorder="1" applyAlignment="1" applyProtection="0">
      <alignment horizontal="center" vertical="center" wrapText="1"/>
    </xf>
    <xf numFmtId="60" fontId="0" fillId="5" borderId="9" applyNumberFormat="1" applyFont="1" applyFill="1" applyBorder="1" applyAlignment="1" applyProtection="0">
      <alignment horizontal="center" vertical="center" wrapText="1"/>
    </xf>
    <xf numFmtId="49" fontId="6" borderId="19" applyNumberFormat="1" applyFont="1" applyFill="0" applyBorder="1" applyAlignment="1" applyProtection="0">
      <alignment horizontal="center" vertical="center" wrapText="1"/>
    </xf>
    <xf numFmtId="49" fontId="0" fillId="5" borderId="8" applyNumberFormat="1" applyFont="1" applyFill="1" applyBorder="1" applyAlignment="1" applyProtection="0">
      <alignment horizontal="left" vertical="center" wrapText="1"/>
    </xf>
    <xf numFmtId="59" fontId="3" borderId="15" applyNumberFormat="1" applyFont="1" applyFill="0" applyBorder="1" applyAlignment="1" applyProtection="0">
      <alignment horizontal="center" vertical="center" wrapText="1"/>
    </xf>
    <xf numFmtId="59" fontId="2" borderId="6" applyNumberFormat="1" applyFont="1" applyFill="0" applyBorder="1" applyAlignment="1" applyProtection="0">
      <alignment horizontal="center" vertical="center" wrapText="1"/>
    </xf>
    <xf numFmtId="59" fontId="6" fillId="27" borderId="6" applyNumberFormat="1" applyFont="1" applyFill="1" applyBorder="1" applyAlignment="1" applyProtection="0">
      <alignment horizontal="center" vertical="center" wrapText="1"/>
    </xf>
    <xf numFmtId="59" fontId="2" borderId="16" applyNumberFormat="1" applyFont="1" applyFill="0" applyBorder="1" applyAlignment="1" applyProtection="0">
      <alignment horizontal="center" vertical="center" wrapText="1"/>
    </xf>
    <xf numFmtId="59" fontId="2" borderId="3" applyNumberFormat="1" applyFont="1" applyFill="0" applyBorder="1" applyAlignment="1" applyProtection="0">
      <alignment horizontal="center" vertical="center" wrapText="1"/>
    </xf>
    <xf numFmtId="0" fontId="3" applyNumberFormat="1" applyFont="1" applyFill="0" applyBorder="0" applyAlignment="1" applyProtection="0">
      <alignment vertical="bottom"/>
    </xf>
    <xf numFmtId="49" fontId="12" fillId="7" borderId="30" applyNumberFormat="1" applyFont="1" applyFill="1" applyBorder="1" applyAlignment="1" applyProtection="0">
      <alignment horizontal="left" vertical="center" wrapText="1"/>
    </xf>
    <xf numFmtId="49" fontId="12" fillId="7" borderId="30" applyNumberFormat="1" applyFont="1" applyFill="1" applyBorder="1" applyAlignment="1" applyProtection="0">
      <alignment horizontal="center" vertical="center" wrapText="1"/>
    </xf>
    <xf numFmtId="0" fontId="12" fillId="7" borderId="30" applyNumberFormat="0" applyFont="1" applyFill="1" applyBorder="1" applyAlignment="1" applyProtection="0">
      <alignment horizontal="center" vertical="center" wrapText="1"/>
    </xf>
    <xf numFmtId="49" fontId="12" fillId="27" borderId="30" applyNumberFormat="1" applyFont="1" applyFill="1" applyBorder="1" applyAlignment="1" applyProtection="0">
      <alignment horizontal="left" vertical="center" wrapText="1"/>
    </xf>
    <xf numFmtId="68" fontId="23" borderId="30" applyNumberFormat="1" applyFont="1" applyFill="0" applyBorder="1" applyAlignment="1" applyProtection="0">
      <alignment horizontal="center" vertical="center" wrapText="1"/>
    </xf>
    <xf numFmtId="49" fontId="24" fillId="27" borderId="30" applyNumberFormat="1" applyFont="1" applyFill="1" applyBorder="1" applyAlignment="1" applyProtection="0">
      <alignment horizontal="left" vertical="center" wrapText="1"/>
    </xf>
    <xf numFmtId="68" fontId="25" borderId="30" applyNumberFormat="1" applyFont="1" applyFill="0" applyBorder="1" applyAlignment="1" applyProtection="0">
      <alignment horizontal="center" vertical="center" wrapText="1"/>
    </xf>
    <xf numFmtId="68" fontId="12" fillId="24" borderId="30" applyNumberFormat="1" applyFont="1" applyFill="1" applyBorder="1" applyAlignment="1" applyProtection="0">
      <alignment horizontal="center" vertical="center" wrapText="1"/>
    </xf>
    <xf numFmtId="0" fontId="12" fillId="27" borderId="30" applyNumberFormat="0" applyFont="1" applyFill="1" applyBorder="1" applyAlignment="1" applyProtection="0">
      <alignment horizontal="center" vertical="center" wrapText="1"/>
    </xf>
    <xf numFmtId="49" fontId="23" fillId="27" borderId="30" applyNumberFormat="1" applyFont="1" applyFill="1" applyBorder="1" applyAlignment="1" applyProtection="0">
      <alignment horizontal="left" vertical="center" wrapText="1"/>
    </xf>
    <xf numFmtId="60" fontId="26" fillId="5" borderId="30" applyNumberFormat="1" applyFont="1" applyFill="1" applyBorder="1" applyAlignment="1" applyProtection="0">
      <alignment horizontal="center" vertical="center" wrapText="1"/>
    </xf>
    <xf numFmtId="49" fontId="12" fillId="7" borderId="30" applyNumberFormat="1" applyFont="1" applyFill="1" applyBorder="1" applyAlignment="1" applyProtection="0">
      <alignment horizontal="right" vertical="center" wrapText="1"/>
    </xf>
    <xf numFmtId="60" fontId="15" fillId="3" borderId="30" applyNumberFormat="1" applyFont="1" applyFill="1" applyBorder="1" applyAlignment="1" applyProtection="0">
      <alignment horizontal="center" vertical="center" wrapText="1"/>
    </xf>
    <xf numFmtId="60" fontId="15" fillId="12" borderId="30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borderId="117" applyNumberFormat="0" applyFont="1" applyFill="0" applyBorder="1" applyAlignment="1" applyProtection="0">
      <alignment vertical="top" wrapText="1"/>
    </xf>
    <xf numFmtId="0" fontId="0" borderId="118" applyNumberFormat="0" applyFont="1" applyFill="0" applyBorder="1" applyAlignment="1" applyProtection="0">
      <alignment vertical="top" wrapText="1"/>
    </xf>
    <xf numFmtId="0" fontId="2" fillId="4" borderId="119" applyNumberFormat="0" applyFont="1" applyFill="1" applyBorder="1" applyAlignment="1" applyProtection="0">
      <alignment horizontal="center" vertical="center" wrapText="1"/>
    </xf>
    <xf numFmtId="59" fontId="2" borderId="17" applyNumberFormat="1" applyFont="1" applyFill="0" applyBorder="1" applyAlignment="1" applyProtection="0">
      <alignment horizontal="center" vertical="center" wrapText="1"/>
    </xf>
    <xf numFmtId="49" fontId="12" fillId="46" borderId="6" applyNumberFormat="1" applyFont="1" applyFill="1" applyBorder="1" applyAlignment="1" applyProtection="0">
      <alignment horizontal="center" vertical="center" wrapText="1"/>
    </xf>
    <xf numFmtId="49" fontId="12" fillId="10" borderId="119" applyNumberFormat="1" applyFont="1" applyFill="1" applyBorder="1" applyAlignment="1" applyProtection="0">
      <alignment horizontal="center" vertical="center" wrapText="1"/>
    </xf>
    <xf numFmtId="59" fontId="12" fillId="5" borderId="11" applyNumberFormat="1" applyFont="1" applyFill="1" applyBorder="1" applyAlignment="1" applyProtection="0">
      <alignment horizontal="center" vertical="center" wrapText="1"/>
    </xf>
    <xf numFmtId="60" fontId="12" fillId="12" borderId="6" applyNumberFormat="1" applyFont="1" applyFill="1" applyBorder="1" applyAlignment="1" applyProtection="0">
      <alignment horizontal="center" vertical="center" wrapText="1"/>
    </xf>
    <xf numFmtId="49" fontId="12" fillId="27" borderId="6" applyNumberFormat="1" applyFont="1" applyFill="1" applyBorder="1" applyAlignment="1" applyProtection="0">
      <alignment horizontal="center" vertical="center" wrapText="1"/>
    </xf>
    <xf numFmtId="49" fontId="12" borderId="10" applyNumberFormat="1" applyFont="1" applyFill="0" applyBorder="1" applyAlignment="1" applyProtection="0">
      <alignment horizontal="center" vertical="center" wrapText="1"/>
    </xf>
    <xf numFmtId="49" fontId="23" borderId="6" applyNumberFormat="1" applyFont="1" applyFill="0" applyBorder="1" applyAlignment="1" applyProtection="0">
      <alignment horizontal="center" vertical="center" wrapText="1"/>
    </xf>
    <xf numFmtId="49" fontId="12" borderId="6" applyNumberFormat="1" applyFont="1" applyFill="0" applyBorder="1" applyAlignment="1" applyProtection="0">
      <alignment horizontal="center" vertical="center" wrapText="1"/>
    </xf>
    <xf numFmtId="0" fontId="0" borderId="120" applyNumberFormat="0" applyFont="1" applyFill="0" applyBorder="1" applyAlignment="1" applyProtection="0">
      <alignment vertical="top" wrapText="1"/>
    </xf>
    <xf numFmtId="49" fontId="12" fillId="9" borderId="119" applyNumberFormat="1" applyFont="1" applyFill="1" applyBorder="1" applyAlignment="1" applyProtection="0">
      <alignment horizontal="center" vertical="center" wrapText="1"/>
    </xf>
    <xf numFmtId="0" fontId="0" borderId="121" applyNumberFormat="0" applyFont="1" applyFill="0" applyBorder="1" applyAlignment="1" applyProtection="0">
      <alignment vertical="top" wrapText="1"/>
    </xf>
    <xf numFmtId="0" fontId="0" borderId="12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6" fillId="2" borderId="123" applyNumberFormat="0" applyFont="1" applyFill="1" applyBorder="1" applyAlignment="1" applyProtection="0">
      <alignment vertical="top" wrapText="1"/>
    </xf>
    <xf numFmtId="0" fontId="6" fillId="2" borderId="123" applyNumberFormat="0" applyFont="1" applyFill="1" applyBorder="1" applyAlignment="1" applyProtection="0">
      <alignment horizontal="center" vertical="top" wrapText="1"/>
    </xf>
    <xf numFmtId="49" fontId="6" fillId="23" borderId="124" applyNumberFormat="1" applyFont="1" applyFill="1" applyBorder="1" applyAlignment="1" applyProtection="0">
      <alignment vertical="top" wrapText="1"/>
    </xf>
    <xf numFmtId="0" fontId="6" borderId="125" applyNumberFormat="0" applyFont="1" applyFill="0" applyBorder="1" applyAlignment="1" applyProtection="0">
      <alignment horizontal="center" vertical="top" wrapText="1"/>
    </xf>
    <xf numFmtId="49" fontId="6" borderId="126" applyNumberFormat="1" applyFont="1" applyFill="0" applyBorder="1" applyAlignment="1" applyProtection="0">
      <alignment vertical="top" wrapText="1"/>
    </xf>
    <xf numFmtId="0" fontId="0" borderId="126" applyNumberFormat="0" applyFont="1" applyFill="0" applyBorder="1" applyAlignment="1" applyProtection="0">
      <alignment vertical="top" wrapText="1"/>
    </xf>
    <xf numFmtId="49" fontId="6" fillId="23" borderId="127" applyNumberFormat="1" applyFont="1" applyFill="1" applyBorder="1" applyAlignment="1" applyProtection="0">
      <alignment vertical="top" wrapText="1"/>
    </xf>
    <xf numFmtId="49" fontId="6" borderId="128" applyNumberFormat="1" applyFont="1" applyFill="0" applyBorder="1" applyAlignment="1" applyProtection="0">
      <alignment horizontal="center" vertical="top" wrapText="1"/>
    </xf>
    <xf numFmtId="49" fontId="6" borderId="122" applyNumberFormat="1" applyFont="1" applyFill="0" applyBorder="1" applyAlignment="1" applyProtection="0">
      <alignment vertical="top" wrapText="1"/>
    </xf>
    <xf numFmtId="60" fontId="0" borderId="122" applyNumberFormat="1" applyFont="1" applyFill="0" applyBorder="1" applyAlignment="1" applyProtection="0">
      <alignment vertical="top" wrapText="1"/>
    </xf>
    <xf numFmtId="49" fontId="0" borderId="122" applyNumberFormat="1" applyFont="1" applyFill="0" applyBorder="1" applyAlignment="1" applyProtection="0">
      <alignment vertical="top" wrapText="1"/>
    </xf>
    <xf numFmtId="0" fontId="6" fillId="23" borderId="127" applyNumberFormat="0" applyFont="1" applyFill="1" applyBorder="1" applyAlignment="1" applyProtection="0">
      <alignment vertical="top" wrapText="1"/>
    </xf>
    <xf numFmtId="0" fontId="6" borderId="128" applyNumberFormat="0" applyFont="1" applyFill="0" applyBorder="1" applyAlignment="1" applyProtection="0">
      <alignment horizontal="center" vertical="top" wrapText="1"/>
    </xf>
    <xf numFmtId="0" fontId="6" borderId="12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6" fillId="2" borderId="123" applyNumberFormat="0" applyFont="1" applyFill="1" applyBorder="1" applyAlignment="1" applyProtection="0">
      <alignment vertical="center" wrapText="1"/>
    </xf>
    <xf numFmtId="49" fontId="6" fillId="23" borderId="124" applyNumberFormat="1" applyFont="1" applyFill="1" applyBorder="1" applyAlignment="1" applyProtection="0">
      <alignment vertical="center" wrapText="1"/>
    </xf>
    <xf numFmtId="49" fontId="6" borderId="125" applyNumberFormat="1" applyFont="1" applyFill="0" applyBorder="1" applyAlignment="1" applyProtection="0">
      <alignment vertical="center" wrapText="1"/>
    </xf>
    <xf numFmtId="49" fontId="0" borderId="126" applyNumberFormat="1" applyFont="1" applyFill="0" applyBorder="1" applyAlignment="1" applyProtection="0">
      <alignment vertical="center" wrapText="1"/>
    </xf>
    <xf numFmtId="60" fontId="6" fillId="3" borderId="126" applyNumberFormat="1" applyFont="1" applyFill="1" applyBorder="1" applyAlignment="1" applyProtection="0">
      <alignment vertical="center" wrapText="1"/>
    </xf>
    <xf numFmtId="0" fontId="0" borderId="126" applyNumberFormat="0" applyFont="1" applyFill="0" applyBorder="1" applyAlignment="1" applyProtection="0">
      <alignment vertical="center" wrapText="1"/>
    </xf>
    <xf numFmtId="49" fontId="6" fillId="23" borderId="127" applyNumberFormat="1" applyFont="1" applyFill="1" applyBorder="1" applyAlignment="1" applyProtection="0">
      <alignment vertical="center" wrapText="1"/>
    </xf>
    <xf numFmtId="49" fontId="6" borderId="128" applyNumberFormat="1" applyFont="1" applyFill="0" applyBorder="1" applyAlignment="1" applyProtection="0">
      <alignment vertical="center" wrapText="1"/>
    </xf>
    <xf numFmtId="49" fontId="0" borderId="122" applyNumberFormat="1" applyFont="1" applyFill="0" applyBorder="1" applyAlignment="1" applyProtection="0">
      <alignment vertical="center" wrapText="1"/>
    </xf>
    <xf numFmtId="60" fontId="6" fillId="3" borderId="122" applyNumberFormat="1" applyFont="1" applyFill="1" applyBorder="1" applyAlignment="1" applyProtection="0">
      <alignment vertical="center" wrapText="1"/>
    </xf>
    <xf numFmtId="0" fontId="0" borderId="122" applyNumberFormat="0" applyFont="1" applyFill="0" applyBorder="1" applyAlignment="1" applyProtection="0">
      <alignment vertical="center" wrapText="1"/>
    </xf>
    <xf numFmtId="60" fontId="6" borderId="122" applyNumberFormat="1" applyFont="1" applyFill="0" applyBorder="1" applyAlignment="1" applyProtection="0">
      <alignment vertical="center" wrapText="1"/>
    </xf>
    <xf numFmtId="0" fontId="6" borderId="128" applyNumberFormat="0" applyFont="1" applyFill="0" applyBorder="1" applyAlignment="1" applyProtection="0">
      <alignment vertical="center" wrapText="1"/>
    </xf>
    <xf numFmtId="60" fontId="0" borderId="122" applyNumberFormat="1" applyFont="1" applyFill="0" applyBorder="1" applyAlignment="1" applyProtection="0">
      <alignment vertical="center" wrapText="1"/>
    </xf>
    <xf numFmtId="0" fontId="6" fillId="23" borderId="127" applyNumberFormat="0" applyFont="1" applyFill="1" applyBorder="1" applyAlignment="1" applyProtection="0">
      <alignment vertical="center" wrapText="1"/>
    </xf>
    <xf numFmtId="0" fontId="6" fillId="7" borderId="128" applyNumberFormat="0" applyFont="1" applyFill="1" applyBorder="1" applyAlignment="1" applyProtection="0">
      <alignment vertical="center" wrapText="1"/>
    </xf>
    <xf numFmtId="0" fontId="0" fillId="7" borderId="122" applyNumberFormat="0" applyFont="1" applyFill="1" applyBorder="1" applyAlignment="1" applyProtection="0">
      <alignment vertical="center" wrapText="1"/>
    </xf>
    <xf numFmtId="60" fontId="6" fillId="12" borderId="122" applyNumberFormat="1" applyFont="1" applyFill="1" applyBorder="1" applyAlignment="1" applyProtection="0">
      <alignment vertical="center" wrapText="1"/>
    </xf>
    <xf numFmtId="49" fontId="6" borderId="122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6" fillId="2" borderId="123" applyNumberFormat="0" applyFont="1" applyFill="1" applyBorder="1" applyAlignment="1" applyProtection="0">
      <alignment horizontal="center" vertical="center" wrapText="1"/>
    </xf>
    <xf numFmtId="0" fontId="6" fillId="23" borderId="124" applyNumberFormat="0" applyFont="1" applyFill="1" applyBorder="1" applyAlignment="1" applyProtection="0">
      <alignment vertical="center" wrapText="1"/>
    </xf>
    <xf numFmtId="0" fontId="6" borderId="125" applyNumberFormat="0" applyFont="1" applyFill="0" applyBorder="1" applyAlignment="1" applyProtection="0">
      <alignment vertical="center" wrapText="1"/>
    </xf>
    <xf numFmtId="0" fontId="0" borderId="126" applyNumberFormat="0" applyFont="1" applyFill="0" applyBorder="1" applyAlignment="1" applyProtection="0">
      <alignment horizontal="center" vertical="center" wrapText="1"/>
    </xf>
    <xf numFmtId="60" fontId="6" borderId="126" applyNumberFormat="1" applyFont="1" applyFill="0" applyBorder="1" applyAlignment="1" applyProtection="0">
      <alignment vertical="center" wrapText="1"/>
    </xf>
    <xf numFmtId="49" fontId="6" fillId="3" borderId="128" applyNumberFormat="1" applyFont="1" applyFill="1" applyBorder="1" applyAlignment="1" applyProtection="0">
      <alignment vertical="center" wrapText="1"/>
    </xf>
    <xf numFmtId="49" fontId="0" borderId="122" applyNumberFormat="1" applyFont="1" applyFill="0" applyBorder="1" applyAlignment="1" applyProtection="0">
      <alignment horizontal="center" vertical="center" wrapText="1"/>
    </xf>
    <xf numFmtId="2" fontId="0" borderId="122" applyNumberFormat="1" applyFont="1" applyFill="0" applyBorder="1" applyAlignment="1" applyProtection="0">
      <alignment vertical="center" wrapText="1"/>
    </xf>
    <xf numFmtId="0" fontId="0" borderId="122" applyNumberFormat="1" applyFont="1" applyFill="0" applyBorder="1" applyAlignment="1" applyProtection="0">
      <alignment vertical="center" wrapText="1"/>
    </xf>
    <xf numFmtId="0" fontId="0" borderId="122" applyNumberFormat="0" applyFont="1" applyFill="0" applyBorder="1" applyAlignment="1" applyProtection="0">
      <alignment horizontal="center" vertical="center" wrapText="1"/>
    </xf>
    <xf numFmtId="61" fontId="0" borderId="122" applyNumberFormat="1" applyFont="1" applyFill="0" applyBorder="1" applyAlignment="1" applyProtection="0">
      <alignment vertical="center" wrapText="1"/>
    </xf>
    <xf numFmtId="60" fontId="6" fillId="15" borderId="122" applyNumberFormat="1" applyFont="1" applyFill="1" applyBorder="1" applyAlignment="1" applyProtection="0">
      <alignment vertical="center" wrapText="1"/>
    </xf>
    <xf numFmtId="59" fontId="6" fillId="15" borderId="122" applyNumberFormat="1" applyFont="1" applyFill="1" applyBorder="1" applyAlignment="1" applyProtection="0">
      <alignment vertical="center" wrapText="1"/>
    </xf>
    <xf numFmtId="0" fontId="0" fillId="7" borderId="122" applyNumberFormat="0" applyFont="1" applyFill="1" applyBorder="1" applyAlignment="1" applyProtection="0">
      <alignment horizontal="center" vertical="center" wrapText="1"/>
    </xf>
    <xf numFmtId="0" fontId="6" borderId="122" applyNumberFormat="0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6" fillId="23" borderId="124" applyNumberFormat="0" applyFont="1" applyFill="1" applyBorder="1" applyAlignment="1" applyProtection="0">
      <alignment vertical="top" wrapText="1"/>
    </xf>
    <xf numFmtId="0" fontId="0" borderId="125" applyNumberFormat="1" applyFont="1" applyFill="0" applyBorder="1" applyAlignment="1" applyProtection="0">
      <alignment vertical="top" wrapText="1"/>
    </xf>
    <xf numFmtId="60" fontId="0" borderId="126" applyNumberFormat="1" applyFont="1" applyFill="0" applyBorder="1" applyAlignment="1" applyProtection="0">
      <alignment vertical="top" wrapText="1"/>
    </xf>
    <xf numFmtId="0" fontId="0" borderId="128" applyNumberFormat="1" applyFont="1" applyFill="0" applyBorder="1" applyAlignment="1" applyProtection="0">
      <alignment vertical="top" wrapText="1"/>
    </xf>
    <xf numFmtId="0" fontId="0" borderId="128" applyNumberFormat="0" applyFont="1" applyFill="0" applyBorder="1" applyAlignment="1" applyProtection="0">
      <alignment vertical="top" wrapText="1"/>
    </xf>
    <xf numFmtId="60" fontId="6" borderId="122" applyNumberFormat="1" applyFont="1" applyFill="0" applyBorder="1" applyAlignment="1" applyProtection="0">
      <alignment vertical="top" wrapText="1"/>
    </xf>
    <xf numFmtId="60" fontId="27" borderId="122" applyNumberFormat="1" applyFont="1" applyFill="0" applyBorder="1" applyAlignment="1" applyProtection="0">
      <alignment vertical="top" wrapText="1"/>
    </xf>
    <xf numFmtId="49" fontId="27" borderId="122" applyNumberFormat="1" applyFont="1" applyFill="0" applyBorder="1" applyAlignment="1" applyProtection="0">
      <alignment vertical="top" wrapText="1"/>
    </xf>
    <xf numFmtId="60" fontId="28" borderId="122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29" borderId="122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2" borderId="123" applyNumberFormat="1" applyFont="1" applyFill="1" applyBorder="1" applyAlignment="1" applyProtection="0">
      <alignment vertical="top" wrapText="1"/>
    </xf>
    <xf numFmtId="66" fontId="6" fillId="2" borderId="123" applyNumberFormat="1" applyFont="1" applyFill="1" applyBorder="1" applyAlignment="1" applyProtection="0">
      <alignment horizontal="right" vertical="top" wrapText="1"/>
    </xf>
    <xf numFmtId="49" fontId="6" fillId="23" borderId="126" applyNumberFormat="1" applyFont="1" applyFill="1" applyBorder="1" applyAlignment="1" applyProtection="0">
      <alignment vertical="top" wrapText="1"/>
    </xf>
    <xf numFmtId="49" fontId="6" fillId="27" borderId="124" applyNumberFormat="1" applyFont="1" applyFill="1" applyBorder="1" applyAlignment="1" applyProtection="0">
      <alignment vertical="top" wrapText="1"/>
    </xf>
    <xf numFmtId="62" fontId="0" borderId="125" applyNumberFormat="1" applyFont="1" applyFill="0" applyBorder="1" applyAlignment="1" applyProtection="0">
      <alignment vertical="top" wrapText="1"/>
    </xf>
    <xf numFmtId="49" fontId="6" fillId="23" borderId="122" applyNumberFormat="1" applyFont="1" applyFill="1" applyBorder="1" applyAlignment="1" applyProtection="0">
      <alignment vertical="top" wrapText="1"/>
    </xf>
    <xf numFmtId="49" fontId="6" fillId="27" borderId="127" applyNumberFormat="1" applyFont="1" applyFill="1" applyBorder="1" applyAlignment="1" applyProtection="0">
      <alignment vertical="top" wrapText="1"/>
    </xf>
    <xf numFmtId="62" fontId="0" borderId="128" applyNumberFormat="1" applyFont="1" applyFill="0" applyBorder="1" applyAlignment="1" applyProtection="0">
      <alignment vertical="top" wrapText="1"/>
    </xf>
    <xf numFmtId="49" fontId="6" fillId="46" borderId="127" applyNumberFormat="1" applyFont="1" applyFill="1" applyBorder="1" applyAlignment="1" applyProtection="0">
      <alignment vertical="top" wrapText="1"/>
    </xf>
    <xf numFmtId="62" fontId="6" borderId="128" applyNumberFormat="1" applyFont="1" applyFill="0" applyBorder="1" applyAlignment="1" applyProtection="0">
      <alignment vertical="top" wrapText="1"/>
    </xf>
    <xf numFmtId="62" fontId="8" borderId="128" applyNumberFormat="1" applyFont="1" applyFill="0" applyBorder="1" applyAlignment="1" applyProtection="0">
      <alignment vertical="top" wrapText="1"/>
    </xf>
    <xf numFmtId="62" fontId="6" fillId="12" borderId="12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47" borderId="129" applyNumberFormat="1" applyFont="1" applyFill="1" applyBorder="1" applyAlignment="1" applyProtection="0">
      <alignment horizontal="center" vertical="center" wrapText="1"/>
    </xf>
    <xf numFmtId="0" fontId="0" borderId="130" applyNumberFormat="0" applyFont="1" applyFill="0" applyBorder="1" applyAlignment="1" applyProtection="0">
      <alignment vertical="top" wrapText="1"/>
    </xf>
    <xf numFmtId="0" fontId="6" fillId="27" borderId="131" applyNumberFormat="0" applyFont="1" applyFill="1" applyBorder="1" applyAlignment="1" applyProtection="0">
      <alignment horizontal="center" vertical="center" wrapText="1"/>
    </xf>
    <xf numFmtId="49" fontId="2" fillId="8" borderId="30" applyNumberFormat="1" applyFont="1" applyFill="1" applyBorder="1" applyAlignment="1" applyProtection="0">
      <alignment horizontal="center" vertical="center" wrapText="1"/>
    </xf>
    <xf numFmtId="0" fontId="6" fillId="27" borderId="30" applyNumberFormat="0" applyFont="1" applyFill="1" applyBorder="1" applyAlignment="1" applyProtection="0">
      <alignment horizontal="center" vertical="center" wrapText="1"/>
    </xf>
    <xf numFmtId="49" fontId="2" fillId="25" borderId="30" applyNumberFormat="1" applyFont="1" applyFill="1" applyBorder="1" applyAlignment="1" applyProtection="0">
      <alignment horizontal="center" vertical="center" wrapText="1"/>
    </xf>
    <xf numFmtId="49" fontId="2" fillId="7" borderId="132" applyNumberFormat="1" applyFont="1" applyFill="1" applyBorder="1" applyAlignment="1" applyProtection="0">
      <alignment horizontal="center" vertical="center" wrapText="1"/>
    </xf>
    <xf numFmtId="49" fontId="2" fillId="7" borderId="133" applyNumberFormat="1" applyFont="1" applyFill="1" applyBorder="1" applyAlignment="1" applyProtection="0">
      <alignment horizontal="center" vertical="center" wrapText="1"/>
    </xf>
    <xf numFmtId="49" fontId="2" fillId="7" borderId="30" applyNumberFormat="1" applyFont="1" applyFill="1" applyBorder="1" applyAlignment="1" applyProtection="0">
      <alignment horizontal="center" vertical="center" wrapText="1"/>
    </xf>
    <xf numFmtId="49" fontId="2" fillId="27" borderId="30" applyNumberFormat="1" applyFont="1" applyFill="1" applyBorder="1" applyAlignment="1" applyProtection="0">
      <alignment horizontal="center" vertical="center" wrapText="1"/>
    </xf>
    <xf numFmtId="60" fontId="3" borderId="133" applyNumberFormat="1" applyFont="1" applyFill="0" applyBorder="1" applyAlignment="1" applyProtection="0">
      <alignment horizontal="center" vertical="center" wrapText="1"/>
    </xf>
    <xf numFmtId="59" fontId="30" borderId="30" applyNumberFormat="1" applyFont="1" applyFill="0" applyBorder="1" applyAlignment="1" applyProtection="0">
      <alignment horizontal="center" vertical="center" wrapText="1"/>
    </xf>
    <xf numFmtId="60" fontId="2" borderId="30" applyNumberFormat="1" applyFont="1" applyFill="0" applyBorder="1" applyAlignment="1" applyProtection="0">
      <alignment horizontal="center" vertical="center" wrapText="1"/>
    </xf>
    <xf numFmtId="0" fontId="31" borderId="30" applyNumberFormat="0" applyFont="1" applyFill="0" applyBorder="1" applyAlignment="1" applyProtection="0">
      <alignment horizontal="center" vertical="center" wrapText="1"/>
    </xf>
    <xf numFmtId="59" fontId="3" borderId="30" applyNumberFormat="1" applyFont="1" applyFill="0" applyBorder="1" applyAlignment="1" applyProtection="0">
      <alignment horizontal="center" vertical="center" wrapText="1"/>
    </xf>
    <xf numFmtId="60" fontId="3" borderId="30" applyNumberFormat="1" applyFont="1" applyFill="0" applyBorder="1" applyAlignment="1" applyProtection="0">
      <alignment horizontal="center" vertical="center" wrapText="1"/>
    </xf>
    <xf numFmtId="0" fontId="2" fillId="7" borderId="132" applyNumberFormat="0" applyFont="1" applyFill="1" applyBorder="1" applyAlignment="1" applyProtection="0">
      <alignment horizontal="center" vertical="center" wrapText="1"/>
    </xf>
    <xf numFmtId="60" fontId="2" borderId="6" applyNumberFormat="1" applyFont="1" applyFill="0" applyBorder="1" applyAlignment="1" applyProtection="0">
      <alignment horizontal="center" vertical="center" wrapText="1"/>
    </xf>
    <xf numFmtId="60" fontId="2" borderId="133" applyNumberFormat="1" applyFont="1" applyFill="0" applyBorder="1" applyAlignment="1" applyProtection="0">
      <alignment horizontal="center" vertical="center" wrapText="1"/>
    </xf>
    <xf numFmtId="0" fontId="2" fillId="7" borderId="134" applyNumberFormat="0" applyFont="1" applyFill="1" applyBorder="1" applyAlignment="1" applyProtection="0">
      <alignment horizontal="center" vertical="center" wrapText="1"/>
    </xf>
    <xf numFmtId="0" fontId="0" borderId="135" applyNumberFormat="0" applyFont="1" applyFill="0" applyBorder="1" applyAlignment="1" applyProtection="0">
      <alignment vertical="top" wrapText="1"/>
    </xf>
    <xf numFmtId="60" fontId="2" fillId="24" borderId="136" applyNumberFormat="1" applyFont="1" applyFill="1" applyBorder="1" applyAlignment="1" applyProtection="0">
      <alignment horizontal="center" vertical="center" wrapText="1"/>
    </xf>
    <xf numFmtId="0" fontId="2" fillId="7" borderId="30" applyNumberFormat="0" applyFont="1" applyFill="1" applyBorder="1" applyAlignment="1" applyProtection="0">
      <alignment horizontal="center" vertical="center" wrapText="1"/>
    </xf>
    <xf numFmtId="60" fontId="2" fillId="24" borderId="30" applyNumberFormat="1" applyFont="1" applyFill="1" applyBorder="1" applyAlignment="1" applyProtection="0">
      <alignment horizontal="center" vertical="center" wrapText="1"/>
    </xf>
    <xf numFmtId="60" fontId="2" fillId="25" borderId="30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6" fillId="5" borderId="30" applyNumberFormat="1" applyFont="1" applyFill="1" applyBorder="1" applyAlignment="1" applyProtection="0">
      <alignment horizontal="center" vertical="center" wrapText="1"/>
    </xf>
    <xf numFmtId="0" fontId="6" borderId="137" applyNumberFormat="0" applyFont="1" applyFill="0" applyBorder="1" applyAlignment="1" applyProtection="0">
      <alignment horizontal="center" vertical="center" wrapText="1"/>
    </xf>
    <xf numFmtId="0" fontId="6" borderId="85" applyNumberFormat="0" applyFont="1" applyFill="0" applyBorder="1" applyAlignment="1" applyProtection="0">
      <alignment horizontal="center" vertical="center" wrapText="1"/>
    </xf>
    <xf numFmtId="49" fontId="6" fillId="7" borderId="30" applyNumberFormat="1" applyFont="1" applyFill="1" applyBorder="1" applyAlignment="1" applyProtection="0">
      <alignment horizontal="center" vertical="center" wrapText="1"/>
    </xf>
    <xf numFmtId="59" fontId="0" borderId="30" applyNumberFormat="1" applyFont="1" applyFill="0" applyBorder="1" applyAlignment="1" applyProtection="0">
      <alignment horizontal="center" vertical="center" wrapText="1"/>
    </xf>
    <xf numFmtId="60" fontId="6" borderId="30" applyNumberFormat="1" applyFont="1" applyFill="0" applyBorder="1" applyAlignment="1" applyProtection="0">
      <alignment horizontal="center" vertical="center" wrapText="1"/>
    </xf>
    <xf numFmtId="60" fontId="32" borderId="137" applyNumberFormat="1" applyFont="1" applyFill="0" applyBorder="1" applyAlignment="1" applyProtection="0">
      <alignment horizontal="right" vertical="center" wrapText="1"/>
    </xf>
    <xf numFmtId="49" fontId="6" borderId="85" applyNumberFormat="1" applyFont="1" applyFill="0" applyBorder="1" applyAlignment="1" applyProtection="0">
      <alignment horizontal="center" vertical="center" wrapText="1"/>
    </xf>
    <xf numFmtId="60" fontId="0" borderId="137" applyNumberFormat="1" applyFont="1" applyFill="0" applyBorder="1" applyAlignment="1" applyProtection="0">
      <alignment horizontal="center" vertical="center" wrapText="1"/>
    </xf>
    <xf numFmtId="60" fontId="6" fillId="12" borderId="30" applyNumberFormat="1" applyFont="1" applyFill="1" applyBorder="1" applyAlignment="1" applyProtection="0">
      <alignment horizontal="center" vertical="center" wrapText="1"/>
    </xf>
    <xf numFmtId="60" fontId="33" borderId="137" applyNumberFormat="1" applyFont="1" applyFill="0" applyBorder="1" applyAlignment="1" applyProtection="0">
      <alignment horizontal="center" vertical="center" wrapText="1"/>
    </xf>
    <xf numFmtId="60" fontId="6" borderId="85" applyNumberFormat="1" applyFont="1" applyFill="0" applyBorder="1" applyAlignment="1" applyProtection="0">
      <alignment horizontal="center" vertical="center" wrapText="1"/>
    </xf>
    <xf numFmtId="0" fontId="0" borderId="137" applyNumberFormat="0" applyFont="1" applyFill="0" applyBorder="1" applyAlignment="1" applyProtection="0">
      <alignment horizontal="center" vertical="center" wrapText="1"/>
    </xf>
    <xf numFmtId="0" fontId="0" borderId="85" applyNumberFormat="0" applyFont="1" applyFill="0" applyBorder="1" applyAlignment="1" applyProtection="0">
      <alignment vertical="top" wrapText="1"/>
    </xf>
    <xf numFmtId="0" fontId="2" fillId="5" borderId="138" applyNumberFormat="0" applyFont="1" applyFill="1" applyBorder="1" applyAlignment="1" applyProtection="0">
      <alignment horizontal="center" vertical="center" wrapText="1"/>
    </xf>
    <xf numFmtId="0" fontId="0" borderId="139" applyNumberFormat="0" applyFont="1" applyFill="0" applyBorder="1" applyAlignment="1" applyProtection="0">
      <alignment vertical="top" wrapText="1"/>
    </xf>
    <xf numFmtId="49" fontId="6" fillId="24" borderId="30" applyNumberFormat="1" applyFont="1" applyFill="1" applyBorder="1" applyAlignment="1" applyProtection="0">
      <alignment horizontal="center" vertical="center" wrapText="1"/>
    </xf>
    <xf numFmtId="60" fontId="32" borderId="137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3f3f3f"/>
      <rgbColor rgb="ff88f94e"/>
      <rgbColor rgb="fff2f2f2"/>
      <rgbColor rgb="fffefffe"/>
      <rgbColor rgb="fffdad00"/>
      <rgbColor rgb="ffd5d5d5"/>
      <rgbColor rgb="fffcdaed"/>
      <rgbColor rgb="ffff94ca"/>
      <rgbColor rgb="ff72fce9"/>
      <rgbColor rgb="ff73fdff"/>
      <rgbColor rgb="fffff056"/>
      <rgbColor rgb="fff6dbeb"/>
      <rgbColor rgb="ff00f900"/>
      <rgbColor rgb="ff7f7f7f"/>
      <rgbColor rgb="ffff968c"/>
      <rgbColor rgb="ff56c1fe"/>
      <rgbColor rgb="ff00fcff"/>
      <rgbColor rgb="ffa5a5a5"/>
      <rgbColor rgb="ffb8fdf4"/>
      <rgbColor rgb="ffb1d5f7"/>
      <rgbColor rgb="ffb2fbfb"/>
      <rgbColor rgb="ff88fa4d"/>
      <rgbColor rgb="ffa7d6fb"/>
      <rgbColor rgb="ffdbdbdb"/>
      <rgbColor rgb="fffcffd0"/>
      <rgbColor rgb="fffefb00"/>
      <rgbColor rgb="ffffd5ad"/>
      <rgbColor rgb="ffeaeaea"/>
      <rgbColor rgb="ffccbbe5"/>
      <rgbColor rgb="ffd2c0ec"/>
      <rgbColor rgb="ffed220b"/>
      <rgbColor rgb="ff941100"/>
      <rgbColor rgb="ff80fdff"/>
      <rgbColor rgb="ff97feff"/>
      <rgbColor rgb="ffbaeaff"/>
      <rgbColor rgb="ffbceafe"/>
      <rgbColor rgb="ffe1fca5"/>
      <rgbColor rgb="fffdecf5"/>
      <rgbColor rgb="ffffe2c6"/>
      <rgbColor rgb="ffffe2c7"/>
      <rgbColor rgb="ffead6ff"/>
      <rgbColor rgb="ffebd7ff"/>
      <rgbColor rgb="ffdddddd"/>
      <rgbColor rgb="ffc82600"/>
      <rgbColor rgb="ffefefef"/>
      <rgbColor rgb="ffced7e7"/>
      <rgbColor rgb="ffe8ecf3"/>
      <rgbColor rgb="ffcbfeff"/>
      <rgbColor rgb="ff72fa78"/>
      <rgbColor rgb="ff0432ff"/>
      <rgbColor rgb="ffc0c0c0"/>
      <rgbColor rgb="ff0075b9"/>
      <rgbColor rgb="ff017000"/>
      <rgbColor rgb="ffb9fe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1194"/>
  <sheetViews>
    <sheetView workbookViewId="0" showGridLines="0" defaultGridColor="1">
      <pane topLeftCell="F2" xSplit="5" ySplit="1" activePane="bottomRight" state="frozen"/>
    </sheetView>
  </sheetViews>
  <sheetFormatPr defaultColWidth="16.3333" defaultRowHeight="19.9" customHeight="1" outlineLevelRow="0" outlineLevelCol="0"/>
  <cols>
    <col min="1" max="1" width="11.7344" style="1" customWidth="1"/>
    <col min="2" max="2" width="16.8047" style="1" customWidth="1"/>
    <col min="3" max="3" width="31.7734" style="1" customWidth="1"/>
    <col min="4" max="4" width="18.4609" style="1" customWidth="1"/>
    <col min="5" max="5" width="10.0469" style="1" customWidth="1"/>
    <col min="6" max="7" width="8.47656" style="1" customWidth="1"/>
    <col min="8" max="10" width="11.7422" style="1" customWidth="1"/>
    <col min="11" max="11" width="15.4062" style="1" customWidth="1"/>
    <col min="12" max="12" width="11.7422" style="1" customWidth="1"/>
    <col min="13" max="13" width="10.0469" style="1" customWidth="1"/>
    <col min="14" max="14" width="38.1641" style="1" customWidth="1"/>
    <col min="15" max="15" width="11.7344" style="1" customWidth="1"/>
    <col min="16" max="16384" width="16.3516" style="1" customWidth="1"/>
  </cols>
  <sheetData>
    <row r="1" ht="30.4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3">
        <v>11</v>
      </c>
      <c r="N1" s="2"/>
      <c r="O1" s="2"/>
    </row>
    <row r="2" ht="30.45" customHeight="1" hidden="1">
      <c r="A2" t="s" s="4">
        <v>12</v>
      </c>
      <c r="B2" t="s" s="5">
        <v>13</v>
      </c>
      <c r="C2" t="s" s="6">
        <v>14</v>
      </c>
      <c r="D2" t="s" s="7">
        <v>15</v>
      </c>
      <c r="E2" s="8"/>
      <c r="F2" s="9"/>
      <c r="G2" s="10"/>
      <c r="H2" t="s" s="11">
        <v>16</v>
      </c>
      <c r="I2" s="12">
        <v>2725</v>
      </c>
      <c r="J2" s="13"/>
      <c r="K2" t="s" s="14">
        <v>17</v>
      </c>
      <c r="L2" s="15"/>
      <c r="M2" s="16"/>
      <c r="N2" t="s" s="11">
        <v>18</v>
      </c>
      <c r="O2" t="s" s="17">
        <v>19</v>
      </c>
    </row>
    <row r="3" ht="30.45" customHeight="1" hidden="1">
      <c r="A3" t="s" s="17">
        <v>20</v>
      </c>
      <c r="B3" t="s" s="5">
        <v>21</v>
      </c>
      <c r="C3" t="s" s="18">
        <v>14</v>
      </c>
      <c r="D3" t="s" s="7">
        <v>15</v>
      </c>
      <c r="E3" s="8">
        <v>45576</v>
      </c>
      <c r="F3" t="s" s="10">
        <v>22</v>
      </c>
      <c r="G3" t="s" s="10">
        <v>23</v>
      </c>
      <c r="H3" s="19">
        <v>4064.2</v>
      </c>
      <c r="I3" s="12">
        <v>4064.2</v>
      </c>
      <c r="J3" s="15">
        <f>I3-H3</f>
        <v>0</v>
      </c>
      <c r="K3" t="s" s="14">
        <v>17</v>
      </c>
      <c r="L3" s="20"/>
      <c r="M3" s="16"/>
      <c r="N3" s="20"/>
      <c r="O3" t="s" s="17">
        <v>24</v>
      </c>
    </row>
    <row r="4" ht="30.45" customHeight="1" hidden="1">
      <c r="A4" t="s" s="21">
        <v>20</v>
      </c>
      <c r="B4" t="s" s="5">
        <v>21</v>
      </c>
      <c r="C4" t="s" s="18">
        <v>14</v>
      </c>
      <c r="D4" t="s" s="7">
        <v>15</v>
      </c>
      <c r="E4" s="8">
        <v>46003</v>
      </c>
      <c r="F4" t="s" s="10">
        <v>25</v>
      </c>
      <c r="G4" t="s" s="10">
        <v>26</v>
      </c>
      <c r="H4" s="19">
        <v>22102.5</v>
      </c>
      <c r="I4" s="12">
        <f>H4</f>
        <v>22102.5</v>
      </c>
      <c r="J4" s="13">
        <f>I4-H4</f>
        <v>0</v>
      </c>
      <c r="K4" t="s" s="14">
        <v>17</v>
      </c>
      <c r="L4" s="20"/>
      <c r="M4" s="16"/>
      <c r="N4" s="22"/>
      <c r="O4" t="s" s="17">
        <v>24</v>
      </c>
    </row>
    <row r="5" ht="30.45" customHeight="1" hidden="1">
      <c r="A5" t="s" s="21">
        <v>20</v>
      </c>
      <c r="B5" t="s" s="5">
        <v>21</v>
      </c>
      <c r="C5" t="s" s="18">
        <v>14</v>
      </c>
      <c r="D5" t="s" s="7">
        <v>15</v>
      </c>
      <c r="E5" s="8">
        <v>46046</v>
      </c>
      <c r="F5" t="s" s="10">
        <v>27</v>
      </c>
      <c r="G5" t="s" s="10">
        <v>28</v>
      </c>
      <c r="H5" s="19">
        <v>7655.15</v>
      </c>
      <c r="I5" s="12">
        <v>7655.16</v>
      </c>
      <c r="J5" s="13">
        <f>I5-H5</f>
        <v>0.01</v>
      </c>
      <c r="K5" t="s" s="14">
        <v>17</v>
      </c>
      <c r="L5" s="20"/>
      <c r="M5" s="16"/>
      <c r="N5" s="22"/>
      <c r="O5" t="s" s="17">
        <v>24</v>
      </c>
    </row>
    <row r="6" ht="30.45" customHeight="1" hidden="1">
      <c r="A6" t="s" s="17">
        <v>20</v>
      </c>
      <c r="B6" t="s" s="5">
        <v>29</v>
      </c>
      <c r="C6" t="s" s="23">
        <v>14</v>
      </c>
      <c r="D6" t="s" s="7">
        <v>15</v>
      </c>
      <c r="E6" s="8">
        <v>45537</v>
      </c>
      <c r="F6" s="16"/>
      <c r="G6" s="16"/>
      <c r="H6" s="19">
        <v>8829.5</v>
      </c>
      <c r="I6" s="12">
        <v>8829.5</v>
      </c>
      <c r="J6" s="15">
        <f>I6-H6</f>
        <v>0</v>
      </c>
      <c r="K6" t="s" s="14">
        <v>17</v>
      </c>
      <c r="L6" s="20"/>
      <c r="M6" s="20"/>
      <c r="N6" s="16"/>
      <c r="O6" t="s" s="17">
        <v>24</v>
      </c>
    </row>
    <row r="7" ht="30.45" customHeight="1" hidden="1">
      <c r="A7" t="s" s="17">
        <v>20</v>
      </c>
      <c r="B7" t="s" s="5">
        <v>30</v>
      </c>
      <c r="C7" t="s" s="23">
        <v>14</v>
      </c>
      <c r="D7" t="s" s="7">
        <v>15</v>
      </c>
      <c r="E7" s="8">
        <v>45527</v>
      </c>
      <c r="F7" s="16"/>
      <c r="G7" t="s" s="10">
        <v>31</v>
      </c>
      <c r="H7" s="24">
        <v>24895</v>
      </c>
      <c r="I7" s="12">
        <v>24895</v>
      </c>
      <c r="J7" s="13">
        <f>I7-H7</f>
        <v>0</v>
      </c>
      <c r="K7" t="s" s="14">
        <v>17</v>
      </c>
      <c r="L7" s="20"/>
      <c r="M7" s="16"/>
      <c r="N7" s="20"/>
      <c r="O7" t="s" s="17">
        <v>24</v>
      </c>
    </row>
    <row r="8" ht="30.45" customHeight="1" hidden="1">
      <c r="A8" t="s" s="21">
        <v>20</v>
      </c>
      <c r="B8" t="s" s="5">
        <v>30</v>
      </c>
      <c r="C8" t="s" s="18">
        <v>14</v>
      </c>
      <c r="D8" t="s" s="7">
        <v>15</v>
      </c>
      <c r="E8" s="8">
        <v>46023</v>
      </c>
      <c r="F8" s="10"/>
      <c r="G8" t="s" s="10">
        <v>32</v>
      </c>
      <c r="H8" s="19">
        <v>30046</v>
      </c>
      <c r="I8" s="12">
        <f>H8</f>
        <v>30046</v>
      </c>
      <c r="J8" s="13">
        <f>I8-H8</f>
        <v>0</v>
      </c>
      <c r="K8" t="s" s="14">
        <v>17</v>
      </c>
      <c r="L8" s="20"/>
      <c r="M8" s="16"/>
      <c r="N8" s="20"/>
      <c r="O8" t="s" s="17">
        <v>24</v>
      </c>
    </row>
    <row r="9" ht="30.45" customHeight="1" hidden="1">
      <c r="A9" t="s" s="17">
        <v>20</v>
      </c>
      <c r="B9" t="s" s="5">
        <v>33</v>
      </c>
      <c r="C9" t="s" s="18">
        <v>14</v>
      </c>
      <c r="D9" t="s" s="7">
        <v>15</v>
      </c>
      <c r="E9" s="8">
        <v>45544</v>
      </c>
      <c r="F9" t="s" s="10">
        <v>34</v>
      </c>
      <c r="G9" t="s" s="10">
        <v>35</v>
      </c>
      <c r="H9" s="19">
        <v>5036.1</v>
      </c>
      <c r="I9" s="12">
        <v>5036.1</v>
      </c>
      <c r="J9" s="15">
        <f>I9-H9</f>
        <v>0</v>
      </c>
      <c r="K9" t="s" s="14">
        <v>17</v>
      </c>
      <c r="L9" s="15"/>
      <c r="M9" s="16"/>
      <c r="N9" s="20"/>
      <c r="O9" t="s" s="17">
        <v>24</v>
      </c>
    </row>
    <row r="10" ht="30.45" customHeight="1" hidden="1">
      <c r="A10" t="s" s="21">
        <v>20</v>
      </c>
      <c r="B10" t="s" s="5">
        <v>36</v>
      </c>
      <c r="C10" t="s" s="18">
        <v>14</v>
      </c>
      <c r="D10" t="s" s="7">
        <v>15</v>
      </c>
      <c r="E10" s="25">
        <v>45999</v>
      </c>
      <c r="F10" t="s" s="10">
        <v>37</v>
      </c>
      <c r="G10" t="s" s="10">
        <v>38</v>
      </c>
      <c r="H10" s="19">
        <v>27965.55</v>
      </c>
      <c r="I10" s="12">
        <f>H10</f>
        <v>27965.55</v>
      </c>
      <c r="J10" s="15">
        <f>I10-H10</f>
        <v>0</v>
      </c>
      <c r="K10" t="s" s="14">
        <v>17</v>
      </c>
      <c r="L10" s="20"/>
      <c r="M10" s="16"/>
      <c r="N10" s="20"/>
      <c r="O10" t="s" s="17">
        <v>24</v>
      </c>
    </row>
    <row r="11" ht="30.45" customHeight="1" hidden="1">
      <c r="A11" t="s" s="17">
        <v>39</v>
      </c>
      <c r="B11" t="s" s="5">
        <v>40</v>
      </c>
      <c r="C11" t="s" s="18">
        <v>14</v>
      </c>
      <c r="D11" t="s" s="7">
        <v>15</v>
      </c>
      <c r="E11" s="25">
        <v>45244</v>
      </c>
      <c r="F11" t="s" s="10">
        <v>41</v>
      </c>
      <c r="G11" t="s" s="10">
        <v>42</v>
      </c>
      <c r="H11" s="26">
        <v>23760.01</v>
      </c>
      <c r="I11" s="12">
        <v>23760</v>
      </c>
      <c r="J11" s="15"/>
      <c r="K11" t="s" s="14">
        <v>17</v>
      </c>
      <c r="L11" s="15"/>
      <c r="M11" s="27">
        <v>45281</v>
      </c>
      <c r="N11" s="16"/>
      <c r="O11" t="s" s="17">
        <v>24</v>
      </c>
    </row>
    <row r="12" ht="30.45" customHeight="1" hidden="1">
      <c r="A12" t="s" s="17">
        <v>20</v>
      </c>
      <c r="B12" t="s" s="5">
        <v>40</v>
      </c>
      <c r="C12" t="s" s="23">
        <v>14</v>
      </c>
      <c r="D12" t="s" s="7">
        <v>15</v>
      </c>
      <c r="E12" s="8">
        <v>45525</v>
      </c>
      <c r="F12" t="s" s="10">
        <v>43</v>
      </c>
      <c r="G12" t="s" s="10">
        <v>44</v>
      </c>
      <c r="H12" s="15">
        <v>10497.29</v>
      </c>
      <c r="I12" s="12">
        <v>10497.29</v>
      </c>
      <c r="J12" s="15">
        <f>I12-H12</f>
        <v>0</v>
      </c>
      <c r="K12" t="s" s="14">
        <v>17</v>
      </c>
      <c r="L12" s="20"/>
      <c r="M12" s="16"/>
      <c r="N12" s="20"/>
      <c r="O12" t="s" s="17">
        <v>24</v>
      </c>
    </row>
    <row r="13" ht="30.45" customHeight="1" hidden="1">
      <c r="A13" t="s" s="21">
        <v>20</v>
      </c>
      <c r="B13" t="s" s="5">
        <v>40</v>
      </c>
      <c r="C13" t="s" s="18">
        <v>14</v>
      </c>
      <c r="D13" t="s" s="7">
        <v>15</v>
      </c>
      <c r="E13" s="8">
        <v>45854</v>
      </c>
      <c r="F13" t="s" s="10">
        <v>45</v>
      </c>
      <c r="G13" t="s" s="10">
        <v>46</v>
      </c>
      <c r="H13" s="19">
        <v>11810.77</v>
      </c>
      <c r="I13" s="12">
        <v>11810.77</v>
      </c>
      <c r="J13" s="15">
        <f>I13-H13</f>
        <v>0</v>
      </c>
      <c r="K13" t="s" s="14">
        <v>17</v>
      </c>
      <c r="L13" s="20"/>
      <c r="M13" s="16"/>
      <c r="N13" s="20"/>
      <c r="O13" t="s" s="17">
        <v>24</v>
      </c>
    </row>
    <row r="14" ht="30.45" customHeight="1" hidden="1">
      <c r="A14" t="s" s="17">
        <v>39</v>
      </c>
      <c r="B14" t="s" s="5">
        <v>47</v>
      </c>
      <c r="C14" t="s" s="18">
        <v>14</v>
      </c>
      <c r="D14" t="s" s="7">
        <v>15</v>
      </c>
      <c r="E14" s="8">
        <v>45219</v>
      </c>
      <c r="F14" s="9">
        <v>913</v>
      </c>
      <c r="G14" t="s" s="10">
        <v>48</v>
      </c>
      <c r="H14" s="26">
        <v>16582.15</v>
      </c>
      <c r="I14" s="12">
        <v>16582.15</v>
      </c>
      <c r="J14" s="15"/>
      <c r="K14" t="s" s="14">
        <v>17</v>
      </c>
      <c r="L14" s="15"/>
      <c r="M14" s="27">
        <v>45249</v>
      </c>
      <c r="N14" s="20"/>
      <c r="O14" t="s" s="17">
        <v>24</v>
      </c>
    </row>
    <row r="15" ht="30.45" customHeight="1" hidden="1">
      <c r="A15" t="s" s="17">
        <v>49</v>
      </c>
      <c r="B15" t="s" s="5">
        <v>47</v>
      </c>
      <c r="C15" t="s" s="6">
        <v>14</v>
      </c>
      <c r="D15" t="s" s="7">
        <v>15</v>
      </c>
      <c r="E15" s="8">
        <v>45303</v>
      </c>
      <c r="F15" s="9">
        <v>1049</v>
      </c>
      <c r="G15" t="s" s="10">
        <v>50</v>
      </c>
      <c r="H15" s="26">
        <v>11798.75</v>
      </c>
      <c r="I15" s="12">
        <v>11798.75</v>
      </c>
      <c r="J15" s="15"/>
      <c r="K15" t="s" s="14">
        <v>17</v>
      </c>
      <c r="L15" s="15"/>
      <c r="M15" s="8">
        <v>45333</v>
      </c>
      <c r="N15" s="20"/>
      <c r="O15" t="s" s="17">
        <v>24</v>
      </c>
    </row>
    <row r="16" ht="30.45" customHeight="1" hidden="1">
      <c r="A16" t="s" s="17">
        <v>49</v>
      </c>
      <c r="B16" t="s" s="5">
        <v>47</v>
      </c>
      <c r="C16" t="s" s="28">
        <v>14</v>
      </c>
      <c r="D16" t="s" s="7">
        <v>15</v>
      </c>
      <c r="E16" s="8">
        <v>45552</v>
      </c>
      <c r="F16" t="s" s="10">
        <v>51</v>
      </c>
      <c r="G16" t="s" s="10">
        <v>52</v>
      </c>
      <c r="H16" s="29">
        <v>14777.13</v>
      </c>
      <c r="I16" s="12">
        <v>14777.13</v>
      </c>
      <c r="J16" s="15">
        <f>I16-H16</f>
        <v>0</v>
      </c>
      <c r="K16" t="s" s="14">
        <v>24</v>
      </c>
      <c r="L16" s="20"/>
      <c r="M16" s="8"/>
      <c r="N16" s="20"/>
      <c r="O16" t="s" s="17">
        <v>24</v>
      </c>
    </row>
    <row r="17" ht="30.45" customHeight="1" hidden="1">
      <c r="A17" t="s" s="30">
        <v>49</v>
      </c>
      <c r="B17" t="s" s="5">
        <v>47</v>
      </c>
      <c r="C17" t="s" s="28">
        <v>14</v>
      </c>
      <c r="D17" t="s" s="7">
        <v>15</v>
      </c>
      <c r="E17" s="8">
        <v>45603</v>
      </c>
      <c r="F17" t="s" s="10">
        <v>53</v>
      </c>
      <c r="G17" t="s" s="10">
        <v>54</v>
      </c>
      <c r="H17" s="29">
        <v>43018.12</v>
      </c>
      <c r="I17" s="12">
        <v>43018.12</v>
      </c>
      <c r="J17" s="15">
        <f>I17-H17</f>
        <v>0</v>
      </c>
      <c r="K17" t="s" s="14">
        <v>17</v>
      </c>
      <c r="L17" s="20"/>
      <c r="M17" s="8"/>
      <c r="N17" s="20"/>
      <c r="O17" t="s" s="17">
        <v>24</v>
      </c>
    </row>
    <row r="18" ht="30.45" customHeight="1" hidden="1">
      <c r="A18" t="s" s="30">
        <v>49</v>
      </c>
      <c r="B18" t="s" s="5">
        <v>47</v>
      </c>
      <c r="C18" t="s" s="28">
        <v>14</v>
      </c>
      <c r="D18" t="s" s="7">
        <v>15</v>
      </c>
      <c r="E18" s="8">
        <v>45644</v>
      </c>
      <c r="F18" t="s" s="10">
        <v>55</v>
      </c>
      <c r="G18" t="s" s="10">
        <v>56</v>
      </c>
      <c r="H18" s="29">
        <v>55578.33</v>
      </c>
      <c r="I18" s="12">
        <v>55578.33</v>
      </c>
      <c r="J18" s="15">
        <f>I18-H18</f>
        <v>0</v>
      </c>
      <c r="K18" t="s" s="14">
        <v>17</v>
      </c>
      <c r="L18" s="20"/>
      <c r="M18" s="8"/>
      <c r="N18" s="20"/>
      <c r="O18" t="s" s="17">
        <v>24</v>
      </c>
    </row>
    <row r="19" ht="30.45" customHeight="1" hidden="1">
      <c r="A19" t="s" s="30">
        <v>49</v>
      </c>
      <c r="B19" t="s" s="5">
        <v>47</v>
      </c>
      <c r="C19" t="s" s="18">
        <v>14</v>
      </c>
      <c r="D19" t="s" s="7">
        <v>15</v>
      </c>
      <c r="E19" s="8">
        <v>45747</v>
      </c>
      <c r="F19" t="s" s="10">
        <v>57</v>
      </c>
      <c r="G19" t="s" s="10">
        <v>58</v>
      </c>
      <c r="H19" s="15">
        <v>26815.81</v>
      </c>
      <c r="I19" s="12">
        <v>26815.81</v>
      </c>
      <c r="J19" s="15">
        <f>I19-H19</f>
        <v>0</v>
      </c>
      <c r="K19" t="s" s="14">
        <v>17</v>
      </c>
      <c r="L19" s="20"/>
      <c r="M19" s="8"/>
      <c r="N19" s="20"/>
      <c r="O19" t="s" s="17">
        <v>24</v>
      </c>
    </row>
    <row r="20" ht="30.45" customHeight="1" hidden="1">
      <c r="A20" t="s" s="21">
        <v>49</v>
      </c>
      <c r="B20" t="s" s="5">
        <v>47</v>
      </c>
      <c r="C20" t="s" s="23">
        <v>14</v>
      </c>
      <c r="D20" t="s" s="7">
        <v>15</v>
      </c>
      <c r="E20" s="8">
        <v>45793</v>
      </c>
      <c r="F20" t="s" s="10">
        <v>59</v>
      </c>
      <c r="G20" t="s" s="10">
        <v>60</v>
      </c>
      <c r="H20" s="15">
        <v>12912.04</v>
      </c>
      <c r="I20" s="12">
        <v>12912.04</v>
      </c>
      <c r="J20" s="15">
        <f>I20-H20</f>
        <v>0</v>
      </c>
      <c r="K20" t="s" s="14">
        <v>17</v>
      </c>
      <c r="L20" s="20"/>
      <c r="M20" s="8"/>
      <c r="N20" s="20"/>
      <c r="O20" t="s" s="17">
        <v>24</v>
      </c>
    </row>
    <row r="21" ht="30.45" customHeight="1" hidden="1">
      <c r="A21" t="s" s="21">
        <v>20</v>
      </c>
      <c r="B21" t="s" s="5">
        <v>61</v>
      </c>
      <c r="C21" t="s" s="18">
        <v>14</v>
      </c>
      <c r="D21" t="s" s="7">
        <v>15</v>
      </c>
      <c r="E21" s="25">
        <v>45946</v>
      </c>
      <c r="F21" t="s" s="10">
        <v>62</v>
      </c>
      <c r="G21" t="s" s="10">
        <v>63</v>
      </c>
      <c r="H21" s="31">
        <v>29823.3</v>
      </c>
      <c r="I21" s="12">
        <f>H21</f>
        <v>29823.3</v>
      </c>
      <c r="J21" s="15">
        <f>I21-H21</f>
        <v>0</v>
      </c>
      <c r="K21" t="s" s="14">
        <v>17</v>
      </c>
      <c r="L21" s="15"/>
      <c r="M21" s="16"/>
      <c r="N21" s="20"/>
      <c r="O21" t="s" s="17">
        <v>24</v>
      </c>
    </row>
    <row r="22" ht="30.45" customHeight="1" hidden="1">
      <c r="A22" t="s" s="21">
        <v>20</v>
      </c>
      <c r="B22" t="s" s="5">
        <v>61</v>
      </c>
      <c r="C22" t="s" s="18">
        <v>14</v>
      </c>
      <c r="D22" t="s" s="7">
        <v>15</v>
      </c>
      <c r="E22" s="25">
        <v>45989</v>
      </c>
      <c r="F22" t="s" s="10">
        <v>64</v>
      </c>
      <c r="G22" t="s" s="10">
        <v>65</v>
      </c>
      <c r="H22" s="31">
        <v>5162.78</v>
      </c>
      <c r="I22" s="12">
        <f>H22</f>
        <v>5162.78</v>
      </c>
      <c r="J22" s="15">
        <f>I22-H22</f>
        <v>0</v>
      </c>
      <c r="K22" t="s" s="14">
        <v>17</v>
      </c>
      <c r="L22" s="15"/>
      <c r="M22" s="16"/>
      <c r="N22" s="20"/>
      <c r="O22" t="s" s="17">
        <v>24</v>
      </c>
    </row>
    <row r="23" ht="30.45" customHeight="1" hidden="1">
      <c r="A23" t="s" s="21">
        <v>20</v>
      </c>
      <c r="B23" t="s" s="5">
        <v>40</v>
      </c>
      <c r="C23" t="s" s="18">
        <v>14</v>
      </c>
      <c r="D23" t="s" s="7">
        <v>15</v>
      </c>
      <c r="E23" s="8">
        <v>46142</v>
      </c>
      <c r="F23" t="s" s="10">
        <v>66</v>
      </c>
      <c r="G23" t="s" s="10">
        <v>67</v>
      </c>
      <c r="H23" s="19">
        <v>17318.7</v>
      </c>
      <c r="I23" s="12">
        <f>H23</f>
        <v>17318.7</v>
      </c>
      <c r="J23" s="15">
        <f>I23-H23</f>
        <v>0</v>
      </c>
      <c r="K23" t="s" s="14">
        <v>17</v>
      </c>
      <c r="L23" s="20"/>
      <c r="M23" s="16"/>
      <c r="N23" s="20"/>
      <c r="O23" t="s" s="17">
        <v>24</v>
      </c>
    </row>
    <row r="24" ht="30.45" customHeight="1" hidden="1">
      <c r="A24" t="s" s="21">
        <v>20</v>
      </c>
      <c r="B24" t="s" s="5">
        <v>68</v>
      </c>
      <c r="C24" t="s" s="18">
        <v>69</v>
      </c>
      <c r="D24" t="s" s="7">
        <v>70</v>
      </c>
      <c r="E24" s="25">
        <v>46076</v>
      </c>
      <c r="F24" s="16"/>
      <c r="G24" s="10"/>
      <c r="H24" s="19">
        <v>14400</v>
      </c>
      <c r="I24" s="12">
        <f>H24</f>
        <v>14400</v>
      </c>
      <c r="J24" s="15">
        <f>I24-H24</f>
        <v>0</v>
      </c>
      <c r="K24" t="s" s="14">
        <v>24</v>
      </c>
      <c r="L24" s="15"/>
      <c r="M24" s="22"/>
      <c r="N24" s="20"/>
      <c r="O24" t="s" s="17">
        <v>24</v>
      </c>
    </row>
    <row r="25" ht="30.45" customHeight="1" hidden="1">
      <c r="A25" s="32"/>
      <c r="B25" t="s" s="5">
        <v>40</v>
      </c>
      <c r="C25" t="s" s="33">
        <v>71</v>
      </c>
      <c r="D25" t="s" s="7">
        <v>72</v>
      </c>
      <c r="E25" s="8"/>
      <c r="F25" s="10"/>
      <c r="G25" t="s" s="10">
        <v>73</v>
      </c>
      <c r="H25" s="15"/>
      <c r="I25" s="26"/>
      <c r="J25" s="15">
        <f>I25-H25</f>
        <v>0</v>
      </c>
      <c r="K25" t="s" s="14">
        <v>24</v>
      </c>
      <c r="L25" s="20"/>
      <c r="M25" s="16"/>
      <c r="N25" s="20"/>
      <c r="O25" t="s" s="17">
        <v>24</v>
      </c>
    </row>
    <row r="26" ht="30.45" customHeight="1" hidden="1">
      <c r="A26" t="s" s="21">
        <v>20</v>
      </c>
      <c r="B26" t="s" s="5">
        <v>30</v>
      </c>
      <c r="C26" t="s" s="23">
        <v>74</v>
      </c>
      <c r="D26" t="s" s="7">
        <v>15</v>
      </c>
      <c r="E26" s="8">
        <v>45958</v>
      </c>
      <c r="F26" s="10"/>
      <c r="G26" t="s" s="10">
        <v>75</v>
      </c>
      <c r="H26" s="19">
        <v>14528</v>
      </c>
      <c r="I26" s="12">
        <f>H26</f>
        <v>14528</v>
      </c>
      <c r="J26" s="13">
        <f>I26-H26</f>
        <v>0</v>
      </c>
      <c r="K26" t="s" s="14">
        <v>17</v>
      </c>
      <c r="L26" s="20"/>
      <c r="M26" s="16"/>
      <c r="N26" s="20"/>
      <c r="O26" t="s" s="17">
        <v>24</v>
      </c>
    </row>
    <row r="27" ht="30.45" customHeight="1" hidden="1">
      <c r="A27" t="s" s="21">
        <v>20</v>
      </c>
      <c r="B27" t="s" s="5">
        <v>30</v>
      </c>
      <c r="C27" t="s" s="18">
        <v>74</v>
      </c>
      <c r="D27" t="s" s="7">
        <v>15</v>
      </c>
      <c r="E27" s="8">
        <v>46023</v>
      </c>
      <c r="F27" s="10"/>
      <c r="G27" t="s" s="10">
        <v>76</v>
      </c>
      <c r="H27" s="19">
        <v>14850</v>
      </c>
      <c r="I27" s="12">
        <f>H27</f>
        <v>14850</v>
      </c>
      <c r="J27" s="13">
        <f>I27-H27</f>
        <v>0</v>
      </c>
      <c r="K27" t="s" s="14">
        <v>17</v>
      </c>
      <c r="L27" s="20"/>
      <c r="M27" s="16"/>
      <c r="N27" s="20"/>
      <c r="O27" t="s" s="17">
        <v>24</v>
      </c>
    </row>
    <row r="28" ht="30.45" customHeight="1" hidden="1">
      <c r="A28" t="s" s="21">
        <v>77</v>
      </c>
      <c r="B28" t="s" s="5">
        <v>30</v>
      </c>
      <c r="C28" t="s" s="23">
        <v>74</v>
      </c>
      <c r="D28" t="s" s="7">
        <v>15</v>
      </c>
      <c r="E28" s="8">
        <v>46198</v>
      </c>
      <c r="F28" s="10"/>
      <c r="G28" t="s" s="10">
        <v>78</v>
      </c>
      <c r="H28" s="19">
        <v>23580</v>
      </c>
      <c r="I28" s="26"/>
      <c r="J28" s="13">
        <f>I28-H28</f>
        <v>-23580</v>
      </c>
      <c r="K28" t="s" s="14">
        <v>17</v>
      </c>
      <c r="L28" s="20"/>
      <c r="M28" s="16"/>
      <c r="N28" s="20"/>
      <c r="O28" t="s" s="17">
        <v>24</v>
      </c>
    </row>
    <row r="29" ht="30.45" customHeight="1" hidden="1">
      <c r="A29" t="s" s="17">
        <v>39</v>
      </c>
      <c r="B29" t="s" s="5">
        <v>79</v>
      </c>
      <c r="C29" t="s" s="34">
        <v>80</v>
      </c>
      <c r="D29" t="s" s="7">
        <v>81</v>
      </c>
      <c r="E29" s="25">
        <v>45790</v>
      </c>
      <c r="F29" t="s" s="10">
        <v>82</v>
      </c>
      <c r="G29" t="s" s="10">
        <v>83</v>
      </c>
      <c r="H29" s="35">
        <v>10498.56</v>
      </c>
      <c r="I29" s="12">
        <v>10498</v>
      </c>
      <c r="J29" s="13">
        <f>I29-H29</f>
        <v>-0.5600000000000001</v>
      </c>
      <c r="K29" t="s" s="14">
        <v>84</v>
      </c>
      <c r="L29" s="20"/>
      <c r="M29" s="16"/>
      <c r="N29" s="20"/>
      <c r="O29" t="s" s="17">
        <v>24</v>
      </c>
    </row>
    <row r="30" ht="30.45" customHeight="1" hidden="1">
      <c r="A30" t="s" s="36">
        <v>12</v>
      </c>
      <c r="B30" t="s" s="5">
        <v>79</v>
      </c>
      <c r="C30" t="s" s="37">
        <v>85</v>
      </c>
      <c r="D30" s="7"/>
      <c r="E30" s="25">
        <v>45910</v>
      </c>
      <c r="F30" t="s" s="10">
        <v>86</v>
      </c>
      <c r="G30" s="10"/>
      <c r="H30" s="38">
        <v>28843.18</v>
      </c>
      <c r="I30" s="12">
        <v>28923.2</v>
      </c>
      <c r="J30" s="13">
        <f>I30-H30</f>
        <v>80.02</v>
      </c>
      <c r="K30" t="s" s="14">
        <v>87</v>
      </c>
      <c r="L30" s="20"/>
      <c r="M30" s="16"/>
      <c r="N30" s="20"/>
      <c r="O30" t="s" s="17">
        <v>19</v>
      </c>
    </row>
    <row r="31" ht="30.45" customHeight="1" hidden="1">
      <c r="A31" t="s" s="17">
        <v>39</v>
      </c>
      <c r="B31" t="s" s="5">
        <v>88</v>
      </c>
      <c r="C31" t="s" s="18">
        <v>89</v>
      </c>
      <c r="D31" t="s" s="7">
        <v>90</v>
      </c>
      <c r="E31" s="8">
        <v>45359</v>
      </c>
      <c r="F31" s="10"/>
      <c r="G31" t="s" s="10">
        <v>91</v>
      </c>
      <c r="H31" s="39">
        <v>32347</v>
      </c>
      <c r="I31" s="40">
        <v>32347</v>
      </c>
      <c r="J31" s="15"/>
      <c r="K31" t="s" s="14">
        <v>92</v>
      </c>
      <c r="L31" s="15"/>
      <c r="M31" s="16"/>
      <c r="N31" s="16"/>
      <c r="O31" t="s" s="17">
        <v>24</v>
      </c>
    </row>
    <row r="32" ht="30.45" customHeight="1" hidden="1">
      <c r="A32" t="s" s="17">
        <v>39</v>
      </c>
      <c r="B32" t="s" s="5">
        <v>36</v>
      </c>
      <c r="C32" t="s" s="18">
        <v>89</v>
      </c>
      <c r="D32" t="s" s="7">
        <v>90</v>
      </c>
      <c r="E32" s="41">
        <v>45224</v>
      </c>
      <c r="F32" s="9">
        <v>3357</v>
      </c>
      <c r="G32" s="9">
        <v>1656</v>
      </c>
      <c r="H32" s="19">
        <v>22699.5</v>
      </c>
      <c r="I32" s="12">
        <v>22699.5</v>
      </c>
      <c r="J32" s="39"/>
      <c r="K32" t="s" s="14">
        <v>87</v>
      </c>
      <c r="L32" s="42"/>
      <c r="M32" s="43">
        <v>45261</v>
      </c>
      <c r="N32" s="20"/>
      <c r="O32" t="s" s="17">
        <v>24</v>
      </c>
    </row>
    <row r="33" ht="30.45" customHeight="1" hidden="1">
      <c r="A33" t="s" s="17">
        <v>49</v>
      </c>
      <c r="B33" t="s" s="5">
        <v>40</v>
      </c>
      <c r="C33" t="s" s="18">
        <v>89</v>
      </c>
      <c r="D33" t="s" s="7">
        <v>90</v>
      </c>
      <c r="E33" s="8">
        <v>45707</v>
      </c>
      <c r="F33" t="s" s="10">
        <v>93</v>
      </c>
      <c r="G33" t="s" s="10">
        <v>94</v>
      </c>
      <c r="H33" s="39">
        <v>56261.38</v>
      </c>
      <c r="I33" s="12">
        <v>56261.38</v>
      </c>
      <c r="J33" s="15">
        <f>I33-H33</f>
        <v>0</v>
      </c>
      <c r="K33" t="s" s="14">
        <v>87</v>
      </c>
      <c r="L33" s="20"/>
      <c r="M33" s="16"/>
      <c r="N33" s="20"/>
      <c r="O33" t="s" s="17">
        <v>24</v>
      </c>
    </row>
    <row r="34" ht="30.45" customHeight="1" hidden="1">
      <c r="A34" t="s" s="17">
        <v>49</v>
      </c>
      <c r="B34" t="s" s="5">
        <v>47</v>
      </c>
      <c r="C34" t="s" s="18">
        <v>89</v>
      </c>
      <c r="D34" t="s" s="7">
        <v>90</v>
      </c>
      <c r="E34" s="8">
        <v>45253</v>
      </c>
      <c r="F34" s="9">
        <v>10242</v>
      </c>
      <c r="G34" t="s" s="10">
        <v>95</v>
      </c>
      <c r="H34" s="26">
        <v>20222.01</v>
      </c>
      <c r="I34" s="12">
        <v>20222.01</v>
      </c>
      <c r="J34" s="15"/>
      <c r="K34" t="s" s="14">
        <v>87</v>
      </c>
      <c r="L34" s="15"/>
      <c r="M34" s="27">
        <v>45283</v>
      </c>
      <c r="N34" s="20"/>
      <c r="O34" t="s" s="17">
        <v>24</v>
      </c>
    </row>
    <row r="35" ht="30.45" customHeight="1" hidden="1">
      <c r="A35" t="s" s="17">
        <v>96</v>
      </c>
      <c r="B35" t="s" s="5">
        <v>97</v>
      </c>
      <c r="C35" t="s" s="6">
        <v>89</v>
      </c>
      <c r="D35" t="s" s="7">
        <v>90</v>
      </c>
      <c r="E35" s="25">
        <v>45233</v>
      </c>
      <c r="F35" s="9"/>
      <c r="G35" s="10"/>
      <c r="H35" s="44">
        <v>61094.7</v>
      </c>
      <c r="I35" s="26"/>
      <c r="J35" s="15">
        <f>I35-H35</f>
        <v>-61094.7</v>
      </c>
      <c r="K35" t="s" s="14">
        <v>87</v>
      </c>
      <c r="L35" s="15"/>
      <c r="M35" s="26"/>
      <c r="N35" s="20"/>
      <c r="O35" t="s" s="17">
        <v>19</v>
      </c>
    </row>
    <row r="36" ht="30.45" customHeight="1" hidden="1">
      <c r="A36" t="s" s="17">
        <v>20</v>
      </c>
      <c r="B36" t="s" s="5">
        <v>97</v>
      </c>
      <c r="C36" t="s" s="18">
        <v>89</v>
      </c>
      <c r="D36" t="s" s="7">
        <v>90</v>
      </c>
      <c r="E36" s="25">
        <v>45693</v>
      </c>
      <c r="F36" t="s" s="10">
        <v>98</v>
      </c>
      <c r="G36" t="s" s="10">
        <v>99</v>
      </c>
      <c r="H36" s="19">
        <v>66277.44</v>
      </c>
      <c r="I36" s="12">
        <v>66277.44</v>
      </c>
      <c r="J36" s="13">
        <f>I36-H36</f>
        <v>0</v>
      </c>
      <c r="K36" t="s" s="14">
        <v>87</v>
      </c>
      <c r="L36" s="20"/>
      <c r="M36" s="16"/>
      <c r="N36" s="20"/>
      <c r="O36" t="s" s="17">
        <v>24</v>
      </c>
    </row>
    <row r="37" ht="30.45" customHeight="1" hidden="1">
      <c r="A37" t="s" s="21">
        <v>20</v>
      </c>
      <c r="B37" t="s" s="5">
        <v>97</v>
      </c>
      <c r="C37" t="s" s="23">
        <v>89</v>
      </c>
      <c r="D37" t="s" s="7">
        <v>90</v>
      </c>
      <c r="E37" s="25">
        <v>45737</v>
      </c>
      <c r="F37" t="s" s="10">
        <v>100</v>
      </c>
      <c r="G37" t="s" s="10">
        <v>101</v>
      </c>
      <c r="H37" s="19">
        <v>45440</v>
      </c>
      <c r="I37" s="12">
        <v>45440</v>
      </c>
      <c r="J37" s="13">
        <f>I37-H37</f>
        <v>0</v>
      </c>
      <c r="K37" t="s" s="14">
        <v>87</v>
      </c>
      <c r="L37" s="20"/>
      <c r="M37" s="16"/>
      <c r="N37" s="20"/>
      <c r="O37" t="s" s="17">
        <v>24</v>
      </c>
    </row>
    <row r="38" ht="30.45" customHeight="1" hidden="1">
      <c r="A38" t="s" s="21">
        <v>20</v>
      </c>
      <c r="B38" t="s" s="5">
        <v>97</v>
      </c>
      <c r="C38" t="s" s="18">
        <v>89</v>
      </c>
      <c r="D38" t="s" s="7">
        <v>90</v>
      </c>
      <c r="E38" s="25">
        <v>45891</v>
      </c>
      <c r="F38" t="s" s="10">
        <v>102</v>
      </c>
      <c r="G38" t="s" s="10">
        <v>103</v>
      </c>
      <c r="H38" s="19">
        <v>79300</v>
      </c>
      <c r="I38" s="12">
        <v>79300</v>
      </c>
      <c r="J38" s="13">
        <f>I38-H38</f>
        <v>0</v>
      </c>
      <c r="K38" t="s" s="14">
        <v>87</v>
      </c>
      <c r="L38" s="20"/>
      <c r="M38" s="16"/>
      <c r="N38" s="20"/>
      <c r="O38" t="s" s="17">
        <v>24</v>
      </c>
    </row>
    <row r="39" ht="30.45" customHeight="1" hidden="1">
      <c r="A39" t="s" s="21">
        <v>20</v>
      </c>
      <c r="B39" t="s" s="5">
        <v>97</v>
      </c>
      <c r="C39" t="s" s="18">
        <v>89</v>
      </c>
      <c r="D39" t="s" s="7">
        <v>90</v>
      </c>
      <c r="E39" s="25">
        <v>46013</v>
      </c>
      <c r="F39" t="s" s="10">
        <v>104</v>
      </c>
      <c r="G39" t="s" s="10">
        <v>105</v>
      </c>
      <c r="H39" s="19">
        <v>155761.3</v>
      </c>
      <c r="I39" s="12">
        <v>155761.21</v>
      </c>
      <c r="J39" s="13">
        <f>I39-H39</f>
        <v>-0.09</v>
      </c>
      <c r="K39" t="s" s="14">
        <v>87</v>
      </c>
      <c r="L39" s="20"/>
      <c r="M39" s="16"/>
      <c r="N39" s="20"/>
      <c r="O39" t="s" s="17">
        <v>24</v>
      </c>
    </row>
    <row r="40" ht="30.45" customHeight="1" hidden="1">
      <c r="A40" t="s" s="21">
        <v>20</v>
      </c>
      <c r="B40" t="s" s="5">
        <v>97</v>
      </c>
      <c r="C40" t="s" s="18">
        <v>89</v>
      </c>
      <c r="D40" t="s" s="7">
        <v>90</v>
      </c>
      <c r="E40" s="25">
        <v>46094</v>
      </c>
      <c r="F40" t="s" s="10">
        <v>106</v>
      </c>
      <c r="G40" t="s" s="10">
        <v>107</v>
      </c>
      <c r="H40" s="19">
        <v>44836</v>
      </c>
      <c r="I40" s="12">
        <v>44837.12</v>
      </c>
      <c r="J40" s="13">
        <f>I40-H40</f>
        <v>1.12</v>
      </c>
      <c r="K40" t="s" s="14">
        <v>87</v>
      </c>
      <c r="L40" s="20"/>
      <c r="M40" s="16"/>
      <c r="N40" s="20"/>
      <c r="O40" t="s" s="17">
        <v>24</v>
      </c>
    </row>
    <row r="41" ht="30.45" customHeight="1" hidden="1">
      <c r="A41" t="s" s="21">
        <v>108</v>
      </c>
      <c r="B41" t="s" s="5">
        <v>61</v>
      </c>
      <c r="C41" t="s" s="18">
        <v>89</v>
      </c>
      <c r="D41" t="s" s="7">
        <v>90</v>
      </c>
      <c r="E41" s="25">
        <v>45954</v>
      </c>
      <c r="F41" t="s" s="10">
        <v>109</v>
      </c>
      <c r="G41" t="s" s="10">
        <v>110</v>
      </c>
      <c r="H41" s="45">
        <v>46730.5</v>
      </c>
      <c r="I41" s="46">
        <v>47575</v>
      </c>
      <c r="J41" s="15">
        <f>I41-H41</f>
        <v>844.5</v>
      </c>
      <c r="K41" t="s" s="14">
        <v>87</v>
      </c>
      <c r="L41" s="15"/>
      <c r="M41" s="16"/>
      <c r="N41" t="s" s="21">
        <v>111</v>
      </c>
      <c r="O41" t="s" s="17">
        <v>19</v>
      </c>
    </row>
    <row r="42" ht="30.45" customHeight="1" hidden="1">
      <c r="A42" t="s" s="21">
        <v>20</v>
      </c>
      <c r="B42" t="s" s="5">
        <v>61</v>
      </c>
      <c r="C42" t="s" s="18">
        <v>89</v>
      </c>
      <c r="D42" t="s" s="7">
        <v>90</v>
      </c>
      <c r="E42" s="8">
        <v>46114</v>
      </c>
      <c r="F42" s="10"/>
      <c r="G42" s="10"/>
      <c r="H42" s="31">
        <v>15788.69</v>
      </c>
      <c r="I42" s="12">
        <f>H42</f>
        <v>15788.69</v>
      </c>
      <c r="J42" s="15">
        <f>I42-H42</f>
        <v>0</v>
      </c>
      <c r="K42" t="s" s="14">
        <v>87</v>
      </c>
      <c r="L42" s="20"/>
      <c r="M42" s="16"/>
      <c r="N42" s="20"/>
      <c r="O42" t="s" s="17">
        <v>24</v>
      </c>
    </row>
    <row r="43" ht="30.45" customHeight="1">
      <c r="A43" t="s" s="47">
        <v>112</v>
      </c>
      <c r="B43" t="s" s="5">
        <v>61</v>
      </c>
      <c r="C43" t="s" s="6">
        <v>89</v>
      </c>
      <c r="D43" t="s" s="7">
        <v>90</v>
      </c>
      <c r="E43" s="8">
        <v>46190</v>
      </c>
      <c r="F43" t="s" s="10">
        <v>113</v>
      </c>
      <c r="G43" t="s" s="10">
        <v>114</v>
      </c>
      <c r="H43" s="48">
        <v>10075</v>
      </c>
      <c r="I43" s="26"/>
      <c r="J43" s="15">
        <f>I43-H43</f>
        <v>-10075</v>
      </c>
      <c r="K43" t="s" s="14">
        <v>87</v>
      </c>
      <c r="L43" s="20"/>
      <c r="M43" s="16"/>
      <c r="N43" s="20"/>
      <c r="O43" t="s" s="17">
        <v>24</v>
      </c>
    </row>
    <row r="44" ht="30.45" customHeight="1" hidden="1">
      <c r="A44" s="32"/>
      <c r="B44" t="s" s="5">
        <v>40</v>
      </c>
      <c r="C44" t="s" s="33">
        <v>89</v>
      </c>
      <c r="D44" t="s" s="7">
        <v>90</v>
      </c>
      <c r="E44" s="8"/>
      <c r="F44" s="10"/>
      <c r="G44" t="s" s="10">
        <v>115</v>
      </c>
      <c r="H44" s="15"/>
      <c r="I44" s="26"/>
      <c r="J44" s="15">
        <f>I44-H44</f>
        <v>0</v>
      </c>
      <c r="K44" t="s" s="14">
        <v>24</v>
      </c>
      <c r="L44" s="20"/>
      <c r="M44" s="16"/>
      <c r="N44" s="20"/>
      <c r="O44" t="s" s="17">
        <v>24</v>
      </c>
    </row>
    <row r="45" ht="30.45" customHeight="1" hidden="1">
      <c r="A45" t="s" s="21">
        <v>39</v>
      </c>
      <c r="B45" t="s" s="5">
        <v>33</v>
      </c>
      <c r="C45" t="s" s="18">
        <v>116</v>
      </c>
      <c r="D45" t="s" s="7">
        <v>117</v>
      </c>
      <c r="E45" s="8">
        <v>46164</v>
      </c>
      <c r="F45" t="s" s="10">
        <v>118</v>
      </c>
      <c r="G45" t="s" s="10">
        <v>119</v>
      </c>
      <c r="H45" s="49">
        <v>9288.0507</v>
      </c>
      <c r="I45" s="12">
        <v>9255.16</v>
      </c>
      <c r="J45" s="15">
        <f>I45-H45</f>
        <v>-32.8907</v>
      </c>
      <c r="K45" t="s" s="14">
        <v>92</v>
      </c>
      <c r="L45" s="20"/>
      <c r="M45" s="8"/>
      <c r="N45" s="20"/>
      <c r="O45" t="s" s="17">
        <v>24</v>
      </c>
    </row>
    <row r="46" ht="30.45" customHeight="1" hidden="1">
      <c r="A46" t="s" s="17">
        <v>39</v>
      </c>
      <c r="B46" t="s" s="5">
        <v>30</v>
      </c>
      <c r="C46" t="s" s="18">
        <v>120</v>
      </c>
      <c r="D46" t="s" s="7">
        <v>15</v>
      </c>
      <c r="E46" s="8">
        <v>45484</v>
      </c>
      <c r="F46" s="16"/>
      <c r="G46" t="s" s="10">
        <v>24</v>
      </c>
      <c r="H46" s="19">
        <v>5700</v>
      </c>
      <c r="I46" s="12">
        <v>5700</v>
      </c>
      <c r="J46" s="13">
        <f>I46-H46</f>
        <v>0</v>
      </c>
      <c r="K46" t="s" s="14">
        <v>17</v>
      </c>
      <c r="L46" s="20"/>
      <c r="M46" s="16"/>
      <c r="N46" s="20"/>
      <c r="O46" t="s" s="17">
        <v>24</v>
      </c>
    </row>
    <row r="47" ht="30.45" customHeight="1" hidden="1">
      <c r="A47" t="s" s="47">
        <v>12</v>
      </c>
      <c r="B47" t="s" s="5">
        <v>79</v>
      </c>
      <c r="C47" t="s" s="23">
        <v>121</v>
      </c>
      <c r="D47" t="s" s="7">
        <v>15</v>
      </c>
      <c r="E47" s="25">
        <v>45545</v>
      </c>
      <c r="F47" s="10"/>
      <c r="G47" s="10"/>
      <c r="H47" s="19">
        <v>8834</v>
      </c>
      <c r="I47" s="12">
        <v>3655</v>
      </c>
      <c r="J47" s="13">
        <f>I47-H47</f>
        <v>-5179</v>
      </c>
      <c r="K47" t="s" s="14">
        <v>17</v>
      </c>
      <c r="L47" s="20"/>
      <c r="M47" s="16"/>
      <c r="N47" s="20"/>
      <c r="O47" t="s" s="17">
        <v>19</v>
      </c>
    </row>
    <row r="48" ht="30.45" customHeight="1" hidden="1">
      <c r="A48" t="s" s="17">
        <v>20</v>
      </c>
      <c r="B48" t="s" s="5">
        <v>97</v>
      </c>
      <c r="C48" t="s" s="18">
        <v>122</v>
      </c>
      <c r="D48" t="s" s="7">
        <v>15</v>
      </c>
      <c r="E48" s="25">
        <v>45379</v>
      </c>
      <c r="F48" s="9">
        <v>4705</v>
      </c>
      <c r="G48" s="10"/>
      <c r="H48" s="19">
        <v>19162.2</v>
      </c>
      <c r="I48" s="12">
        <v>19162.2</v>
      </c>
      <c r="J48" s="15"/>
      <c r="K48" t="s" s="14">
        <v>17</v>
      </c>
      <c r="L48" s="15"/>
      <c r="M48" s="16"/>
      <c r="N48" s="20"/>
      <c r="O48" t="s" s="17">
        <v>24</v>
      </c>
    </row>
    <row r="49" ht="30.45" customHeight="1" hidden="1">
      <c r="A49" t="s" s="17">
        <v>39</v>
      </c>
      <c r="B49" t="s" s="5">
        <v>97</v>
      </c>
      <c r="C49" t="s" s="23">
        <v>122</v>
      </c>
      <c r="D49" t="s" s="7">
        <v>15</v>
      </c>
      <c r="E49" s="25">
        <v>45420</v>
      </c>
      <c r="F49" t="s" s="10">
        <v>123</v>
      </c>
      <c r="G49" t="s" s="10">
        <v>124</v>
      </c>
      <c r="H49" s="19">
        <v>26568.2</v>
      </c>
      <c r="I49" s="12">
        <v>26568.4</v>
      </c>
      <c r="J49" s="13">
        <f>I49-H49</f>
        <v>0.2</v>
      </c>
      <c r="K49" t="s" s="14">
        <v>17</v>
      </c>
      <c r="L49" s="15">
        <v>8856</v>
      </c>
      <c r="M49" s="8">
        <v>45517</v>
      </c>
      <c r="N49" s="20"/>
      <c r="O49" t="s" s="17">
        <v>24</v>
      </c>
    </row>
    <row r="50" ht="30.45" customHeight="1" hidden="1">
      <c r="A50" t="s" s="30">
        <v>49</v>
      </c>
      <c r="B50" t="s" s="5">
        <v>47</v>
      </c>
      <c r="C50" t="s" s="28">
        <v>125</v>
      </c>
      <c r="D50" t="s" s="7">
        <v>15</v>
      </c>
      <c r="E50" s="8">
        <v>45644</v>
      </c>
      <c r="F50" t="s" s="10">
        <v>126</v>
      </c>
      <c r="G50" t="s" s="10">
        <v>127</v>
      </c>
      <c r="H50" s="29">
        <v>17965.56</v>
      </c>
      <c r="I50" s="12">
        <v>17964</v>
      </c>
      <c r="J50" s="15">
        <f>I50-H50</f>
        <v>-1.56</v>
      </c>
      <c r="K50" t="s" s="14">
        <v>17</v>
      </c>
      <c r="L50" s="20"/>
      <c r="M50" s="8"/>
      <c r="N50" s="20"/>
      <c r="O50" t="s" s="17">
        <v>24</v>
      </c>
    </row>
    <row r="51" ht="30.45" customHeight="1" hidden="1">
      <c r="A51" t="s" s="17">
        <v>39</v>
      </c>
      <c r="B51" t="s" s="5">
        <v>30</v>
      </c>
      <c r="C51" t="s" s="28">
        <v>128</v>
      </c>
      <c r="D51" t="s" s="7">
        <v>129</v>
      </c>
      <c r="E51" s="8">
        <v>45579</v>
      </c>
      <c r="F51" s="16"/>
      <c r="G51" t="s" s="10">
        <v>130</v>
      </c>
      <c r="H51" s="50">
        <v>27802.2</v>
      </c>
      <c r="I51" s="12">
        <v>27802</v>
      </c>
      <c r="J51" s="13">
        <f>I51-H51</f>
        <v>-0.2</v>
      </c>
      <c r="K51" t="s" s="14">
        <v>84</v>
      </c>
      <c r="L51" s="20"/>
      <c r="M51" s="16"/>
      <c r="N51" s="20"/>
      <c r="O51" t="s" s="17">
        <v>24</v>
      </c>
    </row>
    <row r="52" ht="30.45" customHeight="1" hidden="1">
      <c r="A52" t="s" s="30">
        <v>39</v>
      </c>
      <c r="B52" t="s" s="5">
        <v>61</v>
      </c>
      <c r="C52" t="s" s="28">
        <v>128</v>
      </c>
      <c r="D52" t="s" s="7">
        <v>129</v>
      </c>
      <c r="E52" s="8">
        <v>46190</v>
      </c>
      <c r="F52" t="s" s="10">
        <v>131</v>
      </c>
      <c r="G52" t="s" s="10">
        <v>132</v>
      </c>
      <c r="H52" s="51">
        <v>6432.224</v>
      </c>
      <c r="I52" s="12">
        <f>H52</f>
        <v>6432.224</v>
      </c>
      <c r="J52" s="15">
        <f>I52-H52</f>
        <v>0</v>
      </c>
      <c r="K52" t="s" s="14">
        <v>84</v>
      </c>
      <c r="L52" s="20"/>
      <c r="M52" s="16"/>
      <c r="N52" s="20"/>
      <c r="O52" t="s" s="17">
        <v>24</v>
      </c>
    </row>
    <row r="53" ht="30.45" customHeight="1" hidden="1">
      <c r="A53" t="s" s="17">
        <v>133</v>
      </c>
      <c r="B53" t="s" s="5">
        <v>79</v>
      </c>
      <c r="C53" t="s" s="52">
        <v>134</v>
      </c>
      <c r="D53" t="s" s="7">
        <v>81</v>
      </c>
      <c r="E53" s="25">
        <v>45519</v>
      </c>
      <c r="F53" t="s" s="10">
        <v>135</v>
      </c>
      <c r="G53" t="s" s="10">
        <v>136</v>
      </c>
      <c r="H53" s="50">
        <v>13917</v>
      </c>
      <c r="I53" s="12">
        <v>3000</v>
      </c>
      <c r="J53" s="13">
        <f>I53-H53</f>
        <v>-10917</v>
      </c>
      <c r="K53" t="s" s="14">
        <v>84</v>
      </c>
      <c r="L53" s="20"/>
      <c r="M53" s="16"/>
      <c r="N53" s="20"/>
      <c r="O53" t="s" s="17">
        <v>19</v>
      </c>
    </row>
    <row r="54" ht="30.45" customHeight="1" hidden="1">
      <c r="A54" t="s" s="17">
        <v>39</v>
      </c>
      <c r="B54" t="s" s="5">
        <v>79</v>
      </c>
      <c r="C54" t="s" s="34">
        <v>137</v>
      </c>
      <c r="D54" t="s" s="7">
        <v>90</v>
      </c>
      <c r="E54" s="25">
        <v>46579</v>
      </c>
      <c r="F54" s="10"/>
      <c r="G54" t="s" s="10">
        <v>138</v>
      </c>
      <c r="H54" s="35">
        <v>26516.4</v>
      </c>
      <c r="I54" s="12">
        <v>26516</v>
      </c>
      <c r="J54" s="13">
        <f>I54-H54</f>
        <v>-0.4</v>
      </c>
      <c r="K54" t="s" s="14">
        <v>87</v>
      </c>
      <c r="L54" s="20"/>
      <c r="M54" s="16"/>
      <c r="N54" s="20"/>
      <c r="O54" t="s" s="17">
        <v>24</v>
      </c>
    </row>
    <row r="55" ht="30.45" customHeight="1" hidden="1">
      <c r="A55" t="s" s="17">
        <v>39</v>
      </c>
      <c r="B55" t="s" s="5">
        <v>30</v>
      </c>
      <c r="C55" t="s" s="28">
        <v>137</v>
      </c>
      <c r="D55" t="s" s="7">
        <v>90</v>
      </c>
      <c r="E55" s="8">
        <v>45443</v>
      </c>
      <c r="F55" s="16"/>
      <c r="G55" t="s" s="10">
        <v>139</v>
      </c>
      <c r="H55" s="29">
        <v>30381</v>
      </c>
      <c r="I55" s="12">
        <v>30381</v>
      </c>
      <c r="J55" s="15">
        <f>I55-H55</f>
        <v>0</v>
      </c>
      <c r="K55" t="s" s="14">
        <v>87</v>
      </c>
      <c r="L55" s="15"/>
      <c r="M55" s="16"/>
      <c r="N55" s="20"/>
      <c r="O55" t="s" s="17">
        <v>24</v>
      </c>
    </row>
    <row r="56" ht="30.45" customHeight="1" hidden="1">
      <c r="A56" t="s" s="17">
        <v>39</v>
      </c>
      <c r="B56" t="s" s="5">
        <v>30</v>
      </c>
      <c r="C56" t="s" s="28">
        <v>137</v>
      </c>
      <c r="D56" t="s" s="7">
        <v>90</v>
      </c>
      <c r="E56" s="8">
        <v>45579</v>
      </c>
      <c r="F56" s="16"/>
      <c r="G56" t="s" s="10">
        <v>140</v>
      </c>
      <c r="H56" s="50">
        <v>27710</v>
      </c>
      <c r="I56" s="12">
        <v>27710</v>
      </c>
      <c r="J56" s="13">
        <f>I56-H56</f>
        <v>0</v>
      </c>
      <c r="K56" t="s" s="14">
        <v>87</v>
      </c>
      <c r="L56" s="20"/>
      <c r="M56" s="16"/>
      <c r="N56" s="20"/>
      <c r="O56" t="s" s="17">
        <v>24</v>
      </c>
    </row>
    <row r="57" ht="30.45" customHeight="1" hidden="1">
      <c r="A57" t="s" s="17">
        <v>39</v>
      </c>
      <c r="B57" t="s" s="5">
        <v>40</v>
      </c>
      <c r="C57" t="s" s="18">
        <v>137</v>
      </c>
      <c r="D57" t="s" s="7">
        <v>90</v>
      </c>
      <c r="E57" s="25">
        <v>45205</v>
      </c>
      <c r="F57" s="9">
        <v>369</v>
      </c>
      <c r="G57" t="s" s="10">
        <v>141</v>
      </c>
      <c r="H57" s="26">
        <v>6109.43</v>
      </c>
      <c r="I57" s="12">
        <v>6819.43</v>
      </c>
      <c r="J57" s="12">
        <f>I57-H57</f>
        <v>710</v>
      </c>
      <c r="K57" t="s" s="14">
        <v>87</v>
      </c>
      <c r="L57" s="39"/>
      <c r="M57" t="s" s="14">
        <v>142</v>
      </c>
      <c r="N57" t="s" s="14">
        <v>143</v>
      </c>
      <c r="O57" t="s" s="17">
        <v>24</v>
      </c>
    </row>
    <row r="58" ht="30.45" customHeight="1" hidden="1">
      <c r="A58" t="s" s="17">
        <v>39</v>
      </c>
      <c r="B58" t="s" s="5">
        <v>47</v>
      </c>
      <c r="C58" t="s" s="28">
        <v>137</v>
      </c>
      <c r="D58" t="s" s="7">
        <v>90</v>
      </c>
      <c r="E58" s="8">
        <v>45288</v>
      </c>
      <c r="F58" s="9">
        <v>10315</v>
      </c>
      <c r="G58" t="s" s="10">
        <v>144</v>
      </c>
      <c r="H58" s="26">
        <v>38147.54</v>
      </c>
      <c r="I58" s="15"/>
      <c r="J58" s="15"/>
      <c r="K58" t="s" s="14">
        <v>87</v>
      </c>
      <c r="L58" s="15"/>
      <c r="M58" t="s" s="10">
        <v>142</v>
      </c>
      <c r="N58" s="20"/>
      <c r="O58" t="s" s="17">
        <v>24</v>
      </c>
    </row>
    <row r="59" ht="30.45" customHeight="1" hidden="1">
      <c r="A59" t="s" s="17">
        <v>39</v>
      </c>
      <c r="B59" t="s" s="5">
        <v>61</v>
      </c>
      <c r="C59" t="s" s="28">
        <v>137</v>
      </c>
      <c r="D59" t="s" s="7">
        <v>90</v>
      </c>
      <c r="E59" s="25">
        <v>45762</v>
      </c>
      <c r="F59" t="s" s="10">
        <v>145</v>
      </c>
      <c r="G59" t="s" s="10">
        <v>146</v>
      </c>
      <c r="H59" s="51">
        <v>16617.5</v>
      </c>
      <c r="I59" s="12">
        <v>16617.5</v>
      </c>
      <c r="J59" s="15">
        <f>I59-H59</f>
        <v>0</v>
      </c>
      <c r="K59" t="s" s="14">
        <v>87</v>
      </c>
      <c r="L59" s="15"/>
      <c r="M59" s="16"/>
      <c r="N59" s="20"/>
      <c r="O59" t="s" s="17">
        <v>24</v>
      </c>
    </row>
    <row r="60" ht="30.45" customHeight="1" hidden="1">
      <c r="A60" t="s" s="17">
        <v>39</v>
      </c>
      <c r="B60" t="s" s="5">
        <v>47</v>
      </c>
      <c r="C60" t="s" s="28">
        <v>147</v>
      </c>
      <c r="D60" t="s" s="7">
        <v>90</v>
      </c>
      <c r="E60" s="8">
        <v>45603</v>
      </c>
      <c r="F60" t="s" s="10">
        <v>148</v>
      </c>
      <c r="G60" t="s" s="10">
        <v>149</v>
      </c>
      <c r="H60" s="29">
        <v>33219.77</v>
      </c>
      <c r="I60" s="12">
        <v>33219.77</v>
      </c>
      <c r="J60" s="15">
        <f>I60-H60</f>
        <v>0</v>
      </c>
      <c r="K60" t="s" s="14">
        <v>87</v>
      </c>
      <c r="L60" s="20"/>
      <c r="M60" s="8"/>
      <c r="N60" s="20"/>
      <c r="O60" t="s" s="17">
        <v>24</v>
      </c>
    </row>
    <row r="61" ht="30.45" customHeight="1" hidden="1">
      <c r="A61" t="s" s="17">
        <v>20</v>
      </c>
      <c r="B61" t="s" s="5">
        <v>21</v>
      </c>
      <c r="C61" t="s" s="23">
        <v>150</v>
      </c>
      <c r="D61" t="s" s="7">
        <v>151</v>
      </c>
      <c r="E61" s="8">
        <v>45486</v>
      </c>
      <c r="F61" s="9">
        <v>761</v>
      </c>
      <c r="G61" t="s" s="10">
        <v>152</v>
      </c>
      <c r="H61" s="19">
        <v>18965.75</v>
      </c>
      <c r="I61" s="12">
        <v>18966</v>
      </c>
      <c r="J61" s="15">
        <f>I61-H61</f>
        <v>0.25</v>
      </c>
      <c r="K61" t="s" s="14">
        <v>153</v>
      </c>
      <c r="L61" s="15"/>
      <c r="M61" s="16"/>
      <c r="N61" s="20"/>
      <c r="O61" t="s" s="17">
        <v>24</v>
      </c>
    </row>
    <row r="62" ht="30.45" customHeight="1" hidden="1">
      <c r="A62" t="s" s="21">
        <v>20</v>
      </c>
      <c r="B62" t="s" s="5">
        <v>79</v>
      </c>
      <c r="C62" t="s" s="18">
        <v>150</v>
      </c>
      <c r="D62" t="s" s="7">
        <v>151</v>
      </c>
      <c r="E62" s="8">
        <v>45639</v>
      </c>
      <c r="F62" s="10"/>
      <c r="G62" t="s" s="10">
        <v>154</v>
      </c>
      <c r="H62" s="19">
        <v>11042</v>
      </c>
      <c r="I62" s="12">
        <v>11041.68</v>
      </c>
      <c r="J62" s="15">
        <f>I62-H62</f>
        <v>-0.32</v>
      </c>
      <c r="K62" t="s" s="14">
        <v>153</v>
      </c>
      <c r="L62" s="20"/>
      <c r="M62" s="16"/>
      <c r="N62" s="20"/>
      <c r="O62" t="s" s="17">
        <v>24</v>
      </c>
    </row>
    <row r="63" ht="30.45" customHeight="1" hidden="1">
      <c r="A63" t="s" s="17">
        <v>39</v>
      </c>
      <c r="B63" t="s" s="5">
        <v>33</v>
      </c>
      <c r="C63" t="s" s="18">
        <v>150</v>
      </c>
      <c r="D63" t="s" s="7">
        <v>151</v>
      </c>
      <c r="E63" s="8">
        <v>45215</v>
      </c>
      <c r="F63" s="9">
        <v>4776</v>
      </c>
      <c r="G63" t="s" s="10">
        <v>155</v>
      </c>
      <c r="H63" s="19">
        <v>8070</v>
      </c>
      <c r="I63" s="12">
        <v>8070</v>
      </c>
      <c r="J63" s="15"/>
      <c r="K63" t="s" s="14">
        <v>153</v>
      </c>
      <c r="L63" s="15"/>
      <c r="M63" s="53">
        <v>45245</v>
      </c>
      <c r="N63" s="20"/>
      <c r="O63" t="s" s="17">
        <v>24</v>
      </c>
    </row>
    <row r="64" ht="30.45" customHeight="1" hidden="1">
      <c r="A64" t="s" s="17">
        <v>20</v>
      </c>
      <c r="B64" t="s" s="5">
        <v>33</v>
      </c>
      <c r="C64" t="s" s="18">
        <v>150</v>
      </c>
      <c r="D64" t="s" s="7">
        <v>151</v>
      </c>
      <c r="E64" s="25">
        <v>45358</v>
      </c>
      <c r="F64" s="10"/>
      <c r="G64" s="10"/>
      <c r="H64" s="26">
        <v>7767</v>
      </c>
      <c r="I64" s="40">
        <v>7767</v>
      </c>
      <c r="J64" s="15"/>
      <c r="K64" t="s" s="14">
        <v>153</v>
      </c>
      <c r="L64" s="20"/>
      <c r="M64" s="8">
        <v>45390</v>
      </c>
      <c r="N64" s="16"/>
      <c r="O64" t="s" s="17">
        <v>24</v>
      </c>
    </row>
    <row r="65" ht="30.45" customHeight="1" hidden="1">
      <c r="A65" t="s" s="17">
        <v>20</v>
      </c>
      <c r="B65" t="s" s="5">
        <v>33</v>
      </c>
      <c r="C65" t="s" s="18">
        <v>150</v>
      </c>
      <c r="D65" t="s" s="7">
        <v>151</v>
      </c>
      <c r="E65" s="8">
        <v>45438</v>
      </c>
      <c r="F65" t="s" s="10">
        <v>156</v>
      </c>
      <c r="G65" t="s" s="10">
        <v>157</v>
      </c>
      <c r="H65" s="26">
        <v>10998</v>
      </c>
      <c r="I65" s="40">
        <v>10998</v>
      </c>
      <c r="J65" s="15">
        <f>I65-H65</f>
        <v>0</v>
      </c>
      <c r="K65" t="s" s="14">
        <v>153</v>
      </c>
      <c r="L65" s="15"/>
      <c r="M65" s="8">
        <v>45468</v>
      </c>
      <c r="N65" s="20"/>
      <c r="O65" t="s" s="17">
        <v>24</v>
      </c>
    </row>
    <row r="66" ht="30.45" customHeight="1" hidden="1">
      <c r="A66" t="s" s="17">
        <v>20</v>
      </c>
      <c r="B66" t="s" s="5">
        <v>33</v>
      </c>
      <c r="C66" t="s" s="23">
        <v>150</v>
      </c>
      <c r="D66" t="s" s="7">
        <v>151</v>
      </c>
      <c r="E66" s="8">
        <v>45475</v>
      </c>
      <c r="F66" t="s" s="10">
        <v>158</v>
      </c>
      <c r="G66" t="s" s="10">
        <v>159</v>
      </c>
      <c r="H66" s="26">
        <v>11151</v>
      </c>
      <c r="I66" s="40">
        <v>11151</v>
      </c>
      <c r="J66" s="15">
        <f>I66-H66</f>
        <v>0</v>
      </c>
      <c r="K66" t="s" s="14">
        <v>153</v>
      </c>
      <c r="L66" s="15"/>
      <c r="M66" s="16"/>
      <c r="N66" s="20"/>
      <c r="O66" t="s" s="17">
        <v>24</v>
      </c>
    </row>
    <row r="67" ht="30.45" customHeight="1" hidden="1">
      <c r="A67" t="s" s="21">
        <v>20</v>
      </c>
      <c r="B67" t="s" s="5">
        <v>33</v>
      </c>
      <c r="C67" t="s" s="18">
        <v>150</v>
      </c>
      <c r="D67" t="s" s="7">
        <v>151</v>
      </c>
      <c r="E67" s="8">
        <v>45637</v>
      </c>
      <c r="F67" t="s" s="10">
        <v>160</v>
      </c>
      <c r="G67" t="s" s="10">
        <v>161</v>
      </c>
      <c r="H67" s="19">
        <v>13707</v>
      </c>
      <c r="I67" s="12">
        <v>13707.84</v>
      </c>
      <c r="J67" s="15">
        <f>I67-H67</f>
        <v>0.84</v>
      </c>
      <c r="K67" t="s" s="14">
        <v>153</v>
      </c>
      <c r="L67" s="15"/>
      <c r="M67" s="16"/>
      <c r="N67" s="20"/>
      <c r="O67" t="s" s="17">
        <v>24</v>
      </c>
    </row>
    <row r="68" ht="30.45" customHeight="1" hidden="1">
      <c r="A68" t="s" s="21">
        <v>20</v>
      </c>
      <c r="B68" t="s" s="5">
        <v>33</v>
      </c>
      <c r="C68" t="s" s="18">
        <v>150</v>
      </c>
      <c r="D68" t="s" s="7">
        <v>151</v>
      </c>
      <c r="E68" s="8">
        <v>45846</v>
      </c>
      <c r="F68" t="s" s="10">
        <v>162</v>
      </c>
      <c r="G68" t="s" s="10">
        <v>163</v>
      </c>
      <c r="H68" s="19">
        <v>11849.2</v>
      </c>
      <c r="I68" s="12">
        <v>11850</v>
      </c>
      <c r="J68" s="15">
        <f>I68-H68</f>
        <v>0.8</v>
      </c>
      <c r="K68" t="s" s="14">
        <v>153</v>
      </c>
      <c r="L68" s="15"/>
      <c r="M68" s="16"/>
      <c r="N68" s="20"/>
      <c r="O68" t="s" s="17">
        <v>24</v>
      </c>
    </row>
    <row r="69" ht="30.45" customHeight="1" hidden="1">
      <c r="A69" t="s" s="17">
        <v>49</v>
      </c>
      <c r="B69" t="s" s="5">
        <v>40</v>
      </c>
      <c r="C69" t="s" s="18">
        <v>150</v>
      </c>
      <c r="D69" t="s" s="7">
        <v>151</v>
      </c>
      <c r="E69" s="41">
        <v>45226</v>
      </c>
      <c r="F69" s="9">
        <v>397</v>
      </c>
      <c r="G69" t="s" s="10">
        <v>164</v>
      </c>
      <c r="H69" s="26">
        <v>39380.35</v>
      </c>
      <c r="I69" s="12">
        <v>39380</v>
      </c>
      <c r="J69" s="15">
        <f>I69-H69</f>
        <v>-0.35</v>
      </c>
      <c r="K69" t="s" s="14">
        <v>153</v>
      </c>
      <c r="L69" s="15"/>
      <c r="M69" s="8">
        <v>45263</v>
      </c>
      <c r="N69" s="20"/>
      <c r="O69" t="s" s="17">
        <v>24</v>
      </c>
    </row>
    <row r="70" ht="30.45" customHeight="1" hidden="1">
      <c r="A70" t="s" s="17">
        <v>39</v>
      </c>
      <c r="B70" t="s" s="5">
        <v>40</v>
      </c>
      <c r="C70" t="s" s="18">
        <v>150</v>
      </c>
      <c r="D70" t="s" s="7">
        <v>151</v>
      </c>
      <c r="E70" s="25">
        <v>45342</v>
      </c>
      <c r="F70" t="s" s="10">
        <v>165</v>
      </c>
      <c r="G70" t="s" s="10">
        <v>166</v>
      </c>
      <c r="H70" s="26">
        <v>21007.69</v>
      </c>
      <c r="I70" s="12">
        <v>21000</v>
      </c>
      <c r="J70" s="15">
        <f>I70-H70</f>
        <v>-7.69</v>
      </c>
      <c r="K70" t="s" s="14">
        <v>153</v>
      </c>
      <c r="L70" s="20"/>
      <c r="M70" s="43">
        <v>45379</v>
      </c>
      <c r="N70" s="16"/>
      <c r="O70" t="s" s="17">
        <v>24</v>
      </c>
    </row>
    <row r="71" ht="30.45" customHeight="1" hidden="1">
      <c r="A71" t="s" s="17">
        <v>49</v>
      </c>
      <c r="B71" t="s" s="5">
        <v>40</v>
      </c>
      <c r="C71" t="s" s="18">
        <v>150</v>
      </c>
      <c r="D71" t="s" s="7">
        <v>151</v>
      </c>
      <c r="E71" s="25">
        <v>45365</v>
      </c>
      <c r="F71" t="s" s="10">
        <v>167</v>
      </c>
      <c r="G71" t="s" s="10">
        <v>168</v>
      </c>
      <c r="H71" s="26">
        <v>12985.96</v>
      </c>
      <c r="I71" s="12">
        <v>12986</v>
      </c>
      <c r="J71" s="15">
        <f>I71-H71</f>
        <v>0.04</v>
      </c>
      <c r="K71" t="s" s="14">
        <v>153</v>
      </c>
      <c r="L71" s="15"/>
      <c r="M71" s="8">
        <v>45402</v>
      </c>
      <c r="N71" s="16"/>
      <c r="O71" t="s" s="17">
        <v>24</v>
      </c>
    </row>
    <row r="72" ht="30.45" customHeight="1" hidden="1">
      <c r="A72" t="s" s="17">
        <v>20</v>
      </c>
      <c r="B72" t="s" s="5">
        <v>40</v>
      </c>
      <c r="C72" t="s" s="18">
        <v>150</v>
      </c>
      <c r="D72" t="s" s="7">
        <v>151</v>
      </c>
      <c r="E72" s="8">
        <v>45449</v>
      </c>
      <c r="F72" t="s" s="10">
        <v>169</v>
      </c>
      <c r="G72" t="s" s="10">
        <v>170</v>
      </c>
      <c r="H72" s="15">
        <v>20575.6</v>
      </c>
      <c r="I72" s="12">
        <v>26304.31</v>
      </c>
      <c r="J72" s="15">
        <f>I72-H72</f>
        <v>5728.71</v>
      </c>
      <c r="K72" t="s" s="14">
        <v>153</v>
      </c>
      <c r="L72" s="15"/>
      <c r="M72" s="8">
        <v>45484</v>
      </c>
      <c r="N72" s="20"/>
      <c r="O72" t="s" s="17">
        <v>24</v>
      </c>
    </row>
    <row r="73" ht="30.45" customHeight="1" hidden="1">
      <c r="A73" t="s" s="17">
        <v>20</v>
      </c>
      <c r="B73" t="s" s="5">
        <v>40</v>
      </c>
      <c r="C73" t="s" s="23">
        <v>150</v>
      </c>
      <c r="D73" t="s" s="7">
        <v>151</v>
      </c>
      <c r="E73" s="8">
        <v>45485</v>
      </c>
      <c r="F73" t="s" s="10">
        <v>171</v>
      </c>
      <c r="G73" t="s" s="10">
        <v>172</v>
      </c>
      <c r="H73" s="15">
        <v>23364.52</v>
      </c>
      <c r="I73" s="12">
        <v>23364</v>
      </c>
      <c r="J73" s="15">
        <f>I73-H73</f>
        <v>-0.52</v>
      </c>
      <c r="K73" t="s" s="14">
        <v>153</v>
      </c>
      <c r="L73" s="20"/>
      <c r="M73" s="8">
        <v>45521</v>
      </c>
      <c r="N73" s="20"/>
      <c r="O73" t="s" s="17">
        <v>24</v>
      </c>
    </row>
    <row r="74" ht="30.45" customHeight="1" hidden="1">
      <c r="A74" t="s" s="17">
        <v>20</v>
      </c>
      <c r="B74" t="s" s="5">
        <v>40</v>
      </c>
      <c r="C74" t="s" s="18">
        <v>150</v>
      </c>
      <c r="D74" t="s" s="7">
        <v>151</v>
      </c>
      <c r="E74" s="8">
        <v>45604</v>
      </c>
      <c r="F74" t="s" s="10">
        <v>173</v>
      </c>
      <c r="G74" t="s" s="10">
        <v>174</v>
      </c>
      <c r="H74" s="19">
        <v>19839.35</v>
      </c>
      <c r="I74" s="12">
        <v>19840</v>
      </c>
      <c r="J74" s="15">
        <f>I74-H74</f>
        <v>0.65</v>
      </c>
      <c r="K74" t="s" s="14">
        <v>153</v>
      </c>
      <c r="L74" s="20"/>
      <c r="M74" s="16"/>
      <c r="N74" s="20"/>
      <c r="O74" t="s" s="17">
        <v>24</v>
      </c>
    </row>
    <row r="75" ht="30.45" customHeight="1" hidden="1">
      <c r="A75" t="s" s="21">
        <v>20</v>
      </c>
      <c r="B75" t="s" s="5">
        <v>40</v>
      </c>
      <c r="C75" t="s" s="18">
        <v>150</v>
      </c>
      <c r="D75" t="s" s="7">
        <v>151</v>
      </c>
      <c r="E75" s="8">
        <v>45638</v>
      </c>
      <c r="F75" t="s" s="10">
        <v>175</v>
      </c>
      <c r="G75" t="s" s="10">
        <v>176</v>
      </c>
      <c r="H75" s="19">
        <v>30122.74</v>
      </c>
      <c r="I75" s="12">
        <v>30123</v>
      </c>
      <c r="J75" s="15">
        <f>I75-H75</f>
        <v>0.26</v>
      </c>
      <c r="K75" t="s" s="14">
        <v>153</v>
      </c>
      <c r="L75" s="20"/>
      <c r="M75" s="16"/>
      <c r="N75" s="20"/>
      <c r="O75" t="s" s="17">
        <v>24</v>
      </c>
    </row>
    <row r="76" ht="30.45" customHeight="1" hidden="1">
      <c r="A76" t="s" s="17">
        <v>49</v>
      </c>
      <c r="B76" t="s" s="5">
        <v>40</v>
      </c>
      <c r="C76" t="s" s="28">
        <v>150</v>
      </c>
      <c r="D76" t="s" s="7">
        <v>151</v>
      </c>
      <c r="E76" s="8">
        <v>45707</v>
      </c>
      <c r="F76" t="s" s="10">
        <v>177</v>
      </c>
      <c r="G76" t="s" s="10">
        <v>178</v>
      </c>
      <c r="H76" s="29">
        <v>16390.66</v>
      </c>
      <c r="I76" s="12">
        <v>16390</v>
      </c>
      <c r="J76" s="15">
        <f>I76-H76</f>
        <v>-0.66</v>
      </c>
      <c r="K76" t="s" s="14">
        <v>153</v>
      </c>
      <c r="L76" s="20"/>
      <c r="M76" s="16"/>
      <c r="N76" s="20"/>
      <c r="O76" t="s" s="17">
        <v>24</v>
      </c>
    </row>
    <row r="77" ht="30.45" customHeight="1" hidden="1">
      <c r="A77" t="s" s="21">
        <v>20</v>
      </c>
      <c r="B77" t="s" s="5">
        <v>40</v>
      </c>
      <c r="C77" t="s" s="18">
        <v>150</v>
      </c>
      <c r="D77" t="s" s="7">
        <v>151</v>
      </c>
      <c r="E77" s="8">
        <v>45798</v>
      </c>
      <c r="F77" t="s" s="10">
        <v>179</v>
      </c>
      <c r="G77" t="s" s="10">
        <v>180</v>
      </c>
      <c r="H77" s="15">
        <v>13234.27</v>
      </c>
      <c r="I77" s="12">
        <v>13234.27</v>
      </c>
      <c r="J77" s="15">
        <f>I77-H77</f>
        <v>0</v>
      </c>
      <c r="K77" t="s" s="14">
        <v>153</v>
      </c>
      <c r="L77" s="20"/>
      <c r="M77" s="16"/>
      <c r="N77" s="20"/>
      <c r="O77" t="s" s="17">
        <v>24</v>
      </c>
    </row>
    <row r="78" ht="30.45" customHeight="1" hidden="1">
      <c r="A78" t="s" s="21">
        <v>20</v>
      </c>
      <c r="B78" t="s" s="5">
        <v>40</v>
      </c>
      <c r="C78" t="s" s="18">
        <v>150</v>
      </c>
      <c r="D78" t="s" s="7">
        <v>151</v>
      </c>
      <c r="E78" s="8">
        <v>45875</v>
      </c>
      <c r="F78" t="s" s="10">
        <v>181</v>
      </c>
      <c r="G78" t="s" s="10">
        <v>182</v>
      </c>
      <c r="H78" s="19">
        <v>6010.46</v>
      </c>
      <c r="I78" s="12">
        <v>6010</v>
      </c>
      <c r="J78" s="15">
        <f>I78-H78</f>
        <v>-0.46</v>
      </c>
      <c r="K78" t="s" s="14">
        <v>153</v>
      </c>
      <c r="L78" s="20"/>
      <c r="M78" s="16"/>
      <c r="N78" s="20"/>
      <c r="O78" t="s" s="17">
        <v>24</v>
      </c>
    </row>
    <row r="79" ht="30.45" customHeight="1" hidden="1">
      <c r="A79" t="s" s="21">
        <v>20</v>
      </c>
      <c r="B79" t="s" s="5">
        <v>40</v>
      </c>
      <c r="C79" t="s" s="18">
        <v>150</v>
      </c>
      <c r="D79" t="s" s="7">
        <v>151</v>
      </c>
      <c r="E79" s="8">
        <v>45924</v>
      </c>
      <c r="F79" t="s" s="10">
        <v>183</v>
      </c>
      <c r="G79" t="s" s="10">
        <v>184</v>
      </c>
      <c r="H79" s="19">
        <v>20982.7</v>
      </c>
      <c r="I79" s="12">
        <v>20982</v>
      </c>
      <c r="J79" s="15">
        <f>I79-H79</f>
        <v>-0.7</v>
      </c>
      <c r="K79" t="s" s="14">
        <v>153</v>
      </c>
      <c r="L79" s="20"/>
      <c r="M79" s="16"/>
      <c r="N79" s="20"/>
      <c r="O79" t="s" s="17">
        <v>24</v>
      </c>
    </row>
    <row r="80" ht="30.45" customHeight="1" hidden="1">
      <c r="A80" t="s" s="30">
        <v>39</v>
      </c>
      <c r="B80" t="s" s="5">
        <v>40</v>
      </c>
      <c r="C80" t="s" s="28">
        <v>150</v>
      </c>
      <c r="D80" t="s" s="7">
        <v>151</v>
      </c>
      <c r="E80" s="8">
        <v>46083</v>
      </c>
      <c r="F80" t="s" s="10">
        <v>185</v>
      </c>
      <c r="G80" t="s" s="10">
        <v>186</v>
      </c>
      <c r="H80" s="50">
        <v>2880.9</v>
      </c>
      <c r="I80" s="12">
        <v>3600</v>
      </c>
      <c r="J80" s="15">
        <f>I80-H80</f>
        <v>719.1</v>
      </c>
      <c r="K80" t="s" s="14">
        <v>153</v>
      </c>
      <c r="L80" s="20"/>
      <c r="M80" s="16"/>
      <c r="N80" s="20"/>
      <c r="O80" t="s" s="17">
        <v>24</v>
      </c>
    </row>
    <row r="81" ht="30.45" customHeight="1" hidden="1">
      <c r="A81" t="s" s="17">
        <v>20</v>
      </c>
      <c r="B81" t="s" s="5">
        <v>97</v>
      </c>
      <c r="C81" t="s" s="23">
        <v>150</v>
      </c>
      <c r="D81" t="s" s="7">
        <v>151</v>
      </c>
      <c r="E81" s="25">
        <v>45463</v>
      </c>
      <c r="F81" t="s" s="10">
        <v>187</v>
      </c>
      <c r="G81" t="s" s="10">
        <v>188</v>
      </c>
      <c r="H81" s="31">
        <v>32640.85</v>
      </c>
      <c r="I81" s="12">
        <v>32640</v>
      </c>
      <c r="J81" s="15">
        <f>I81-H81</f>
        <v>-0.85</v>
      </c>
      <c r="K81" t="s" s="14">
        <v>153</v>
      </c>
      <c r="L81" s="15"/>
      <c r="M81" s="16"/>
      <c r="N81" s="20"/>
      <c r="O81" t="s" s="17">
        <v>24</v>
      </c>
    </row>
    <row r="82" ht="30.45" customHeight="1" hidden="1">
      <c r="A82" t="s" s="17">
        <v>39</v>
      </c>
      <c r="B82" t="s" s="5">
        <v>79</v>
      </c>
      <c r="C82" t="s" s="18">
        <v>189</v>
      </c>
      <c r="D82" t="s" s="7">
        <v>15</v>
      </c>
      <c r="E82" s="25">
        <v>45205</v>
      </c>
      <c r="F82" s="9"/>
      <c r="G82" s="10"/>
      <c r="H82" s="26">
        <v>2167.4</v>
      </c>
      <c r="I82" s="12">
        <v>2167.4</v>
      </c>
      <c r="J82" s="15"/>
      <c r="K82" t="s" s="14">
        <v>17</v>
      </c>
      <c r="L82" s="15"/>
      <c r="M82" s="16"/>
      <c r="N82" s="20"/>
      <c r="O82" t="s" s="17">
        <v>24</v>
      </c>
    </row>
    <row r="83" ht="30.45" customHeight="1" hidden="1">
      <c r="A83" t="s" s="21">
        <v>20</v>
      </c>
      <c r="B83" t="s" s="5">
        <v>30</v>
      </c>
      <c r="C83" t="s" s="23">
        <v>189</v>
      </c>
      <c r="D83" t="s" s="7">
        <v>15</v>
      </c>
      <c r="E83" s="8">
        <v>45958</v>
      </c>
      <c r="F83" s="10"/>
      <c r="G83" t="s" s="10">
        <v>190</v>
      </c>
      <c r="H83" s="19">
        <v>9850</v>
      </c>
      <c r="I83" s="12">
        <f>H83</f>
        <v>9850</v>
      </c>
      <c r="J83" s="13">
        <f>I83-H83</f>
        <v>0</v>
      </c>
      <c r="K83" t="s" s="14">
        <v>17</v>
      </c>
      <c r="L83" s="20"/>
      <c r="M83" s="16"/>
      <c r="N83" s="20"/>
      <c r="O83" t="s" s="17">
        <v>24</v>
      </c>
    </row>
    <row r="84" ht="30.45" customHeight="1" hidden="1">
      <c r="A84" t="s" s="21">
        <v>20</v>
      </c>
      <c r="B84" t="s" s="5">
        <v>30</v>
      </c>
      <c r="C84" t="s" s="18">
        <v>191</v>
      </c>
      <c r="D84" t="s" s="7">
        <v>15</v>
      </c>
      <c r="E84" s="8">
        <v>46095</v>
      </c>
      <c r="F84" s="10"/>
      <c r="G84" t="s" s="10">
        <v>192</v>
      </c>
      <c r="H84" s="19">
        <v>12829</v>
      </c>
      <c r="I84" s="12">
        <f>H84</f>
        <v>12829</v>
      </c>
      <c r="J84" s="13">
        <f>I84-H84</f>
        <v>0</v>
      </c>
      <c r="K84" t="s" s="14">
        <v>17</v>
      </c>
      <c r="L84" s="20"/>
      <c r="M84" s="16"/>
      <c r="N84" s="20"/>
      <c r="O84" t="s" s="17">
        <v>24</v>
      </c>
    </row>
    <row r="85" ht="30.45" customHeight="1" hidden="1">
      <c r="A85" t="s" s="21">
        <v>20</v>
      </c>
      <c r="B85" t="s" s="5">
        <v>21</v>
      </c>
      <c r="C85" t="s" s="18">
        <v>193</v>
      </c>
      <c r="D85" t="s" s="7">
        <v>194</v>
      </c>
      <c r="E85" s="8">
        <v>45643</v>
      </c>
      <c r="F85" t="s" s="10">
        <v>195</v>
      </c>
      <c r="G85" t="s" s="10">
        <v>196</v>
      </c>
      <c r="H85" s="24">
        <v>24558.5</v>
      </c>
      <c r="I85" s="12">
        <v>24560</v>
      </c>
      <c r="J85" s="13">
        <f>I85-H85</f>
        <v>1.5</v>
      </c>
      <c r="K85" t="s" s="14">
        <v>87</v>
      </c>
      <c r="L85" s="20"/>
      <c r="M85" s="16"/>
      <c r="N85" s="20"/>
      <c r="O85" t="s" s="17">
        <v>24</v>
      </c>
    </row>
    <row r="86" ht="30.45" customHeight="1" hidden="1">
      <c r="A86" t="s" s="21">
        <v>20</v>
      </c>
      <c r="B86" t="s" s="5">
        <v>40</v>
      </c>
      <c r="C86" t="s" s="18">
        <v>193</v>
      </c>
      <c r="D86" t="s" s="7">
        <v>194</v>
      </c>
      <c r="E86" s="8">
        <v>46101</v>
      </c>
      <c r="F86" t="s" s="10">
        <v>197</v>
      </c>
      <c r="G86" t="s" s="10">
        <v>198</v>
      </c>
      <c r="H86" s="19">
        <v>39436.58</v>
      </c>
      <c r="I86" s="12">
        <f>H86</f>
        <v>39436.58</v>
      </c>
      <c r="J86" s="15">
        <f>I86-H86</f>
        <v>0</v>
      </c>
      <c r="K86" t="s" s="14">
        <v>87</v>
      </c>
      <c r="L86" s="20"/>
      <c r="M86" s="16"/>
      <c r="N86" s="20"/>
      <c r="O86" t="s" s="17">
        <v>24</v>
      </c>
    </row>
    <row r="87" ht="30.45" customHeight="1" hidden="1">
      <c r="A87" t="s" s="21">
        <v>20</v>
      </c>
      <c r="B87" t="s" s="5">
        <v>97</v>
      </c>
      <c r="C87" t="s" s="18">
        <v>193</v>
      </c>
      <c r="D87" t="s" s="7">
        <v>194</v>
      </c>
      <c r="E87" s="25">
        <v>45989</v>
      </c>
      <c r="F87" t="s" s="10">
        <v>199</v>
      </c>
      <c r="G87" t="s" s="10">
        <v>200</v>
      </c>
      <c r="H87" s="19">
        <v>61471.2</v>
      </c>
      <c r="I87" s="12">
        <f>H87</f>
        <v>61471.2</v>
      </c>
      <c r="J87" s="13">
        <f>I87-H87</f>
        <v>0</v>
      </c>
      <c r="K87" t="s" s="14">
        <v>87</v>
      </c>
      <c r="L87" s="20"/>
      <c r="M87" s="16"/>
      <c r="N87" s="20"/>
      <c r="O87" t="s" s="17">
        <v>24</v>
      </c>
    </row>
    <row r="88" ht="30.45" customHeight="1" hidden="1">
      <c r="A88" t="s" s="21">
        <v>20</v>
      </c>
      <c r="B88" t="s" s="5">
        <v>61</v>
      </c>
      <c r="C88" t="s" s="54">
        <v>193</v>
      </c>
      <c r="D88" t="s" s="7">
        <v>194</v>
      </c>
      <c r="E88" s="25">
        <v>45946</v>
      </c>
      <c r="F88" t="s" s="10">
        <v>201</v>
      </c>
      <c r="G88" t="s" s="10">
        <v>202</v>
      </c>
      <c r="H88" s="31">
        <v>24748.72</v>
      </c>
      <c r="I88" s="12">
        <f>H88</f>
        <v>24748.72</v>
      </c>
      <c r="J88" s="15">
        <f>I88-H88</f>
        <v>0</v>
      </c>
      <c r="K88" t="s" s="14">
        <v>87</v>
      </c>
      <c r="L88" s="15"/>
      <c r="M88" s="16"/>
      <c r="N88" s="20"/>
      <c r="O88" t="s" s="17">
        <v>24</v>
      </c>
    </row>
    <row r="89" ht="30.45" customHeight="1">
      <c r="A89" t="s" s="47">
        <v>203</v>
      </c>
      <c r="B89" t="s" s="5">
        <v>61</v>
      </c>
      <c r="C89" t="s" s="18">
        <v>193</v>
      </c>
      <c r="D89" t="s" s="7">
        <v>194</v>
      </c>
      <c r="E89" s="8">
        <v>46092</v>
      </c>
      <c r="F89" s="10"/>
      <c r="G89" t="s" s="10">
        <v>204</v>
      </c>
      <c r="H89" s="31">
        <v>30586.5</v>
      </c>
      <c r="I89" s="12">
        <v>30066.51</v>
      </c>
      <c r="J89" s="15">
        <f>I89-H89</f>
        <v>-519.99</v>
      </c>
      <c r="K89" t="s" s="14">
        <v>87</v>
      </c>
      <c r="L89" s="20"/>
      <c r="M89" s="16"/>
      <c r="N89" s="20"/>
      <c r="O89" t="s" s="17">
        <v>24</v>
      </c>
    </row>
    <row r="90" ht="30.45" customHeight="1" hidden="1">
      <c r="A90" t="s" s="21">
        <v>20</v>
      </c>
      <c r="B90" t="s" s="5">
        <v>21</v>
      </c>
      <c r="C90" t="s" s="18">
        <v>205</v>
      </c>
      <c r="D90" t="s" s="7">
        <v>206</v>
      </c>
      <c r="E90" s="8">
        <v>46003</v>
      </c>
      <c r="F90" t="s" s="10">
        <v>207</v>
      </c>
      <c r="G90" t="s" s="10">
        <v>208</v>
      </c>
      <c r="H90" s="19">
        <v>60428.14</v>
      </c>
      <c r="I90" s="12">
        <v>60428.15</v>
      </c>
      <c r="J90" s="13">
        <f>I90-H90</f>
        <v>0.01</v>
      </c>
      <c r="K90" t="s" s="14">
        <v>209</v>
      </c>
      <c r="L90" s="20"/>
      <c r="M90" s="16"/>
      <c r="N90" s="22"/>
      <c r="O90" t="s" s="17">
        <v>24</v>
      </c>
    </row>
    <row r="91" ht="30.45" customHeight="1" hidden="1">
      <c r="A91" t="s" s="21">
        <v>20</v>
      </c>
      <c r="B91" t="s" s="5">
        <v>21</v>
      </c>
      <c r="C91" t="s" s="18">
        <v>205</v>
      </c>
      <c r="D91" t="s" s="7">
        <v>206</v>
      </c>
      <c r="E91" s="8">
        <v>46046</v>
      </c>
      <c r="F91" t="s" s="10">
        <v>210</v>
      </c>
      <c r="G91" t="s" s="10">
        <v>211</v>
      </c>
      <c r="H91" s="19">
        <v>22012.2</v>
      </c>
      <c r="I91" s="12">
        <v>22012</v>
      </c>
      <c r="J91" s="13">
        <f>I91-H91</f>
        <v>-0.2</v>
      </c>
      <c r="K91" t="s" s="14">
        <v>209</v>
      </c>
      <c r="L91" s="20"/>
      <c r="M91" s="16"/>
      <c r="N91" s="22"/>
      <c r="O91" t="s" s="17">
        <v>24</v>
      </c>
    </row>
    <row r="92" ht="30.45" customHeight="1" hidden="1">
      <c r="A92" t="s" s="17">
        <v>39</v>
      </c>
      <c r="B92" t="s" s="5">
        <v>29</v>
      </c>
      <c r="C92" t="s" s="18">
        <v>205</v>
      </c>
      <c r="D92" t="s" s="7">
        <v>206</v>
      </c>
      <c r="E92" s="8">
        <v>45264</v>
      </c>
      <c r="F92" t="s" s="10">
        <v>24</v>
      </c>
      <c r="G92" s="55">
        <v>1747</v>
      </c>
      <c r="H92" s="26">
        <v>3556.25</v>
      </c>
      <c r="I92" s="12">
        <v>3556</v>
      </c>
      <c r="J92" s="20"/>
      <c r="K92" t="s" s="14">
        <v>209</v>
      </c>
      <c r="L92" s="20"/>
      <c r="M92" s="43">
        <v>45301</v>
      </c>
      <c r="N92" s="16"/>
      <c r="O92" t="s" s="17">
        <v>24</v>
      </c>
    </row>
    <row r="93" ht="30.45" customHeight="1" hidden="1">
      <c r="A93" t="s" s="17">
        <v>49</v>
      </c>
      <c r="B93" t="s" s="5">
        <v>47</v>
      </c>
      <c r="C93" t="s" s="18">
        <v>205</v>
      </c>
      <c r="D93" t="s" s="7">
        <v>206</v>
      </c>
      <c r="E93" s="8">
        <v>45253</v>
      </c>
      <c r="F93" s="9">
        <v>10244</v>
      </c>
      <c r="G93" s="55">
        <v>1746</v>
      </c>
      <c r="H93" s="56">
        <v>16436.51</v>
      </c>
      <c r="I93" s="57">
        <v>16436</v>
      </c>
      <c r="J93" s="15">
        <f>I93-H93</f>
        <v>-0.51</v>
      </c>
      <c r="K93" t="s" s="14">
        <v>209</v>
      </c>
      <c r="L93" s="15"/>
      <c r="M93" s="58">
        <v>45283</v>
      </c>
      <c r="N93" s="20"/>
      <c r="O93" t="s" s="17">
        <v>24</v>
      </c>
    </row>
    <row r="94" ht="30.45" customHeight="1" hidden="1">
      <c r="A94" t="s" s="17">
        <v>39</v>
      </c>
      <c r="B94" t="s" s="5">
        <v>47</v>
      </c>
      <c r="C94" t="s" s="28">
        <v>205</v>
      </c>
      <c r="D94" t="s" s="7">
        <v>206</v>
      </c>
      <c r="E94" s="8">
        <v>45358</v>
      </c>
      <c r="F94" s="9">
        <v>10446</v>
      </c>
      <c r="G94" t="s" s="10">
        <v>212</v>
      </c>
      <c r="H94" s="26">
        <v>15823.67</v>
      </c>
      <c r="I94" s="29">
        <v>3955.94</v>
      </c>
      <c r="J94" s="15">
        <f>I94-H94</f>
        <v>-11867.73</v>
      </c>
      <c r="K94" t="s" s="14">
        <v>209</v>
      </c>
      <c r="L94" s="15"/>
      <c r="M94" s="8">
        <v>45418</v>
      </c>
      <c r="N94" t="s" s="59">
        <v>213</v>
      </c>
      <c r="O94" t="s" s="17">
        <v>24</v>
      </c>
    </row>
    <row r="95" ht="30.45" customHeight="1" hidden="1">
      <c r="A95" t="s" s="17">
        <v>49</v>
      </c>
      <c r="B95" t="s" s="5">
        <v>47</v>
      </c>
      <c r="C95" t="s" s="28">
        <v>205</v>
      </c>
      <c r="D95" t="s" s="7">
        <v>206</v>
      </c>
      <c r="E95" s="25">
        <v>45408</v>
      </c>
      <c r="F95" s="9">
        <v>10544</v>
      </c>
      <c r="G95" t="s" s="10">
        <v>214</v>
      </c>
      <c r="H95" s="15">
        <v>12728.08</v>
      </c>
      <c r="I95" s="12">
        <v>12728</v>
      </c>
      <c r="J95" s="15">
        <f>I95-H95</f>
        <v>-0.08</v>
      </c>
      <c r="K95" t="s" s="14">
        <v>209</v>
      </c>
      <c r="L95" s="15"/>
      <c r="M95" s="8">
        <v>45438</v>
      </c>
      <c r="N95" s="20"/>
      <c r="O95" t="s" s="17">
        <v>24</v>
      </c>
    </row>
    <row r="96" ht="30.45" customHeight="1" hidden="1">
      <c r="A96" t="s" s="30">
        <v>49</v>
      </c>
      <c r="B96" t="s" s="5">
        <v>47</v>
      </c>
      <c r="C96" t="s" s="18">
        <v>205</v>
      </c>
      <c r="D96" t="s" s="7">
        <v>206</v>
      </c>
      <c r="E96" s="8">
        <v>45747</v>
      </c>
      <c r="F96" t="s" s="10">
        <v>215</v>
      </c>
      <c r="G96" t="s" s="10">
        <v>216</v>
      </c>
      <c r="H96" s="15">
        <v>29601.66</v>
      </c>
      <c r="I96" s="12">
        <v>29602</v>
      </c>
      <c r="J96" s="15">
        <f>I96-H96</f>
        <v>0.34</v>
      </c>
      <c r="K96" t="s" s="14">
        <v>209</v>
      </c>
      <c r="L96" s="20"/>
      <c r="M96" s="8"/>
      <c r="N96" s="20"/>
      <c r="O96" t="s" s="17">
        <v>24</v>
      </c>
    </row>
    <row r="97" ht="30.45" customHeight="1" hidden="1">
      <c r="A97" t="s" s="30">
        <v>49</v>
      </c>
      <c r="B97" t="s" s="5">
        <v>47</v>
      </c>
      <c r="C97" t="s" s="18">
        <v>205</v>
      </c>
      <c r="D97" t="s" s="7">
        <v>206</v>
      </c>
      <c r="E97" s="8">
        <v>45747</v>
      </c>
      <c r="F97" t="s" s="10">
        <v>217</v>
      </c>
      <c r="G97" t="s" s="10">
        <v>216</v>
      </c>
      <c r="H97" s="15">
        <v>17089.11</v>
      </c>
      <c r="I97" s="12">
        <v>17089</v>
      </c>
      <c r="J97" s="15">
        <f>I97-H97</f>
        <v>-0.11</v>
      </c>
      <c r="K97" t="s" s="14">
        <v>209</v>
      </c>
      <c r="L97" s="20"/>
      <c r="M97" s="8"/>
      <c r="N97" s="20"/>
      <c r="O97" t="s" s="17">
        <v>24</v>
      </c>
    </row>
    <row r="98" ht="30.45" customHeight="1" hidden="1">
      <c r="A98" t="s" s="21">
        <v>49</v>
      </c>
      <c r="B98" t="s" s="5">
        <v>47</v>
      </c>
      <c r="C98" t="s" s="18">
        <v>205</v>
      </c>
      <c r="D98" t="s" s="7">
        <v>206</v>
      </c>
      <c r="E98" s="8">
        <v>45967</v>
      </c>
      <c r="F98" t="s" s="10">
        <v>218</v>
      </c>
      <c r="G98" t="s" s="10">
        <v>219</v>
      </c>
      <c r="H98" s="19">
        <v>33819.1</v>
      </c>
      <c r="I98" s="12">
        <v>33819</v>
      </c>
      <c r="J98" s="15">
        <f>I98-H98</f>
        <v>-0.1</v>
      </c>
      <c r="K98" t="s" s="14">
        <v>209</v>
      </c>
      <c r="L98" s="20"/>
      <c r="M98" s="8"/>
      <c r="N98" s="20"/>
      <c r="O98" t="s" s="17">
        <v>24</v>
      </c>
    </row>
    <row r="99" ht="30.45" customHeight="1" hidden="1">
      <c r="A99" t="s" s="17">
        <v>20</v>
      </c>
      <c r="B99" t="s" s="5">
        <v>97</v>
      </c>
      <c r="C99" t="s" s="18">
        <v>205</v>
      </c>
      <c r="D99" t="s" s="7">
        <v>206</v>
      </c>
      <c r="E99" s="25">
        <v>45532</v>
      </c>
      <c r="F99" t="s" s="10">
        <v>220</v>
      </c>
      <c r="G99" t="s" s="10">
        <v>221</v>
      </c>
      <c r="H99" s="19">
        <v>69132.899999999994</v>
      </c>
      <c r="I99" s="12">
        <v>69132.899999999994</v>
      </c>
      <c r="J99" s="13">
        <f>I99-H99</f>
        <v>0</v>
      </c>
      <c r="K99" t="s" s="14">
        <v>24</v>
      </c>
      <c r="L99" s="20"/>
      <c r="M99" s="16"/>
      <c r="N99" s="20"/>
      <c r="O99" t="s" s="17">
        <v>24</v>
      </c>
    </row>
    <row r="100" ht="30.45" customHeight="1" hidden="1">
      <c r="A100" t="s" s="21">
        <v>20</v>
      </c>
      <c r="B100" t="s" s="5">
        <v>97</v>
      </c>
      <c r="C100" t="s" s="18">
        <v>205</v>
      </c>
      <c r="D100" t="s" s="7">
        <v>206</v>
      </c>
      <c r="E100" s="25">
        <v>45623</v>
      </c>
      <c r="F100" t="s" s="10">
        <v>222</v>
      </c>
      <c r="G100" t="s" s="10">
        <v>223</v>
      </c>
      <c r="H100" s="19">
        <v>66429.7</v>
      </c>
      <c r="I100" s="26"/>
      <c r="J100" s="13">
        <f>I100-H100</f>
        <v>-66429.7</v>
      </c>
      <c r="K100" t="s" s="14">
        <v>209</v>
      </c>
      <c r="L100" s="20"/>
      <c r="M100" s="16"/>
      <c r="N100" s="20"/>
      <c r="O100" t="s" s="17">
        <v>24</v>
      </c>
    </row>
    <row r="101" ht="30.45" customHeight="1" hidden="1">
      <c r="A101" t="s" s="21">
        <v>20</v>
      </c>
      <c r="B101" t="s" s="5">
        <v>61</v>
      </c>
      <c r="C101" t="s" s="18">
        <v>205</v>
      </c>
      <c r="D101" t="s" s="7">
        <v>206</v>
      </c>
      <c r="E101" s="25">
        <v>45737</v>
      </c>
      <c r="F101" t="s" s="10">
        <v>224</v>
      </c>
      <c r="G101" t="s" s="10">
        <v>225</v>
      </c>
      <c r="H101" s="31">
        <v>9472</v>
      </c>
      <c r="I101" s="12">
        <v>9472</v>
      </c>
      <c r="J101" s="15">
        <f>I101-H101</f>
        <v>0</v>
      </c>
      <c r="K101" t="s" s="14">
        <v>209</v>
      </c>
      <c r="L101" s="15"/>
      <c r="M101" s="16"/>
      <c r="N101" s="20"/>
      <c r="O101" t="s" s="17">
        <v>24</v>
      </c>
    </row>
    <row r="102" ht="30.45" customHeight="1" hidden="1">
      <c r="A102" t="s" s="60">
        <v>39</v>
      </c>
      <c r="B102" t="s" s="61">
        <v>68</v>
      </c>
      <c r="C102" t="s" s="18">
        <v>205</v>
      </c>
      <c r="D102" t="s" s="7">
        <v>206</v>
      </c>
      <c r="E102" s="25">
        <v>45348</v>
      </c>
      <c r="F102" s="16"/>
      <c r="G102" s="16"/>
      <c r="H102" s="19">
        <v>8320</v>
      </c>
      <c r="I102" s="40">
        <v>8320</v>
      </c>
      <c r="J102" s="15"/>
      <c r="K102" t="s" s="14">
        <v>209</v>
      </c>
      <c r="L102" s="15"/>
      <c r="M102" s="43">
        <v>45411</v>
      </c>
      <c r="N102" s="20"/>
      <c r="O102" t="s" s="17">
        <v>24</v>
      </c>
    </row>
    <row r="103" ht="30.45" customHeight="1" hidden="1">
      <c r="A103" t="s" s="21">
        <v>20</v>
      </c>
      <c r="B103" t="s" s="5">
        <v>68</v>
      </c>
      <c r="C103" t="s" s="18">
        <v>205</v>
      </c>
      <c r="D103" t="s" s="7">
        <v>206</v>
      </c>
      <c r="E103" s="25">
        <v>46017</v>
      </c>
      <c r="F103" s="16"/>
      <c r="G103" s="10"/>
      <c r="H103" s="19">
        <v>12192</v>
      </c>
      <c r="I103" s="12">
        <f>H103</f>
        <v>12192</v>
      </c>
      <c r="J103" s="15">
        <f>I103-H103</f>
        <v>0</v>
      </c>
      <c r="K103" t="s" s="14">
        <v>209</v>
      </c>
      <c r="L103" s="15"/>
      <c r="M103" s="22"/>
      <c r="N103" s="20"/>
      <c r="O103" t="s" s="17">
        <v>24</v>
      </c>
    </row>
    <row r="104" ht="30.45" customHeight="1" hidden="1">
      <c r="A104" t="s" s="21">
        <v>20</v>
      </c>
      <c r="B104" t="s" s="5">
        <v>68</v>
      </c>
      <c r="C104" t="s" s="18">
        <v>205</v>
      </c>
      <c r="D104" t="s" s="7">
        <v>206</v>
      </c>
      <c r="E104" s="25">
        <v>46062</v>
      </c>
      <c r="F104" s="16"/>
      <c r="G104" s="10"/>
      <c r="H104" s="19">
        <v>14400</v>
      </c>
      <c r="I104" s="12">
        <f>H104</f>
        <v>14400</v>
      </c>
      <c r="J104" s="15">
        <f>I104-H104</f>
        <v>0</v>
      </c>
      <c r="K104" t="s" s="14">
        <v>209</v>
      </c>
      <c r="L104" s="15"/>
      <c r="M104" s="22"/>
      <c r="N104" s="20"/>
      <c r="O104" t="s" s="17">
        <v>24</v>
      </c>
    </row>
    <row r="105" ht="30.45" customHeight="1" hidden="1">
      <c r="A105" t="s" s="36">
        <v>12</v>
      </c>
      <c r="B105" t="s" s="5">
        <v>21</v>
      </c>
      <c r="C105" t="s" s="23">
        <v>205</v>
      </c>
      <c r="D105" t="s" s="7">
        <v>206</v>
      </c>
      <c r="E105" s="8">
        <v>46157</v>
      </c>
      <c r="F105" t="s" s="10">
        <v>226</v>
      </c>
      <c r="G105" t="s" s="10">
        <v>227</v>
      </c>
      <c r="H105" s="19">
        <v>5951.38</v>
      </c>
      <c r="I105" s="15"/>
      <c r="J105" s="13">
        <f>I105-H105</f>
        <v>-5951.38</v>
      </c>
      <c r="K105" t="s" s="14">
        <v>209</v>
      </c>
      <c r="L105" s="20"/>
      <c r="M105" s="16"/>
      <c r="N105" s="22"/>
      <c r="O105" t="s" s="17">
        <v>24</v>
      </c>
    </row>
    <row r="106" ht="30.45" customHeight="1" hidden="1">
      <c r="A106" t="s" s="21">
        <v>49</v>
      </c>
      <c r="B106" t="s" s="5">
        <v>47</v>
      </c>
      <c r="C106" t="s" s="18">
        <v>228</v>
      </c>
      <c r="D106" t="s" s="7">
        <v>206</v>
      </c>
      <c r="E106" s="8">
        <v>46126</v>
      </c>
      <c r="F106" t="s" s="10">
        <v>229</v>
      </c>
      <c r="G106" t="s" s="10">
        <v>230</v>
      </c>
      <c r="H106" s="19">
        <v>31882.25</v>
      </c>
      <c r="I106" s="12">
        <f>H106</f>
        <v>31882.25</v>
      </c>
      <c r="J106" s="15">
        <f>I106-H106</f>
        <v>0</v>
      </c>
      <c r="K106" t="s" s="14">
        <v>209</v>
      </c>
      <c r="L106" s="20"/>
      <c r="M106" s="8"/>
      <c r="N106" s="20"/>
      <c r="O106" t="s" s="17">
        <v>24</v>
      </c>
    </row>
    <row r="107" ht="30.45" customHeight="1" hidden="1">
      <c r="A107" t="s" s="17">
        <v>39</v>
      </c>
      <c r="B107" t="s" s="5">
        <v>40</v>
      </c>
      <c r="C107" t="s" s="28">
        <v>231</v>
      </c>
      <c r="D107" t="s" s="7">
        <v>194</v>
      </c>
      <c r="E107" s="8">
        <v>45854</v>
      </c>
      <c r="F107" t="s" s="10">
        <v>232</v>
      </c>
      <c r="G107" t="s" s="10">
        <v>233</v>
      </c>
      <c r="H107" s="29">
        <v>112628.492</v>
      </c>
      <c r="I107" s="12">
        <v>112628.492</v>
      </c>
      <c r="J107" s="15">
        <f>I107-H107</f>
        <v>0</v>
      </c>
      <c r="K107" t="s" s="14">
        <v>87</v>
      </c>
      <c r="L107" s="20"/>
      <c r="M107" s="16"/>
      <c r="N107" s="20"/>
      <c r="O107" t="s" s="17">
        <v>24</v>
      </c>
    </row>
    <row r="108" ht="30.45" customHeight="1" hidden="1">
      <c r="A108" t="s" s="17">
        <v>39</v>
      </c>
      <c r="B108" t="s" s="5">
        <v>79</v>
      </c>
      <c r="C108" t="s" s="28">
        <v>234</v>
      </c>
      <c r="D108" t="s" s="7">
        <v>151</v>
      </c>
      <c r="E108" s="25">
        <v>45727</v>
      </c>
      <c r="F108" t="s" s="10">
        <v>235</v>
      </c>
      <c r="G108" t="s" s="10">
        <v>236</v>
      </c>
      <c r="H108" s="50">
        <v>7507.2</v>
      </c>
      <c r="I108" s="12">
        <v>7507.2</v>
      </c>
      <c r="J108" s="13">
        <f>I108-H108</f>
        <v>0</v>
      </c>
      <c r="K108" t="s" s="14">
        <v>153</v>
      </c>
      <c r="L108" s="20"/>
      <c r="M108" s="16"/>
      <c r="N108" s="20"/>
      <c r="O108" t="s" s="17">
        <v>24</v>
      </c>
    </row>
    <row r="109" ht="30.45" customHeight="1" hidden="1">
      <c r="A109" t="s" s="17">
        <v>39</v>
      </c>
      <c r="B109" t="s" s="5">
        <v>30</v>
      </c>
      <c r="C109" t="s" s="28">
        <v>234</v>
      </c>
      <c r="D109" t="s" s="7">
        <v>151</v>
      </c>
      <c r="E109" s="8">
        <v>45674</v>
      </c>
      <c r="F109" s="16"/>
      <c r="G109" t="s" s="10">
        <v>237</v>
      </c>
      <c r="H109" s="50">
        <v>26628</v>
      </c>
      <c r="I109" s="12">
        <v>26628</v>
      </c>
      <c r="J109" s="13">
        <f>I109-H109</f>
        <v>0</v>
      </c>
      <c r="K109" t="s" s="14">
        <v>153</v>
      </c>
      <c r="L109" s="20"/>
      <c r="M109" s="16"/>
      <c r="N109" s="20"/>
      <c r="O109" t="s" s="17">
        <v>24</v>
      </c>
    </row>
    <row r="110" ht="30.45" customHeight="1" hidden="1">
      <c r="A110" t="s" s="21">
        <v>39</v>
      </c>
      <c r="B110" t="s" s="5">
        <v>30</v>
      </c>
      <c r="C110" t="s" s="18">
        <v>234</v>
      </c>
      <c r="D110" t="s" s="7">
        <v>151</v>
      </c>
      <c r="E110" s="8">
        <v>46038</v>
      </c>
      <c r="F110" s="10"/>
      <c r="G110" t="s" s="10">
        <v>238</v>
      </c>
      <c r="H110" s="19">
        <v>8108.72</v>
      </c>
      <c r="I110" s="12">
        <f>H110</f>
        <v>8108.72</v>
      </c>
      <c r="J110" s="13">
        <f>I110-H110</f>
        <v>0</v>
      </c>
      <c r="K110" t="s" s="14">
        <v>153</v>
      </c>
      <c r="L110" s="20"/>
      <c r="M110" s="16"/>
      <c r="N110" s="20"/>
      <c r="O110" t="s" s="17">
        <v>24</v>
      </c>
    </row>
    <row r="111" ht="30.45" customHeight="1" hidden="1">
      <c r="A111" t="s" s="21">
        <v>39</v>
      </c>
      <c r="B111" t="s" s="5">
        <v>33</v>
      </c>
      <c r="C111" t="s" s="18">
        <v>234</v>
      </c>
      <c r="D111" t="s" s="7">
        <v>151</v>
      </c>
      <c r="E111" s="8">
        <v>45736</v>
      </c>
      <c r="F111" t="s" s="10">
        <v>239</v>
      </c>
      <c r="G111" t="s" s="10">
        <v>240</v>
      </c>
      <c r="H111" s="24">
        <v>10019.6</v>
      </c>
      <c r="I111" s="12">
        <v>10019.6</v>
      </c>
      <c r="J111" s="15">
        <f>I111-H111</f>
        <v>0</v>
      </c>
      <c r="K111" t="s" s="14">
        <v>153</v>
      </c>
      <c r="L111" s="15"/>
      <c r="M111" s="16"/>
      <c r="N111" s="20"/>
      <c r="O111" t="s" s="17">
        <v>24</v>
      </c>
    </row>
    <row r="112" ht="30.45" customHeight="1" hidden="1">
      <c r="A112" t="s" s="17">
        <v>39</v>
      </c>
      <c r="B112" t="s" s="5">
        <v>40</v>
      </c>
      <c r="C112" t="s" s="28">
        <v>234</v>
      </c>
      <c r="D112" t="s" s="7">
        <v>151</v>
      </c>
      <c r="E112" s="8">
        <v>45798</v>
      </c>
      <c r="F112" t="s" s="10">
        <v>241</v>
      </c>
      <c r="G112" t="s" s="10">
        <v>242</v>
      </c>
      <c r="H112" s="62">
        <v>12331.26</v>
      </c>
      <c r="I112" s="12">
        <v>12331.26</v>
      </c>
      <c r="J112" s="15">
        <f>I112-H112</f>
        <v>0</v>
      </c>
      <c r="K112" t="s" s="14">
        <v>153</v>
      </c>
      <c r="L112" s="20"/>
      <c r="M112" s="16"/>
      <c r="N112" s="20"/>
      <c r="O112" t="s" s="17">
        <v>24</v>
      </c>
    </row>
    <row r="113" ht="30.45" customHeight="1" hidden="1">
      <c r="A113" t="s" s="21">
        <v>39</v>
      </c>
      <c r="B113" t="s" s="5">
        <v>97</v>
      </c>
      <c r="C113" t="s" s="18">
        <v>234</v>
      </c>
      <c r="D113" t="s" s="7">
        <v>151</v>
      </c>
      <c r="E113" s="25">
        <v>46051</v>
      </c>
      <c r="F113" t="s" s="10">
        <v>243</v>
      </c>
      <c r="G113" t="s" s="10">
        <v>244</v>
      </c>
      <c r="H113" s="19">
        <v>28400.256</v>
      </c>
      <c r="I113" s="12">
        <v>28400</v>
      </c>
      <c r="J113" s="13">
        <f>I113-H113</f>
        <v>-0.256</v>
      </c>
      <c r="K113" t="s" s="14">
        <v>153</v>
      </c>
      <c r="L113" s="20"/>
      <c r="M113" s="16"/>
      <c r="N113" s="20"/>
      <c r="O113" t="s" s="17">
        <v>24</v>
      </c>
    </row>
    <row r="114" ht="30.45" customHeight="1" hidden="1">
      <c r="A114" t="s" s="4">
        <v>39</v>
      </c>
      <c r="B114" t="s" s="5">
        <v>68</v>
      </c>
      <c r="C114" t="s" s="18">
        <v>234</v>
      </c>
      <c r="D114" t="s" s="7">
        <v>151</v>
      </c>
      <c r="E114" s="25">
        <v>45894</v>
      </c>
      <c r="F114" s="16"/>
      <c r="G114" s="10"/>
      <c r="H114" s="19">
        <v>19040</v>
      </c>
      <c r="I114" s="12">
        <v>19040</v>
      </c>
      <c r="J114" s="15">
        <f>I114-H114</f>
        <v>0</v>
      </c>
      <c r="K114" t="s" s="14">
        <v>153</v>
      </c>
      <c r="L114" s="15"/>
      <c r="M114" s="22"/>
      <c r="N114" s="20"/>
      <c r="O114" t="s" s="17">
        <v>24</v>
      </c>
    </row>
    <row r="115" ht="30.45" customHeight="1" hidden="1">
      <c r="A115" t="s" s="21">
        <v>20</v>
      </c>
      <c r="B115" t="s" s="5">
        <v>21</v>
      </c>
      <c r="C115" t="s" s="23">
        <v>245</v>
      </c>
      <c r="D115" t="s" s="7">
        <v>246</v>
      </c>
      <c r="E115" s="8">
        <v>45684</v>
      </c>
      <c r="F115" t="s" s="10">
        <v>247</v>
      </c>
      <c r="G115" t="s" s="10">
        <v>248</v>
      </c>
      <c r="H115" s="19">
        <v>35115.14</v>
      </c>
      <c r="I115" s="12">
        <v>35115</v>
      </c>
      <c r="J115" s="13">
        <f>I115-H115</f>
        <v>-0.14</v>
      </c>
      <c r="K115" t="s" s="14">
        <v>153</v>
      </c>
      <c r="L115" s="20"/>
      <c r="M115" s="16"/>
      <c r="N115" s="20"/>
      <c r="O115" t="s" s="17">
        <v>24</v>
      </c>
    </row>
    <row r="116" ht="30.45" customHeight="1" hidden="1">
      <c r="A116" t="s" s="17">
        <v>20</v>
      </c>
      <c r="B116" t="s" s="5">
        <v>36</v>
      </c>
      <c r="C116" t="s" s="23">
        <v>245</v>
      </c>
      <c r="D116" t="s" s="7">
        <v>246</v>
      </c>
      <c r="E116" s="8">
        <v>45527</v>
      </c>
      <c r="F116" s="9">
        <v>3629</v>
      </c>
      <c r="G116" t="s" s="10">
        <v>249</v>
      </c>
      <c r="H116" s="19">
        <v>47835.5</v>
      </c>
      <c r="I116" s="12">
        <v>47835.5</v>
      </c>
      <c r="J116" s="13">
        <f>I116-H116</f>
        <v>0</v>
      </c>
      <c r="K116" t="s" s="14">
        <v>153</v>
      </c>
      <c r="L116" s="20"/>
      <c r="M116" s="16"/>
      <c r="N116" s="20"/>
      <c r="O116" t="s" s="17">
        <v>24</v>
      </c>
    </row>
    <row r="117" ht="30.45" customHeight="1" hidden="1">
      <c r="A117" t="s" s="17">
        <v>20</v>
      </c>
      <c r="B117" t="s" s="5">
        <v>36</v>
      </c>
      <c r="C117" t="s" s="18">
        <v>245</v>
      </c>
      <c r="D117" t="s" s="7">
        <v>246</v>
      </c>
      <c r="E117" s="8">
        <v>45596</v>
      </c>
      <c r="F117" t="s" s="10">
        <v>250</v>
      </c>
      <c r="G117" t="s" s="10">
        <v>251</v>
      </c>
      <c r="H117" s="19">
        <v>32032</v>
      </c>
      <c r="I117" s="12">
        <v>32032</v>
      </c>
      <c r="J117" s="15">
        <f>I117-H117</f>
        <v>0</v>
      </c>
      <c r="K117" t="s" s="14">
        <v>153</v>
      </c>
      <c r="L117" s="20"/>
      <c r="M117" s="16"/>
      <c r="N117" s="20"/>
      <c r="O117" t="s" s="17">
        <v>24</v>
      </c>
    </row>
    <row r="118" ht="30.45" customHeight="1" hidden="1">
      <c r="A118" t="s" s="21">
        <v>20</v>
      </c>
      <c r="B118" t="s" s="5">
        <v>36</v>
      </c>
      <c r="C118" t="s" s="18">
        <v>245</v>
      </c>
      <c r="D118" t="s" s="7">
        <v>246</v>
      </c>
      <c r="E118" s="8">
        <v>45633</v>
      </c>
      <c r="F118" t="s" s="10">
        <v>252</v>
      </c>
      <c r="G118" t="s" s="10">
        <v>253</v>
      </c>
      <c r="H118" s="19">
        <v>27242</v>
      </c>
      <c r="I118" s="12">
        <v>27243</v>
      </c>
      <c r="J118" s="13">
        <f>I118-H118</f>
        <v>1</v>
      </c>
      <c r="K118" t="s" s="14">
        <v>153</v>
      </c>
      <c r="L118" s="20"/>
      <c r="M118" s="16"/>
      <c r="N118" s="20"/>
      <c r="O118" t="s" s="17">
        <v>24</v>
      </c>
    </row>
    <row r="119" ht="30.45" customHeight="1" hidden="1">
      <c r="A119" t="s" s="21">
        <v>20</v>
      </c>
      <c r="B119" t="s" s="5">
        <v>36</v>
      </c>
      <c r="C119" t="s" s="18">
        <v>245</v>
      </c>
      <c r="D119" t="s" s="7">
        <v>246</v>
      </c>
      <c r="E119" s="8">
        <v>45731</v>
      </c>
      <c r="F119" t="s" s="10">
        <v>254</v>
      </c>
      <c r="G119" t="s" s="10">
        <v>255</v>
      </c>
      <c r="H119" s="19">
        <v>57446.3</v>
      </c>
      <c r="I119" s="12">
        <v>57446.31</v>
      </c>
      <c r="J119" s="15">
        <f>I119-H119</f>
        <v>0.01</v>
      </c>
      <c r="K119" t="s" s="14">
        <v>153</v>
      </c>
      <c r="L119" s="20"/>
      <c r="M119" s="16"/>
      <c r="N119" s="20"/>
      <c r="O119" t="s" s="17">
        <v>24</v>
      </c>
    </row>
    <row r="120" ht="30.45" customHeight="1" hidden="1">
      <c r="A120" t="s" s="21">
        <v>20</v>
      </c>
      <c r="B120" t="s" s="5">
        <v>36</v>
      </c>
      <c r="C120" t="s" s="18">
        <v>245</v>
      </c>
      <c r="D120" t="s" s="7">
        <v>246</v>
      </c>
      <c r="E120" s="25">
        <v>45999</v>
      </c>
      <c r="F120" t="s" s="10">
        <v>256</v>
      </c>
      <c r="G120" t="s" s="10">
        <v>257</v>
      </c>
      <c r="H120" s="19">
        <v>40946</v>
      </c>
      <c r="I120" s="12">
        <v>40950</v>
      </c>
      <c r="J120" s="15">
        <f>I120-H120</f>
        <v>4</v>
      </c>
      <c r="K120" t="s" s="14">
        <v>153</v>
      </c>
      <c r="L120" s="20"/>
      <c r="M120" s="16"/>
      <c r="N120" s="20"/>
      <c r="O120" t="s" s="17">
        <v>24</v>
      </c>
    </row>
    <row r="121" ht="30.45" customHeight="1" hidden="1">
      <c r="A121" t="s" s="17">
        <v>20</v>
      </c>
      <c r="B121" t="s" s="5">
        <v>40</v>
      </c>
      <c r="C121" t="s" s="23">
        <v>245</v>
      </c>
      <c r="D121" t="s" s="7">
        <v>246</v>
      </c>
      <c r="E121" s="8">
        <v>45525</v>
      </c>
      <c r="F121" t="s" s="10">
        <v>258</v>
      </c>
      <c r="G121" t="s" s="10">
        <v>259</v>
      </c>
      <c r="H121" s="15">
        <v>6066.09</v>
      </c>
      <c r="I121" s="12">
        <v>6066.09</v>
      </c>
      <c r="J121" s="15">
        <f>I121-H121</f>
        <v>0</v>
      </c>
      <c r="K121" t="s" s="14">
        <v>153</v>
      </c>
      <c r="L121" s="20"/>
      <c r="M121" s="16"/>
      <c r="N121" s="20"/>
      <c r="O121" t="s" s="17">
        <v>24</v>
      </c>
    </row>
    <row r="122" ht="30.45" customHeight="1" hidden="1">
      <c r="A122" t="s" s="17">
        <v>49</v>
      </c>
      <c r="B122" t="s" s="5">
        <v>40</v>
      </c>
      <c r="C122" t="s" s="18">
        <v>245</v>
      </c>
      <c r="D122" t="s" s="7">
        <v>246</v>
      </c>
      <c r="E122" s="8">
        <v>45553</v>
      </c>
      <c r="F122" t="s" s="10">
        <v>260</v>
      </c>
      <c r="G122" t="s" s="10">
        <v>261</v>
      </c>
      <c r="H122" s="15">
        <v>16432.45</v>
      </c>
      <c r="I122" s="12">
        <v>16432.45</v>
      </c>
      <c r="J122" s="15">
        <f>I122-H122</f>
        <v>0</v>
      </c>
      <c r="K122" t="s" s="14">
        <v>153</v>
      </c>
      <c r="L122" s="20"/>
      <c r="M122" s="16"/>
      <c r="N122" s="20"/>
      <c r="O122" t="s" s="17">
        <v>24</v>
      </c>
    </row>
    <row r="123" ht="30.45" customHeight="1" hidden="1">
      <c r="A123" t="s" s="17">
        <v>49</v>
      </c>
      <c r="B123" t="s" s="5">
        <v>47</v>
      </c>
      <c r="C123" t="s" s="18">
        <v>245</v>
      </c>
      <c r="D123" t="s" s="7">
        <v>246</v>
      </c>
      <c r="E123" s="8">
        <v>45358</v>
      </c>
      <c r="F123" s="9">
        <v>10444</v>
      </c>
      <c r="G123" t="s" s="10">
        <v>262</v>
      </c>
      <c r="H123" s="26">
        <v>27494.03</v>
      </c>
      <c r="I123" s="12">
        <v>27494.03</v>
      </c>
      <c r="J123" s="15"/>
      <c r="K123" t="s" s="14">
        <v>153</v>
      </c>
      <c r="L123" s="15"/>
      <c r="M123" s="8">
        <v>45388</v>
      </c>
      <c r="N123" s="20"/>
      <c r="O123" t="s" s="17">
        <v>24</v>
      </c>
    </row>
    <row r="124" ht="30.45" customHeight="1" hidden="1">
      <c r="A124" t="s" s="17">
        <v>39</v>
      </c>
      <c r="B124" t="s" s="5">
        <v>97</v>
      </c>
      <c r="C124" t="s" s="23">
        <v>245</v>
      </c>
      <c r="D124" t="s" s="7">
        <v>246</v>
      </c>
      <c r="E124" s="25">
        <v>45583</v>
      </c>
      <c r="F124" t="s" s="10">
        <v>263</v>
      </c>
      <c r="G124" t="s" s="10">
        <v>264</v>
      </c>
      <c r="H124" s="19">
        <v>37075.2</v>
      </c>
      <c r="I124" s="12">
        <v>37075.2</v>
      </c>
      <c r="J124" s="13">
        <f>I124-H124</f>
        <v>0</v>
      </c>
      <c r="K124" t="s" s="14">
        <v>153</v>
      </c>
      <c r="L124" s="20"/>
      <c r="M124" s="16"/>
      <c r="N124" s="20"/>
      <c r="O124" t="s" s="17">
        <v>24</v>
      </c>
    </row>
    <row r="125" ht="30.45" customHeight="1" hidden="1">
      <c r="A125" t="s" s="21">
        <v>20</v>
      </c>
      <c r="B125" t="s" s="5">
        <v>97</v>
      </c>
      <c r="C125" t="s" s="23">
        <v>245</v>
      </c>
      <c r="D125" t="s" s="7">
        <v>246</v>
      </c>
      <c r="E125" s="25">
        <v>45678</v>
      </c>
      <c r="F125" t="s" s="10">
        <v>265</v>
      </c>
      <c r="G125" t="s" s="10">
        <v>266</v>
      </c>
      <c r="H125" s="19">
        <v>52192.6</v>
      </c>
      <c r="I125" s="12">
        <v>52192.6</v>
      </c>
      <c r="J125" s="13">
        <f>I125-H125</f>
        <v>0</v>
      </c>
      <c r="K125" t="s" s="14">
        <v>153</v>
      </c>
      <c r="L125" s="20"/>
      <c r="M125" s="16"/>
      <c r="N125" s="20"/>
      <c r="O125" t="s" s="17">
        <v>24</v>
      </c>
    </row>
    <row r="126" ht="30.45" customHeight="1" hidden="1">
      <c r="A126" t="s" s="17">
        <v>39</v>
      </c>
      <c r="B126" t="s" s="5">
        <v>97</v>
      </c>
      <c r="C126" t="s" s="28">
        <v>245</v>
      </c>
      <c r="D126" t="s" s="7">
        <v>246</v>
      </c>
      <c r="E126" s="25">
        <v>45729</v>
      </c>
      <c r="F126" t="s" s="10">
        <v>267</v>
      </c>
      <c r="G126" t="s" s="10">
        <v>268</v>
      </c>
      <c r="H126" s="29">
        <v>19498.56</v>
      </c>
      <c r="I126" s="12">
        <v>19498.56</v>
      </c>
      <c r="J126" s="13">
        <f>I126-H126</f>
        <v>0</v>
      </c>
      <c r="K126" t="s" s="14">
        <v>153</v>
      </c>
      <c r="L126" s="20"/>
      <c r="M126" s="16"/>
      <c r="N126" s="20"/>
      <c r="O126" t="s" s="17">
        <v>24</v>
      </c>
    </row>
    <row r="127" ht="30.45" customHeight="1" hidden="1">
      <c r="A127" t="s" s="21">
        <v>20</v>
      </c>
      <c r="B127" t="s" s="5">
        <v>97</v>
      </c>
      <c r="C127" t="s" s="18">
        <v>245</v>
      </c>
      <c r="D127" t="s" s="7">
        <v>246</v>
      </c>
      <c r="E127" s="25">
        <v>45749</v>
      </c>
      <c r="F127" t="s" s="10">
        <v>269</v>
      </c>
      <c r="G127" t="s" s="10">
        <v>270</v>
      </c>
      <c r="H127" s="19">
        <v>28098.4</v>
      </c>
      <c r="I127" s="12">
        <v>28098.4</v>
      </c>
      <c r="J127" s="13">
        <f>I127-H127</f>
        <v>0</v>
      </c>
      <c r="K127" t="s" s="14">
        <v>153</v>
      </c>
      <c r="L127" s="20"/>
      <c r="M127" s="16"/>
      <c r="N127" s="20"/>
      <c r="O127" t="s" s="17">
        <v>24</v>
      </c>
    </row>
    <row r="128" ht="30.45" customHeight="1" hidden="1">
      <c r="A128" t="s" s="21">
        <v>20</v>
      </c>
      <c r="B128" t="s" s="5">
        <v>97</v>
      </c>
      <c r="C128" t="s" s="18">
        <v>245</v>
      </c>
      <c r="D128" t="s" s="7">
        <v>246</v>
      </c>
      <c r="E128" s="25">
        <v>45777</v>
      </c>
      <c r="F128" t="s" s="10">
        <v>271</v>
      </c>
      <c r="G128" t="s" s="10">
        <v>272</v>
      </c>
      <c r="H128" s="19">
        <v>25569</v>
      </c>
      <c r="I128" s="12">
        <v>25569</v>
      </c>
      <c r="J128" s="13">
        <f>I128-H128</f>
        <v>0</v>
      </c>
      <c r="K128" t="s" s="14">
        <v>153</v>
      </c>
      <c r="L128" s="20"/>
      <c r="M128" s="16"/>
      <c r="N128" s="20"/>
      <c r="O128" t="s" s="17">
        <v>24</v>
      </c>
    </row>
    <row r="129" ht="30.45" customHeight="1" hidden="1">
      <c r="A129" t="s" s="21">
        <v>20</v>
      </c>
      <c r="B129" t="s" s="5">
        <v>97</v>
      </c>
      <c r="C129" t="s" s="18">
        <v>245</v>
      </c>
      <c r="D129" t="s" s="7">
        <v>246</v>
      </c>
      <c r="E129" s="25">
        <v>45944</v>
      </c>
      <c r="F129" t="s" s="10">
        <v>273</v>
      </c>
      <c r="G129" t="s" s="10">
        <v>274</v>
      </c>
      <c r="H129" s="19">
        <v>21361</v>
      </c>
      <c r="I129" s="12">
        <v>21361</v>
      </c>
      <c r="J129" s="13">
        <f>I129-H129</f>
        <v>0</v>
      </c>
      <c r="K129" t="s" s="14">
        <v>153</v>
      </c>
      <c r="L129" s="20"/>
      <c r="M129" s="16"/>
      <c r="N129" s="20"/>
      <c r="O129" t="s" s="17">
        <v>24</v>
      </c>
    </row>
    <row r="130" ht="30.45" customHeight="1" hidden="1">
      <c r="A130" t="s" s="21">
        <v>20</v>
      </c>
      <c r="B130" t="s" s="5">
        <v>61</v>
      </c>
      <c r="C130" t="s" s="23">
        <v>245</v>
      </c>
      <c r="D130" t="s" s="7">
        <v>246</v>
      </c>
      <c r="E130" s="25">
        <v>45668</v>
      </c>
      <c r="F130" t="s" s="10">
        <v>275</v>
      </c>
      <c r="G130" t="s" s="10">
        <v>276</v>
      </c>
      <c r="H130" s="31">
        <v>24279.55</v>
      </c>
      <c r="I130" s="12">
        <v>24284.55</v>
      </c>
      <c r="J130" s="15">
        <f>I130-H130</f>
        <v>5</v>
      </c>
      <c r="K130" t="s" s="14">
        <v>153</v>
      </c>
      <c r="L130" s="15"/>
      <c r="M130" s="16"/>
      <c r="N130" s="20"/>
      <c r="O130" t="s" s="17">
        <v>24</v>
      </c>
    </row>
    <row r="131" ht="30.45" customHeight="1" hidden="1">
      <c r="A131" s="32"/>
      <c r="B131" t="s" s="5">
        <v>40</v>
      </c>
      <c r="C131" t="s" s="33">
        <v>245</v>
      </c>
      <c r="D131" t="s" s="7">
        <v>246</v>
      </c>
      <c r="E131" s="8"/>
      <c r="F131" s="10"/>
      <c r="G131" t="s" s="10">
        <v>277</v>
      </c>
      <c r="H131" s="15"/>
      <c r="I131" s="26"/>
      <c r="J131" s="15">
        <f>I131-H131</f>
        <v>0</v>
      </c>
      <c r="K131" t="s" s="14">
        <v>24</v>
      </c>
      <c r="L131" s="20"/>
      <c r="M131" s="16"/>
      <c r="N131" s="20"/>
      <c r="O131" t="s" s="17">
        <v>24</v>
      </c>
    </row>
    <row r="132" ht="30.45" customHeight="1" hidden="1">
      <c r="A132" t="s" s="21">
        <v>20</v>
      </c>
      <c r="B132" t="s" s="5">
        <v>33</v>
      </c>
      <c r="C132" t="s" s="18">
        <v>278</v>
      </c>
      <c r="D132" t="s" s="7">
        <v>117</v>
      </c>
      <c r="E132" s="8">
        <v>45979</v>
      </c>
      <c r="F132" t="s" s="10">
        <v>279</v>
      </c>
      <c r="G132" t="s" s="10">
        <v>280</v>
      </c>
      <c r="H132" s="19">
        <v>10125</v>
      </c>
      <c r="I132" s="12">
        <f>H132</f>
        <v>10125</v>
      </c>
      <c r="J132" s="15">
        <f>I132-H132</f>
        <v>0</v>
      </c>
      <c r="K132" t="s" s="14">
        <v>92</v>
      </c>
      <c r="L132" s="15"/>
      <c r="M132" s="16"/>
      <c r="N132" s="20"/>
      <c r="O132" t="s" s="17">
        <v>24</v>
      </c>
    </row>
    <row r="133" ht="30.45" customHeight="1" hidden="1">
      <c r="A133" t="s" s="21">
        <v>20</v>
      </c>
      <c r="B133" t="s" s="5">
        <v>33</v>
      </c>
      <c r="C133" t="s" s="18">
        <v>278</v>
      </c>
      <c r="D133" t="s" s="7">
        <v>117</v>
      </c>
      <c r="E133" s="8">
        <v>45998</v>
      </c>
      <c r="F133" t="s" s="10">
        <v>281</v>
      </c>
      <c r="G133" t="s" s="10">
        <v>282</v>
      </c>
      <c r="H133" s="19">
        <v>13761</v>
      </c>
      <c r="I133" s="12">
        <v>13761.83</v>
      </c>
      <c r="J133" s="15">
        <f>I133-H133</f>
        <v>0.83</v>
      </c>
      <c r="K133" t="s" s="14">
        <v>92</v>
      </c>
      <c r="L133" s="15"/>
      <c r="M133" s="16"/>
      <c r="N133" s="20"/>
      <c r="O133" t="s" s="17">
        <v>24</v>
      </c>
    </row>
    <row r="134" ht="30.45" customHeight="1" hidden="1">
      <c r="A134" t="s" s="21">
        <v>77</v>
      </c>
      <c r="B134" t="s" s="5">
        <v>33</v>
      </c>
      <c r="C134" t="s" s="23">
        <v>278</v>
      </c>
      <c r="D134" t="s" s="7">
        <v>117</v>
      </c>
      <c r="E134" s="8">
        <v>46193</v>
      </c>
      <c r="F134" t="s" s="10">
        <v>283</v>
      </c>
      <c r="G134" t="s" s="10">
        <v>284</v>
      </c>
      <c r="H134" s="49">
        <v>9888.299999999999</v>
      </c>
      <c r="I134" s="26"/>
      <c r="J134" s="15">
        <f>I134-H134</f>
        <v>-9888.299999999999</v>
      </c>
      <c r="K134" t="s" s="14">
        <v>92</v>
      </c>
      <c r="L134" s="20"/>
      <c r="M134" s="8"/>
      <c r="N134" s="20"/>
      <c r="O134" t="s" s="17">
        <v>24</v>
      </c>
    </row>
    <row r="135" ht="30.45" customHeight="1" hidden="1">
      <c r="A135" t="s" s="17">
        <v>39</v>
      </c>
      <c r="B135" t="s" s="5">
        <v>33</v>
      </c>
      <c r="C135" t="s" s="18">
        <v>285</v>
      </c>
      <c r="D135" t="s" s="7">
        <v>117</v>
      </c>
      <c r="E135" s="8">
        <v>45215</v>
      </c>
      <c r="F135" s="9">
        <v>4775</v>
      </c>
      <c r="G135" t="s" s="10">
        <v>286</v>
      </c>
      <c r="H135" s="19">
        <v>8952</v>
      </c>
      <c r="I135" s="12">
        <v>8952</v>
      </c>
      <c r="J135" s="15"/>
      <c r="K135" t="s" s="14">
        <v>92</v>
      </c>
      <c r="L135" s="39"/>
      <c r="M135" s="53">
        <v>45245</v>
      </c>
      <c r="N135" t="s" s="63">
        <v>287</v>
      </c>
      <c r="O135" t="s" s="17">
        <v>24</v>
      </c>
    </row>
    <row r="136" ht="30.45" customHeight="1" hidden="1">
      <c r="A136" t="s" s="17">
        <v>20</v>
      </c>
      <c r="B136" t="s" s="5">
        <v>33</v>
      </c>
      <c r="C136" t="s" s="18">
        <v>285</v>
      </c>
      <c r="D136" t="s" s="7">
        <v>117</v>
      </c>
      <c r="E136" s="8">
        <v>45438</v>
      </c>
      <c r="F136" t="s" s="10">
        <v>288</v>
      </c>
      <c r="G136" t="s" s="10">
        <v>289</v>
      </c>
      <c r="H136" s="26">
        <v>7587</v>
      </c>
      <c r="I136" s="40">
        <v>7586.57</v>
      </c>
      <c r="J136" s="15">
        <f>I136-H136</f>
        <v>-0.43</v>
      </c>
      <c r="K136" t="s" s="14">
        <v>92</v>
      </c>
      <c r="L136" s="15"/>
      <c r="M136" s="8">
        <v>45468</v>
      </c>
      <c r="N136" s="20"/>
      <c r="O136" t="s" s="17">
        <v>24</v>
      </c>
    </row>
    <row r="137" ht="30.45" customHeight="1" hidden="1">
      <c r="A137" t="s" s="17">
        <v>39</v>
      </c>
      <c r="B137" t="s" s="5">
        <v>33</v>
      </c>
      <c r="C137" t="s" s="18">
        <v>285</v>
      </c>
      <c r="D137" t="s" s="7">
        <v>117</v>
      </c>
      <c r="E137" s="8">
        <v>45544</v>
      </c>
      <c r="F137" t="s" s="10">
        <v>290</v>
      </c>
      <c r="G137" t="s" s="10">
        <v>291</v>
      </c>
      <c r="H137" s="19">
        <v>8883</v>
      </c>
      <c r="I137" s="12">
        <v>8883</v>
      </c>
      <c r="J137" s="15">
        <f>I137-H137</f>
        <v>0</v>
      </c>
      <c r="K137" t="s" s="14">
        <v>92</v>
      </c>
      <c r="L137" s="15"/>
      <c r="M137" s="16"/>
      <c r="N137" s="20"/>
      <c r="O137" t="s" s="17">
        <v>24</v>
      </c>
    </row>
    <row r="138" ht="30.45" customHeight="1" hidden="1">
      <c r="A138" t="s" s="17">
        <v>20</v>
      </c>
      <c r="B138" t="s" s="5">
        <v>33</v>
      </c>
      <c r="C138" t="s" s="23">
        <v>285</v>
      </c>
      <c r="D138" t="s" s="7">
        <v>117</v>
      </c>
      <c r="E138" s="8">
        <v>45593</v>
      </c>
      <c r="F138" t="s" s="10">
        <v>292</v>
      </c>
      <c r="G138" t="s" s="10">
        <v>293</v>
      </c>
      <c r="H138" s="19">
        <v>7911</v>
      </c>
      <c r="I138" s="12">
        <v>7911</v>
      </c>
      <c r="J138" s="15">
        <f>I138-H138</f>
        <v>0</v>
      </c>
      <c r="K138" t="s" s="14">
        <v>92</v>
      </c>
      <c r="L138" s="15"/>
      <c r="M138" s="27">
        <v>45623</v>
      </c>
      <c r="N138" s="20"/>
      <c r="O138" t="s" s="17">
        <v>24</v>
      </c>
    </row>
    <row r="139" ht="30.45" customHeight="1" hidden="1">
      <c r="A139" t="s" s="17">
        <v>20</v>
      </c>
      <c r="B139" t="s" s="5">
        <v>33</v>
      </c>
      <c r="C139" t="s" s="18">
        <v>285</v>
      </c>
      <c r="D139" t="s" s="7">
        <v>117</v>
      </c>
      <c r="E139" s="8">
        <v>45715</v>
      </c>
      <c r="F139" t="s" s="10">
        <v>294</v>
      </c>
      <c r="G139" t="s" s="10">
        <v>295</v>
      </c>
      <c r="H139" s="19">
        <v>13121.11</v>
      </c>
      <c r="I139" s="12">
        <v>13121</v>
      </c>
      <c r="J139" s="15">
        <f>I139-H139</f>
        <v>-0.11</v>
      </c>
      <c r="K139" t="s" s="14">
        <v>92</v>
      </c>
      <c r="L139" s="15"/>
      <c r="M139" s="16"/>
      <c r="N139" s="20"/>
      <c r="O139" t="s" s="17">
        <v>24</v>
      </c>
    </row>
    <row r="140" ht="30.45" customHeight="1" hidden="1">
      <c r="A140" t="s" s="21">
        <v>20</v>
      </c>
      <c r="B140" t="s" s="5">
        <v>33</v>
      </c>
      <c r="C140" t="s" s="23">
        <v>285</v>
      </c>
      <c r="D140" t="s" s="7">
        <v>117</v>
      </c>
      <c r="E140" s="8">
        <v>45768</v>
      </c>
      <c r="F140" t="s" s="10">
        <v>296</v>
      </c>
      <c r="G140" t="s" s="10">
        <v>297</v>
      </c>
      <c r="H140" s="24">
        <v>13629</v>
      </c>
      <c r="I140" s="12">
        <v>13629.8</v>
      </c>
      <c r="J140" s="15">
        <f>I140-H140</f>
        <v>0.8</v>
      </c>
      <c r="K140" t="s" s="14">
        <v>92</v>
      </c>
      <c r="L140" s="15"/>
      <c r="M140" s="16"/>
      <c r="N140" s="20"/>
      <c r="O140" t="s" s="17">
        <v>24</v>
      </c>
    </row>
    <row r="141" ht="30.45" customHeight="1" hidden="1">
      <c r="A141" t="s" s="21">
        <v>20</v>
      </c>
      <c r="B141" t="s" s="5">
        <v>33</v>
      </c>
      <c r="C141" t="s" s="23">
        <v>285</v>
      </c>
      <c r="D141" t="s" s="7">
        <v>117</v>
      </c>
      <c r="E141" s="8">
        <v>45912</v>
      </c>
      <c r="F141" t="s" s="10">
        <v>298</v>
      </c>
      <c r="G141" t="s" s="10">
        <v>299</v>
      </c>
      <c r="H141" s="19">
        <v>20343.6</v>
      </c>
      <c r="I141" s="12">
        <v>20342.2</v>
      </c>
      <c r="J141" s="13">
        <f>I141-H141</f>
        <v>-1.4</v>
      </c>
      <c r="K141" t="s" s="14">
        <v>92</v>
      </c>
      <c r="L141" s="15"/>
      <c r="M141" s="16"/>
      <c r="N141" s="20"/>
      <c r="O141" t="s" s="17">
        <v>24</v>
      </c>
    </row>
    <row r="142" ht="30.45" customHeight="1" hidden="1">
      <c r="A142" t="s" s="30">
        <v>39</v>
      </c>
      <c r="B142" t="s" s="5">
        <v>33</v>
      </c>
      <c r="C142" t="s" s="28">
        <v>285</v>
      </c>
      <c r="D142" t="s" s="7">
        <v>117</v>
      </c>
      <c r="E142" s="8">
        <v>46062</v>
      </c>
      <c r="F142" t="s" s="10">
        <v>300</v>
      </c>
      <c r="G142" t="s" s="10">
        <v>301</v>
      </c>
      <c r="H142" s="50">
        <v>11646</v>
      </c>
      <c r="I142" s="12">
        <f>H142</f>
        <v>11646</v>
      </c>
      <c r="J142" s="15">
        <f>I142-H142</f>
        <v>0</v>
      </c>
      <c r="K142" t="s" s="14">
        <v>92</v>
      </c>
      <c r="L142" s="20"/>
      <c r="M142" s="8"/>
      <c r="N142" s="20"/>
      <c r="O142" t="s" s="17">
        <v>24</v>
      </c>
    </row>
    <row r="143" ht="30.45" customHeight="1" hidden="1">
      <c r="A143" t="s" s="17">
        <v>49</v>
      </c>
      <c r="B143" t="s" s="5">
        <v>40</v>
      </c>
      <c r="C143" t="s" s="28">
        <v>302</v>
      </c>
      <c r="D143" t="s" s="7">
        <v>303</v>
      </c>
      <c r="E143" s="8">
        <v>45589</v>
      </c>
      <c r="F143" t="s" s="10">
        <v>304</v>
      </c>
      <c r="G143" t="s" s="10">
        <v>305</v>
      </c>
      <c r="H143" s="29">
        <v>34229.55</v>
      </c>
      <c r="I143" s="12">
        <v>34229.55</v>
      </c>
      <c r="J143" s="15">
        <f>I143-H143</f>
        <v>0</v>
      </c>
      <c r="K143" t="s" s="14">
        <v>306</v>
      </c>
      <c r="L143" s="20"/>
      <c r="M143" s="16"/>
      <c r="N143" s="20"/>
      <c r="O143" t="s" s="17">
        <v>24</v>
      </c>
    </row>
    <row r="144" ht="30.45" customHeight="1" hidden="1">
      <c r="A144" t="s" s="17">
        <v>49</v>
      </c>
      <c r="B144" t="s" s="5">
        <v>40</v>
      </c>
      <c r="C144" t="s" s="28">
        <v>302</v>
      </c>
      <c r="D144" t="s" s="7">
        <v>303</v>
      </c>
      <c r="E144" s="8">
        <v>45743</v>
      </c>
      <c r="F144" t="s" s="10">
        <v>307</v>
      </c>
      <c r="G144" t="s" s="10">
        <v>308</v>
      </c>
      <c r="H144" s="29">
        <v>33814.54</v>
      </c>
      <c r="I144" s="12">
        <v>33733.54</v>
      </c>
      <c r="J144" s="15">
        <f>I144-H144</f>
        <v>-81</v>
      </c>
      <c r="K144" t="s" s="14">
        <v>306</v>
      </c>
      <c r="L144" s="20"/>
      <c r="M144" s="16"/>
      <c r="N144" s="20"/>
      <c r="O144" t="s" s="17">
        <v>24</v>
      </c>
    </row>
    <row r="145" ht="30.45" customHeight="1" hidden="1">
      <c r="A145" t="s" s="17">
        <v>39</v>
      </c>
      <c r="B145" t="s" s="5">
        <v>29</v>
      </c>
      <c r="C145" t="s" s="28">
        <v>309</v>
      </c>
      <c r="D145" t="s" s="7">
        <v>15</v>
      </c>
      <c r="E145" s="8">
        <v>45702</v>
      </c>
      <c r="F145" t="s" s="10">
        <v>24</v>
      </c>
      <c r="G145" t="s" s="10">
        <v>310</v>
      </c>
      <c r="H145" s="50">
        <v>11285</v>
      </c>
      <c r="I145" s="12">
        <v>11285</v>
      </c>
      <c r="J145" s="13">
        <f>I145-H145</f>
        <v>0</v>
      </c>
      <c r="K145" t="s" s="14">
        <v>17</v>
      </c>
      <c r="L145" s="20"/>
      <c r="M145" s="20"/>
      <c r="N145" s="16"/>
      <c r="O145" t="s" s="17">
        <v>24</v>
      </c>
    </row>
    <row r="146" ht="30.45" customHeight="1" hidden="1">
      <c r="A146" t="s" s="21">
        <v>20</v>
      </c>
      <c r="B146" t="s" s="5">
        <v>36</v>
      </c>
      <c r="C146" t="s" s="18">
        <v>311</v>
      </c>
      <c r="D146" t="s" s="7">
        <v>206</v>
      </c>
      <c r="E146" s="8">
        <v>46129</v>
      </c>
      <c r="F146" s="9">
        <v>4066</v>
      </c>
      <c r="G146" t="s" s="10">
        <v>312</v>
      </c>
      <c r="H146" s="31">
        <v>26540.48</v>
      </c>
      <c r="I146" s="12">
        <v>26540</v>
      </c>
      <c r="J146" s="15">
        <f>I146-H146</f>
        <v>-0.48</v>
      </c>
      <c r="K146" t="s" s="14">
        <v>209</v>
      </c>
      <c r="L146" s="20"/>
      <c r="M146" s="16"/>
      <c r="N146" s="20"/>
      <c r="O146" t="s" s="17">
        <v>24</v>
      </c>
    </row>
    <row r="147" ht="30.45" customHeight="1" hidden="1">
      <c r="A147" t="s" s="21">
        <v>20</v>
      </c>
      <c r="B147" t="s" s="5">
        <v>97</v>
      </c>
      <c r="C147" t="s" s="18">
        <v>313</v>
      </c>
      <c r="D147" t="s" s="7">
        <v>314</v>
      </c>
      <c r="E147" s="25">
        <v>45856</v>
      </c>
      <c r="F147" t="s" s="10">
        <v>315</v>
      </c>
      <c r="G147" t="s" s="10">
        <v>316</v>
      </c>
      <c r="H147" s="19">
        <v>22800.9</v>
      </c>
      <c r="I147" s="12">
        <v>22800</v>
      </c>
      <c r="J147" s="13">
        <f>I147-H147</f>
        <v>-0.9</v>
      </c>
      <c r="K147" t="s" s="14">
        <v>17</v>
      </c>
      <c r="L147" s="20"/>
      <c r="M147" s="16"/>
      <c r="N147" s="20"/>
      <c r="O147" t="s" s="17">
        <v>24</v>
      </c>
    </row>
    <row r="148" ht="30.45" customHeight="1" hidden="1">
      <c r="A148" t="s" s="17">
        <v>133</v>
      </c>
      <c r="B148" t="s" s="5">
        <v>317</v>
      </c>
      <c r="C148" t="s" s="28">
        <v>318</v>
      </c>
      <c r="D148" t="s" s="7">
        <v>319</v>
      </c>
      <c r="E148" s="8">
        <v>45295</v>
      </c>
      <c r="F148" s="9">
        <v>123</v>
      </c>
      <c r="G148" s="55">
        <v>1778</v>
      </c>
      <c r="H148" s="26">
        <v>43493</v>
      </c>
      <c r="I148" s="26"/>
      <c r="J148" s="15">
        <f>I148-H148</f>
        <v>-43493</v>
      </c>
      <c r="K148" t="s" s="14">
        <v>17</v>
      </c>
      <c r="L148" s="20"/>
      <c r="M148" s="8">
        <v>45331</v>
      </c>
      <c r="N148" t="s" s="63">
        <v>320</v>
      </c>
      <c r="O148" t="s" s="17">
        <v>19</v>
      </c>
    </row>
    <row r="149" ht="30.45" customHeight="1" hidden="1">
      <c r="A149" t="s" s="17">
        <v>39</v>
      </c>
      <c r="B149" t="s" s="5">
        <v>36</v>
      </c>
      <c r="C149" t="s" s="28">
        <v>318</v>
      </c>
      <c r="D149" t="s" s="7">
        <v>319</v>
      </c>
      <c r="E149" s="8">
        <v>45624</v>
      </c>
      <c r="F149" t="s" s="10">
        <v>321</v>
      </c>
      <c r="G149" t="s" s="10">
        <v>322</v>
      </c>
      <c r="H149" s="50">
        <v>53931.2</v>
      </c>
      <c r="I149" s="12">
        <v>46371.66</v>
      </c>
      <c r="J149" s="15">
        <f>I149-H149</f>
        <v>-7559.54</v>
      </c>
      <c r="K149" t="s" s="14">
        <v>17</v>
      </c>
      <c r="L149" s="20"/>
      <c r="M149" s="16"/>
      <c r="N149" s="20"/>
      <c r="O149" t="s" s="17">
        <v>24</v>
      </c>
    </row>
    <row r="150" ht="30.45" customHeight="1" hidden="1">
      <c r="A150" t="s" s="17">
        <v>49</v>
      </c>
      <c r="B150" t="s" s="5">
        <v>47</v>
      </c>
      <c r="C150" t="s" s="28">
        <v>318</v>
      </c>
      <c r="D150" t="s" s="7">
        <v>319</v>
      </c>
      <c r="E150" s="8">
        <v>45610</v>
      </c>
      <c r="F150" t="s" s="10">
        <v>323</v>
      </c>
      <c r="G150" t="s" s="10">
        <v>324</v>
      </c>
      <c r="H150" s="29">
        <v>18477.6</v>
      </c>
      <c r="I150" s="12">
        <v>18477</v>
      </c>
      <c r="J150" s="15">
        <f>I150-H150</f>
        <v>-0.6</v>
      </c>
      <c r="K150" t="s" s="14">
        <v>17</v>
      </c>
      <c r="L150" s="20"/>
      <c r="M150" s="8"/>
      <c r="N150" s="20"/>
      <c r="O150" t="s" s="17">
        <v>24</v>
      </c>
    </row>
    <row r="151" ht="30.45" customHeight="1" hidden="1">
      <c r="A151" t="s" s="21">
        <v>49</v>
      </c>
      <c r="B151" t="s" s="5">
        <v>47</v>
      </c>
      <c r="C151" t="s" s="23">
        <v>318</v>
      </c>
      <c r="D151" t="s" s="7">
        <v>319</v>
      </c>
      <c r="E151" s="8">
        <v>45793</v>
      </c>
      <c r="F151" t="s" s="10">
        <v>325</v>
      </c>
      <c r="G151" t="s" s="10">
        <v>326</v>
      </c>
      <c r="H151" s="15">
        <v>30550.15</v>
      </c>
      <c r="I151" s="12">
        <f>7637.56+22912.59</f>
        <v>30550.15</v>
      </c>
      <c r="J151" s="15">
        <f>I151-H151</f>
        <v>0</v>
      </c>
      <c r="K151" t="s" s="14">
        <v>17</v>
      </c>
      <c r="L151" s="20"/>
      <c r="M151" s="8"/>
      <c r="N151" s="20"/>
      <c r="O151" t="s" s="17">
        <v>24</v>
      </c>
    </row>
    <row r="152" ht="30.45" customHeight="1" hidden="1">
      <c r="A152" t="s" s="17">
        <v>39</v>
      </c>
      <c r="B152" t="s" s="5">
        <v>97</v>
      </c>
      <c r="C152" t="s" s="64">
        <v>318</v>
      </c>
      <c r="D152" t="s" s="7">
        <v>319</v>
      </c>
      <c r="E152" s="25">
        <v>45358</v>
      </c>
      <c r="F152" s="9">
        <v>4684</v>
      </c>
      <c r="G152" t="s" s="10">
        <v>327</v>
      </c>
      <c r="H152" s="19">
        <v>78323.710000000006</v>
      </c>
      <c r="I152" s="12">
        <v>78323.710000000006</v>
      </c>
      <c r="J152" s="15"/>
      <c r="K152" t="s" s="14">
        <v>17</v>
      </c>
      <c r="L152" s="15"/>
      <c r="M152" t="s" s="14">
        <v>142</v>
      </c>
      <c r="N152" t="s" s="65">
        <v>328</v>
      </c>
      <c r="O152" t="s" s="17">
        <v>24</v>
      </c>
    </row>
    <row r="153" ht="30.45" customHeight="1" hidden="1">
      <c r="A153" t="s" s="17">
        <v>12</v>
      </c>
      <c r="B153" t="s" s="5">
        <v>61</v>
      </c>
      <c r="C153" t="s" s="52">
        <v>318</v>
      </c>
      <c r="D153" t="s" s="7">
        <v>319</v>
      </c>
      <c r="E153" s="41">
        <v>45230</v>
      </c>
      <c r="F153" t="s" s="10">
        <v>329</v>
      </c>
      <c r="G153" t="s" s="10">
        <v>330</v>
      </c>
      <c r="H153" s="26">
        <v>43816</v>
      </c>
      <c r="I153" s="12">
        <v>39634.36</v>
      </c>
      <c r="J153" s="62">
        <f>I153-H153</f>
        <v>-4181.64</v>
      </c>
      <c r="K153" t="s" s="14">
        <v>17</v>
      </c>
      <c r="L153" s="39"/>
      <c r="M153" s="16"/>
      <c r="N153" s="16"/>
      <c r="O153" t="s" s="17">
        <v>19</v>
      </c>
    </row>
    <row r="154" ht="30.45" customHeight="1" hidden="1">
      <c r="A154" t="s" s="21">
        <v>39</v>
      </c>
      <c r="B154" t="s" s="5">
        <v>36</v>
      </c>
      <c r="C154" t="s" s="18">
        <v>331</v>
      </c>
      <c r="D154" t="s" s="7">
        <v>319</v>
      </c>
      <c r="E154" s="25">
        <v>45947</v>
      </c>
      <c r="F154" t="s" s="10">
        <v>332</v>
      </c>
      <c r="G154" t="s" s="10">
        <v>333</v>
      </c>
      <c r="H154" s="19">
        <v>113288.16</v>
      </c>
      <c r="I154" s="12">
        <v>113293.11</v>
      </c>
      <c r="J154" s="15">
        <f>I154-H154</f>
        <v>4.95</v>
      </c>
      <c r="K154" t="s" s="14">
        <v>17</v>
      </c>
      <c r="L154" s="20"/>
      <c r="M154" s="16"/>
      <c r="N154" s="20"/>
      <c r="O154" t="s" s="17">
        <v>24</v>
      </c>
    </row>
    <row r="155" ht="30.45" customHeight="1" hidden="1">
      <c r="A155" t="s" s="17">
        <v>39</v>
      </c>
      <c r="B155" t="s" s="5">
        <v>21</v>
      </c>
      <c r="C155" t="s" s="18">
        <v>334</v>
      </c>
      <c r="D155" t="s" s="7">
        <v>319</v>
      </c>
      <c r="E155" s="41">
        <v>45255</v>
      </c>
      <c r="F155" s="9">
        <v>512</v>
      </c>
      <c r="G155" t="s" s="10">
        <v>335</v>
      </c>
      <c r="H155" s="19">
        <v>28809.32</v>
      </c>
      <c r="I155" s="12">
        <v>28808.92</v>
      </c>
      <c r="J155" s="15">
        <f>I155-H155</f>
        <v>-0.4</v>
      </c>
      <c r="K155" t="s" s="14">
        <v>17</v>
      </c>
      <c r="L155" s="15"/>
      <c r="M155" s="20"/>
      <c r="N155" s="20"/>
      <c r="O155" t="s" s="17">
        <v>24</v>
      </c>
    </row>
    <row r="156" ht="30.45" customHeight="1" hidden="1">
      <c r="A156" t="s" s="17">
        <v>20</v>
      </c>
      <c r="B156" t="s" s="5">
        <v>36</v>
      </c>
      <c r="C156" t="s" s="18">
        <v>334</v>
      </c>
      <c r="D156" t="s" s="7">
        <v>319</v>
      </c>
      <c r="E156" s="25">
        <v>45393</v>
      </c>
      <c r="F156" s="9">
        <v>3514</v>
      </c>
      <c r="G156" s="9">
        <v>2044</v>
      </c>
      <c r="H156" s="19">
        <v>78056.7</v>
      </c>
      <c r="I156" s="12">
        <v>78056.7</v>
      </c>
      <c r="J156" s="15"/>
      <c r="K156" t="s" s="14">
        <v>17</v>
      </c>
      <c r="L156" s="39"/>
      <c r="M156" s="22"/>
      <c r="N156" s="20"/>
      <c r="O156" t="s" s="17">
        <v>24</v>
      </c>
    </row>
    <row r="157" ht="30.45" customHeight="1" hidden="1">
      <c r="A157" t="s" s="17">
        <v>39</v>
      </c>
      <c r="B157" t="s" s="5">
        <v>36</v>
      </c>
      <c r="C157" t="s" s="18">
        <v>334</v>
      </c>
      <c r="D157" t="s" s="7">
        <v>319</v>
      </c>
      <c r="E157" s="8">
        <v>45485</v>
      </c>
      <c r="F157" s="16"/>
      <c r="G157" t="s" s="10">
        <v>336</v>
      </c>
      <c r="H157" s="39">
        <v>58265.2797047258</v>
      </c>
      <c r="I157" s="26">
        <v>58265.2797047258</v>
      </c>
      <c r="J157" s="13">
        <f>I157-H157</f>
        <v>0</v>
      </c>
      <c r="K157" t="s" s="14">
        <v>24</v>
      </c>
      <c r="L157" s="20"/>
      <c r="M157" s="16"/>
      <c r="N157" s="20"/>
      <c r="O157" t="s" s="17">
        <v>24</v>
      </c>
    </row>
    <row r="158" ht="30.45" customHeight="1" hidden="1">
      <c r="A158" t="s" s="21">
        <v>20</v>
      </c>
      <c r="B158" t="s" s="5">
        <v>36</v>
      </c>
      <c r="C158" t="s" s="18">
        <v>334</v>
      </c>
      <c r="D158" t="s" s="7">
        <v>319</v>
      </c>
      <c r="E158" s="8">
        <v>45633</v>
      </c>
      <c r="F158" t="s" s="10">
        <v>337</v>
      </c>
      <c r="G158" t="s" s="10">
        <v>338</v>
      </c>
      <c r="H158" s="19">
        <v>83554.3</v>
      </c>
      <c r="I158" s="12">
        <v>83555.3</v>
      </c>
      <c r="J158" s="13">
        <f>I158-H158</f>
        <v>1</v>
      </c>
      <c r="K158" t="s" s="14">
        <v>17</v>
      </c>
      <c r="L158" s="20"/>
      <c r="M158" s="16"/>
      <c r="N158" s="20"/>
      <c r="O158" t="s" s="17">
        <v>24</v>
      </c>
    </row>
    <row r="159" ht="30.45" customHeight="1" hidden="1">
      <c r="A159" t="s" s="21">
        <v>20</v>
      </c>
      <c r="B159" t="s" s="5">
        <v>36</v>
      </c>
      <c r="C159" t="s" s="18">
        <v>334</v>
      </c>
      <c r="D159" t="s" s="7">
        <v>319</v>
      </c>
      <c r="E159" s="8">
        <v>45731</v>
      </c>
      <c r="F159" t="s" s="10">
        <v>339</v>
      </c>
      <c r="G159" t="s" s="10">
        <v>340</v>
      </c>
      <c r="H159" s="19">
        <v>62016.9</v>
      </c>
      <c r="I159" s="12">
        <v>62016.92</v>
      </c>
      <c r="J159" s="15">
        <f>I159-H159</f>
        <v>0.02</v>
      </c>
      <c r="K159" t="s" s="14">
        <v>17</v>
      </c>
      <c r="L159" s="20"/>
      <c r="M159" s="16"/>
      <c r="N159" s="20"/>
      <c r="O159" t="s" s="17">
        <v>24</v>
      </c>
    </row>
    <row r="160" ht="30.45" customHeight="1" hidden="1">
      <c r="A160" t="s" s="4">
        <v>39</v>
      </c>
      <c r="B160" t="s" s="5">
        <v>36</v>
      </c>
      <c r="C160" t="s" s="18">
        <v>334</v>
      </c>
      <c r="D160" t="s" s="7">
        <v>319</v>
      </c>
      <c r="E160" s="25">
        <v>45999</v>
      </c>
      <c r="F160" t="s" s="10">
        <v>341</v>
      </c>
      <c r="G160" t="s" s="10">
        <v>342</v>
      </c>
      <c r="H160" s="19">
        <v>35418.864</v>
      </c>
      <c r="I160" s="12">
        <f>H160</f>
        <v>35418.864</v>
      </c>
      <c r="J160" s="15">
        <f>I160-H160</f>
        <v>0</v>
      </c>
      <c r="K160" t="s" s="14">
        <v>17</v>
      </c>
      <c r="L160" s="20"/>
      <c r="M160" s="16"/>
      <c r="N160" s="20"/>
      <c r="O160" t="s" s="17">
        <v>24</v>
      </c>
    </row>
    <row r="161" ht="30.45" customHeight="1" hidden="1">
      <c r="A161" t="s" s="17">
        <v>39</v>
      </c>
      <c r="B161" t="s" s="5">
        <v>47</v>
      </c>
      <c r="C161" t="s" s="18">
        <v>334</v>
      </c>
      <c r="D161" t="s" s="7">
        <v>319</v>
      </c>
      <c r="E161" s="8">
        <v>45527</v>
      </c>
      <c r="F161" t="s" s="10">
        <v>343</v>
      </c>
      <c r="G161" t="s" s="10">
        <v>344</v>
      </c>
      <c r="H161" s="15">
        <v>11363.08</v>
      </c>
      <c r="I161" s="12">
        <v>11363.08</v>
      </c>
      <c r="J161" s="15">
        <f>I161-H161</f>
        <v>0</v>
      </c>
      <c r="K161" t="s" s="14">
        <v>24</v>
      </c>
      <c r="L161" s="20"/>
      <c r="M161" s="8"/>
      <c r="N161" s="20"/>
      <c r="O161" t="s" s="17">
        <v>24</v>
      </c>
    </row>
    <row r="162" ht="30.45" customHeight="1" hidden="1">
      <c r="A162" t="s" s="21">
        <v>20</v>
      </c>
      <c r="B162" t="s" s="5">
        <v>97</v>
      </c>
      <c r="C162" t="s" s="23">
        <v>334</v>
      </c>
      <c r="D162" t="s" s="7">
        <v>319</v>
      </c>
      <c r="E162" s="25">
        <v>45800</v>
      </c>
      <c r="F162" t="s" s="10">
        <v>345</v>
      </c>
      <c r="G162" t="s" s="10">
        <v>346</v>
      </c>
      <c r="H162" s="19">
        <v>34573.63</v>
      </c>
      <c r="I162" s="12">
        <v>34573.63</v>
      </c>
      <c r="J162" s="13">
        <f>I162-H162</f>
        <v>0</v>
      </c>
      <c r="K162" t="s" s="14">
        <v>17</v>
      </c>
      <c r="L162" s="20"/>
      <c r="M162" s="16"/>
      <c r="N162" s="20"/>
      <c r="O162" t="s" s="17">
        <v>24</v>
      </c>
    </row>
    <row r="163" ht="30.45" customHeight="1" hidden="1">
      <c r="A163" t="s" s="17">
        <v>39</v>
      </c>
      <c r="B163" t="s" s="5">
        <v>29</v>
      </c>
      <c r="C163" t="s" s="18">
        <v>347</v>
      </c>
      <c r="D163" t="s" s="7">
        <v>15</v>
      </c>
      <c r="E163" s="8">
        <v>45264</v>
      </c>
      <c r="F163" t="s" s="10">
        <v>24</v>
      </c>
      <c r="G163" t="s" s="10">
        <v>348</v>
      </c>
      <c r="H163" s="26">
        <v>3310.8</v>
      </c>
      <c r="I163" s="12">
        <v>3310.8</v>
      </c>
      <c r="J163" s="15">
        <f>I163-H163</f>
        <v>0</v>
      </c>
      <c r="K163" t="s" s="14">
        <v>17</v>
      </c>
      <c r="L163" s="15"/>
      <c r="M163" s="43">
        <v>45301</v>
      </c>
      <c r="N163" s="16"/>
      <c r="O163" t="s" s="17">
        <v>24</v>
      </c>
    </row>
    <row r="164" ht="30.45" customHeight="1" hidden="1">
      <c r="A164" t="s" s="21">
        <v>20</v>
      </c>
      <c r="B164" t="s" s="5">
        <v>349</v>
      </c>
      <c r="C164" t="s" s="18">
        <v>347</v>
      </c>
      <c r="D164" t="s" s="7">
        <v>15</v>
      </c>
      <c r="E164" s="8">
        <v>46118</v>
      </c>
      <c r="F164" t="s" s="10">
        <v>350</v>
      </c>
      <c r="G164" t="s" s="10">
        <v>351</v>
      </c>
      <c r="H164" s="19">
        <v>2216.85</v>
      </c>
      <c r="I164" s="12">
        <v>2216.85</v>
      </c>
      <c r="J164" s="15"/>
      <c r="K164" t="s" s="14">
        <v>24</v>
      </c>
      <c r="L164" s="20"/>
      <c r="M164" s="16"/>
      <c r="N164" s="20"/>
      <c r="O164" t="s" s="17">
        <v>24</v>
      </c>
    </row>
    <row r="165" ht="30.45" customHeight="1" hidden="1">
      <c r="A165" t="s" s="17">
        <v>20</v>
      </c>
      <c r="B165" t="s" s="5">
        <v>68</v>
      </c>
      <c r="C165" t="s" s="18">
        <v>347</v>
      </c>
      <c r="D165" s="7"/>
      <c r="E165" s="25">
        <v>45271</v>
      </c>
      <c r="F165" s="9"/>
      <c r="G165" s="10"/>
      <c r="H165" s="19">
        <v>7260</v>
      </c>
      <c r="I165" s="12">
        <v>7260</v>
      </c>
      <c r="J165" s="15"/>
      <c r="K165" t="s" s="14">
        <v>24</v>
      </c>
      <c r="L165" s="15"/>
      <c r="M165" s="16"/>
      <c r="N165" t="s" s="63">
        <v>352</v>
      </c>
      <c r="O165" t="s" s="17">
        <v>24</v>
      </c>
    </row>
    <row r="166" ht="30.45" customHeight="1" hidden="1">
      <c r="A166" t="s" s="21">
        <v>20</v>
      </c>
      <c r="B166" t="s" s="5">
        <v>36</v>
      </c>
      <c r="C166" t="s" s="18">
        <v>353</v>
      </c>
      <c r="D166" t="s" s="7">
        <v>319</v>
      </c>
      <c r="E166" s="25">
        <v>45999</v>
      </c>
      <c r="F166" t="s" s="10">
        <v>354</v>
      </c>
      <c r="G166" t="s" s="10">
        <v>355</v>
      </c>
      <c r="H166" s="19">
        <v>33641.8</v>
      </c>
      <c r="I166" s="12">
        <f>H166</f>
        <v>33641.8</v>
      </c>
      <c r="J166" s="15">
        <f>I166-H166</f>
        <v>0</v>
      </c>
      <c r="K166" t="s" s="14">
        <v>17</v>
      </c>
      <c r="L166" s="20"/>
      <c r="M166" s="16"/>
      <c r="N166" s="20"/>
      <c r="O166" t="s" s="17">
        <v>24</v>
      </c>
    </row>
    <row r="167" ht="30.45" customHeight="1" hidden="1">
      <c r="A167" t="s" s="17">
        <v>39</v>
      </c>
      <c r="B167" t="s" s="5">
        <v>21</v>
      </c>
      <c r="C167" t="s" s="18">
        <v>356</v>
      </c>
      <c r="D167" t="s" s="7">
        <v>319</v>
      </c>
      <c r="E167" s="8">
        <v>45402</v>
      </c>
      <c r="F167" t="s" s="10">
        <v>357</v>
      </c>
      <c r="G167" t="s" s="10">
        <v>358</v>
      </c>
      <c r="H167" s="19">
        <v>46270.25</v>
      </c>
      <c r="I167" s="12">
        <v>46270.25</v>
      </c>
      <c r="J167" s="15">
        <f>I167-H167</f>
        <v>0</v>
      </c>
      <c r="K167" t="s" s="14">
        <v>17</v>
      </c>
      <c r="L167" s="15"/>
      <c r="M167" s="8"/>
      <c r="N167" t="s" s="65">
        <v>359</v>
      </c>
      <c r="O167" t="s" s="17">
        <v>24</v>
      </c>
    </row>
    <row r="168" ht="30.45" customHeight="1" hidden="1">
      <c r="A168" t="s" s="17">
        <v>39</v>
      </c>
      <c r="B168" t="s" s="5">
        <v>21</v>
      </c>
      <c r="C168" t="s" s="23">
        <v>356</v>
      </c>
      <c r="D168" t="s" s="7">
        <v>319</v>
      </c>
      <c r="E168" s="8">
        <v>45486</v>
      </c>
      <c r="F168" s="9">
        <v>760</v>
      </c>
      <c r="G168" t="s" s="10">
        <v>360</v>
      </c>
      <c r="H168" s="19">
        <v>47000.1</v>
      </c>
      <c r="I168" s="12">
        <v>47000.1</v>
      </c>
      <c r="J168" s="15">
        <f>I168-H168</f>
        <v>0</v>
      </c>
      <c r="K168" t="s" s="14">
        <v>17</v>
      </c>
      <c r="L168" s="15">
        <v>15130.1</v>
      </c>
      <c r="M168" s="8">
        <v>45521</v>
      </c>
      <c r="N168" s="20"/>
      <c r="O168" t="s" s="17">
        <v>24</v>
      </c>
    </row>
    <row r="169" ht="30.45" customHeight="1" hidden="1">
      <c r="A169" t="s" s="17">
        <v>20</v>
      </c>
      <c r="B169" t="s" s="5">
        <v>79</v>
      </c>
      <c r="C169" t="s" s="18">
        <v>356</v>
      </c>
      <c r="D169" t="s" s="7">
        <v>319</v>
      </c>
      <c r="E169" s="25">
        <v>45312</v>
      </c>
      <c r="F169" t="s" s="10">
        <v>361</v>
      </c>
      <c r="G169" t="s" s="10">
        <v>362</v>
      </c>
      <c r="H169" s="19">
        <v>21755</v>
      </c>
      <c r="I169" s="12">
        <v>21635</v>
      </c>
      <c r="J169" s="62">
        <f>I169-H169</f>
        <v>-120</v>
      </c>
      <c r="K169" t="s" s="14">
        <v>17</v>
      </c>
      <c r="L169" s="15"/>
      <c r="M169" s="43">
        <v>45349</v>
      </c>
      <c r="N169" t="s" s="23">
        <v>363</v>
      </c>
      <c r="O169" t="s" s="17">
        <v>24</v>
      </c>
    </row>
    <row r="170" ht="30.45" customHeight="1" hidden="1">
      <c r="A170" t="s" s="17">
        <v>39</v>
      </c>
      <c r="B170" t="s" s="5">
        <v>30</v>
      </c>
      <c r="C170" t="s" s="18">
        <v>356</v>
      </c>
      <c r="D170" t="s" s="7">
        <v>319</v>
      </c>
      <c r="E170" s="27">
        <v>45273</v>
      </c>
      <c r="F170" s="16"/>
      <c r="G170" s="9">
        <v>1767</v>
      </c>
      <c r="H170" s="19">
        <v>18857</v>
      </c>
      <c r="I170" s="12">
        <v>18857</v>
      </c>
      <c r="J170" s="15"/>
      <c r="K170" t="s" s="14">
        <v>17</v>
      </c>
      <c r="L170" s="20"/>
      <c r="M170" s="8">
        <v>45310</v>
      </c>
      <c r="N170" s="16"/>
      <c r="O170" t="s" s="17">
        <v>24</v>
      </c>
    </row>
    <row r="171" ht="30.45" customHeight="1" hidden="1">
      <c r="A171" t="s" s="4">
        <v>20</v>
      </c>
      <c r="B171" t="s" s="5">
        <v>30</v>
      </c>
      <c r="C171" t="s" s="23">
        <v>356</v>
      </c>
      <c r="D171" t="s" s="7">
        <v>319</v>
      </c>
      <c r="E171" s="8">
        <v>45443</v>
      </c>
      <c r="F171" s="16"/>
      <c r="G171" t="s" s="10">
        <v>364</v>
      </c>
      <c r="H171" s="19">
        <v>7324</v>
      </c>
      <c r="I171" s="40">
        <v>7324</v>
      </c>
      <c r="J171" s="15">
        <f>I171-H171</f>
        <v>0</v>
      </c>
      <c r="K171" t="s" s="14">
        <v>17</v>
      </c>
      <c r="L171" s="15"/>
      <c r="M171" s="8">
        <v>45478</v>
      </c>
      <c r="N171" s="20"/>
      <c r="O171" t="s" s="17">
        <v>24</v>
      </c>
    </row>
    <row r="172" ht="30.45" customHeight="1" hidden="1">
      <c r="A172" t="s" s="21">
        <v>20</v>
      </c>
      <c r="B172" t="s" s="5">
        <v>30</v>
      </c>
      <c r="C172" t="s" s="18">
        <v>356</v>
      </c>
      <c r="D172" t="s" s="7">
        <v>319</v>
      </c>
      <c r="E172" s="8">
        <v>45911</v>
      </c>
      <c r="F172" s="10"/>
      <c r="G172" t="s" s="10">
        <v>365</v>
      </c>
      <c r="H172" s="19">
        <v>10744</v>
      </c>
      <c r="I172" s="12">
        <v>10744</v>
      </c>
      <c r="J172" s="13">
        <f>I172-H172</f>
        <v>0</v>
      </c>
      <c r="K172" t="s" s="14">
        <v>17</v>
      </c>
      <c r="L172" s="20"/>
      <c r="M172" s="16"/>
      <c r="N172" s="20"/>
      <c r="O172" t="s" s="17">
        <v>24</v>
      </c>
    </row>
    <row r="173" ht="30.45" customHeight="1" hidden="1">
      <c r="A173" t="s" s="21">
        <v>20</v>
      </c>
      <c r="B173" t="s" s="5">
        <v>30</v>
      </c>
      <c r="C173" t="s" s="18">
        <v>356</v>
      </c>
      <c r="D173" t="s" s="7">
        <v>319</v>
      </c>
      <c r="E173" s="8">
        <v>45958</v>
      </c>
      <c r="F173" s="10"/>
      <c r="G173" t="s" s="10">
        <v>366</v>
      </c>
      <c r="H173" s="19">
        <v>12793</v>
      </c>
      <c r="I173" s="12">
        <f>H173</f>
        <v>12793</v>
      </c>
      <c r="J173" s="13">
        <f>I173-H173</f>
        <v>0</v>
      </c>
      <c r="K173" t="s" s="14">
        <v>17</v>
      </c>
      <c r="L173" s="20"/>
      <c r="M173" s="16"/>
      <c r="N173" s="20"/>
      <c r="O173" t="s" s="17">
        <v>24</v>
      </c>
    </row>
    <row r="174" ht="30.45" customHeight="1" hidden="1">
      <c r="A174" t="s" s="17">
        <v>20</v>
      </c>
      <c r="B174" t="s" s="5">
        <v>317</v>
      </c>
      <c r="C174" t="s" s="18">
        <v>356</v>
      </c>
      <c r="D174" t="s" s="7">
        <v>319</v>
      </c>
      <c r="E174" s="8">
        <v>45295</v>
      </c>
      <c r="F174" s="9">
        <v>128</v>
      </c>
      <c r="G174" s="55">
        <v>1821</v>
      </c>
      <c r="H174" s="26">
        <v>7196.8</v>
      </c>
      <c r="I174" s="12">
        <v>7196.8</v>
      </c>
      <c r="J174" s="20"/>
      <c r="K174" t="s" s="14">
        <v>17</v>
      </c>
      <c r="L174" s="20"/>
      <c r="M174" s="8">
        <v>45331</v>
      </c>
      <c r="N174" s="16"/>
      <c r="O174" t="s" s="17">
        <v>24</v>
      </c>
    </row>
    <row r="175" ht="30.45" customHeight="1" hidden="1">
      <c r="A175" t="s" s="17">
        <v>39</v>
      </c>
      <c r="B175" t="s" s="5">
        <v>33</v>
      </c>
      <c r="C175" t="s" s="18">
        <v>356</v>
      </c>
      <c r="D175" t="s" s="7">
        <v>319</v>
      </c>
      <c r="E175" s="8">
        <v>45271</v>
      </c>
      <c r="F175" s="9">
        <v>4874</v>
      </c>
      <c r="G175" s="55">
        <v>1775</v>
      </c>
      <c r="H175" s="26">
        <v>5364</v>
      </c>
      <c r="I175" s="12">
        <v>5364</v>
      </c>
      <c r="J175" s="20"/>
      <c r="K175" t="s" s="14">
        <v>17</v>
      </c>
      <c r="L175" s="20"/>
      <c r="M175" s="66">
        <v>45301</v>
      </c>
      <c r="N175" s="16"/>
      <c r="O175" t="s" s="17">
        <v>24</v>
      </c>
    </row>
    <row r="176" ht="30.45" customHeight="1" hidden="1">
      <c r="A176" t="s" s="17">
        <v>20</v>
      </c>
      <c r="B176" t="s" s="5">
        <v>36</v>
      </c>
      <c r="C176" t="s" s="18">
        <v>356</v>
      </c>
      <c r="D176" t="s" s="7">
        <v>319</v>
      </c>
      <c r="E176" s="25">
        <v>45408</v>
      </c>
      <c r="F176" s="9">
        <v>3513</v>
      </c>
      <c r="G176" s="9">
        <v>2087</v>
      </c>
      <c r="H176" s="19">
        <v>11077.9</v>
      </c>
      <c r="I176" s="12">
        <v>11077.9</v>
      </c>
      <c r="J176" s="39"/>
      <c r="K176" t="s" s="14">
        <v>17</v>
      </c>
      <c r="L176" s="39"/>
      <c r="M176" s="22"/>
      <c r="N176" s="20"/>
      <c r="O176" t="s" s="17">
        <v>24</v>
      </c>
    </row>
    <row r="177" ht="30.45" customHeight="1" hidden="1">
      <c r="A177" t="s" s="17">
        <v>39</v>
      </c>
      <c r="B177" t="s" s="5">
        <v>40</v>
      </c>
      <c r="C177" t="s" s="18">
        <v>356</v>
      </c>
      <c r="D177" t="s" s="7">
        <v>319</v>
      </c>
      <c r="E177" s="25">
        <v>45342</v>
      </c>
      <c r="F177" t="s" s="10">
        <v>367</v>
      </c>
      <c r="G177" t="s" s="10">
        <v>368</v>
      </c>
      <c r="H177" s="26">
        <v>19578.91</v>
      </c>
      <c r="I177" s="12">
        <v>19578.91</v>
      </c>
      <c r="J177" s="15"/>
      <c r="K177" t="s" s="14">
        <v>17</v>
      </c>
      <c r="L177" s="20"/>
      <c r="M177" s="8">
        <v>45379</v>
      </c>
      <c r="N177" s="16"/>
      <c r="O177" t="s" s="17">
        <v>24</v>
      </c>
    </row>
    <row r="178" ht="30.45" customHeight="1" hidden="1">
      <c r="A178" t="s" s="17">
        <v>20</v>
      </c>
      <c r="B178" t="s" s="5">
        <v>40</v>
      </c>
      <c r="C178" t="s" s="18">
        <v>356</v>
      </c>
      <c r="D178" t="s" s="7">
        <v>319</v>
      </c>
      <c r="E178" s="8">
        <v>45449</v>
      </c>
      <c r="F178" t="s" s="10">
        <v>369</v>
      </c>
      <c r="G178" t="s" s="10">
        <v>370</v>
      </c>
      <c r="H178" s="15">
        <v>10386.26</v>
      </c>
      <c r="I178" s="12">
        <v>10386.26</v>
      </c>
      <c r="J178" s="15">
        <f>I178-H178</f>
        <v>0</v>
      </c>
      <c r="K178" t="s" s="14">
        <v>17</v>
      </c>
      <c r="L178" s="15"/>
      <c r="M178" s="8">
        <v>45484</v>
      </c>
      <c r="N178" s="20"/>
      <c r="O178" t="s" s="17">
        <v>24</v>
      </c>
    </row>
    <row r="179" ht="30.45" customHeight="1" hidden="1">
      <c r="A179" t="s" s="17">
        <v>20</v>
      </c>
      <c r="B179" t="s" s="5">
        <v>40</v>
      </c>
      <c r="C179" t="s" s="18">
        <v>356</v>
      </c>
      <c r="D179" t="s" s="7">
        <v>319</v>
      </c>
      <c r="E179" s="8">
        <v>45707</v>
      </c>
      <c r="F179" t="s" s="10">
        <v>371</v>
      </c>
      <c r="G179" t="s" s="10">
        <v>372</v>
      </c>
      <c r="H179" s="19">
        <v>20291.34</v>
      </c>
      <c r="I179" s="12">
        <v>20291.34</v>
      </c>
      <c r="J179" s="15">
        <f>I179-H179</f>
        <v>0</v>
      </c>
      <c r="K179" t="s" s="14">
        <v>17</v>
      </c>
      <c r="L179" s="20"/>
      <c r="M179" s="16"/>
      <c r="N179" s="20"/>
      <c r="O179" t="s" s="17">
        <v>24</v>
      </c>
    </row>
    <row r="180" ht="30.45" customHeight="1" hidden="1">
      <c r="A180" t="s" s="21">
        <v>20</v>
      </c>
      <c r="B180" t="s" s="5">
        <v>97</v>
      </c>
      <c r="C180" t="s" s="18">
        <v>356</v>
      </c>
      <c r="D180" t="s" s="7">
        <v>319</v>
      </c>
      <c r="E180" s="25">
        <v>45793</v>
      </c>
      <c r="F180" t="s" s="10">
        <v>373</v>
      </c>
      <c r="G180" t="s" s="10">
        <v>374</v>
      </c>
      <c r="H180" s="19">
        <v>9279.5</v>
      </c>
      <c r="I180" s="12">
        <v>9279.5</v>
      </c>
      <c r="J180" s="13">
        <f>I180-H180</f>
        <v>0</v>
      </c>
      <c r="K180" t="s" s="14">
        <v>17</v>
      </c>
      <c r="L180" s="20"/>
      <c r="M180" s="16"/>
      <c r="N180" s="20"/>
      <c r="O180" t="s" s="17">
        <v>24</v>
      </c>
    </row>
    <row r="181" ht="30.45" customHeight="1" hidden="1">
      <c r="A181" t="s" s="21">
        <v>20</v>
      </c>
      <c r="B181" t="s" s="5">
        <v>61</v>
      </c>
      <c r="C181" t="s" s="18">
        <v>356</v>
      </c>
      <c r="D181" t="s" s="7">
        <v>319</v>
      </c>
      <c r="E181" s="8">
        <v>46041</v>
      </c>
      <c r="F181" t="s" s="10">
        <v>375</v>
      </c>
      <c r="G181" t="s" s="10">
        <v>376</v>
      </c>
      <c r="H181" s="31">
        <v>40056.4</v>
      </c>
      <c r="I181" s="12">
        <f>H181</f>
        <v>40056.4</v>
      </c>
      <c r="J181" s="15">
        <f>I181-H181</f>
        <v>0</v>
      </c>
      <c r="K181" t="s" s="14">
        <v>17</v>
      </c>
      <c r="L181" s="20"/>
      <c r="M181" s="16"/>
      <c r="N181" s="20"/>
      <c r="O181" t="s" s="17">
        <v>24</v>
      </c>
    </row>
    <row r="182" ht="30.45" customHeight="1" hidden="1">
      <c r="A182" t="s" s="21">
        <v>20</v>
      </c>
      <c r="B182" t="s" s="5">
        <v>68</v>
      </c>
      <c r="C182" t="s" s="18">
        <v>356</v>
      </c>
      <c r="D182" t="s" s="7">
        <v>319</v>
      </c>
      <c r="E182" s="25">
        <v>45866</v>
      </c>
      <c r="F182" s="16"/>
      <c r="G182" s="10"/>
      <c r="H182" s="19">
        <v>15846</v>
      </c>
      <c r="I182" s="12">
        <v>15846</v>
      </c>
      <c r="J182" s="15">
        <f>I182-H182</f>
        <v>0</v>
      </c>
      <c r="K182" t="s" s="14">
        <v>17</v>
      </c>
      <c r="L182" s="15"/>
      <c r="M182" s="22"/>
      <c r="N182" s="20"/>
      <c r="O182" t="s" s="17">
        <v>24</v>
      </c>
    </row>
    <row r="183" ht="30.45" customHeight="1" hidden="1">
      <c r="A183" t="s" s="21">
        <v>77</v>
      </c>
      <c r="B183" t="s" s="5">
        <v>79</v>
      </c>
      <c r="C183" t="s" s="23">
        <v>356</v>
      </c>
      <c r="D183" t="s" s="7">
        <v>319</v>
      </c>
      <c r="E183" s="8">
        <v>46157</v>
      </c>
      <c r="F183" s="10"/>
      <c r="G183" t="s" s="10">
        <v>377</v>
      </c>
      <c r="H183" s="19">
        <v>58636</v>
      </c>
      <c r="I183" s="15"/>
      <c r="J183" s="13">
        <f>I183-H183</f>
        <v>-58636</v>
      </c>
      <c r="K183" t="s" s="14">
        <v>17</v>
      </c>
      <c r="L183" s="20"/>
      <c r="M183" s="16"/>
      <c r="N183" s="20"/>
      <c r="O183" t="s" s="17">
        <v>24</v>
      </c>
    </row>
    <row r="184" ht="30.45" customHeight="1" hidden="1">
      <c r="A184" t="s" s="21">
        <v>20</v>
      </c>
      <c r="B184" t="s" s="5">
        <v>29</v>
      </c>
      <c r="C184" t="s" s="18">
        <v>378</v>
      </c>
      <c r="D184" t="s" s="7">
        <v>379</v>
      </c>
      <c r="E184" s="8">
        <v>46192</v>
      </c>
      <c r="F184" s="16"/>
      <c r="G184" t="s" s="10">
        <v>380</v>
      </c>
      <c r="H184" s="19">
        <v>5217.2</v>
      </c>
      <c r="I184" s="12">
        <f>H184</f>
        <v>5217.2</v>
      </c>
      <c r="J184" s="13">
        <f>I184-H184</f>
        <v>0</v>
      </c>
      <c r="K184" t="s" s="14">
        <v>87</v>
      </c>
      <c r="L184" s="20"/>
      <c r="M184" s="20"/>
      <c r="N184" s="16"/>
      <c r="O184" t="s" s="17">
        <v>24</v>
      </c>
    </row>
    <row r="185" ht="30.45" customHeight="1" hidden="1">
      <c r="A185" t="s" s="17">
        <v>39</v>
      </c>
      <c r="B185" t="s" s="5">
        <v>79</v>
      </c>
      <c r="C185" t="s" s="23">
        <v>381</v>
      </c>
      <c r="D185" t="s" s="7">
        <v>129</v>
      </c>
      <c r="E185" s="25">
        <v>45873</v>
      </c>
      <c r="F185" t="s" s="10">
        <v>86</v>
      </c>
      <c r="G185" s="10"/>
      <c r="H185" s="19">
        <v>16880.71</v>
      </c>
      <c r="I185" s="12">
        <v>16876</v>
      </c>
      <c r="J185" s="13">
        <f>I185-H185</f>
        <v>-4.71</v>
      </c>
      <c r="K185" t="s" s="14">
        <v>84</v>
      </c>
      <c r="L185" s="20"/>
      <c r="M185" s="16"/>
      <c r="N185" s="20"/>
      <c r="O185" t="s" s="17">
        <v>24</v>
      </c>
    </row>
    <row r="186" ht="30.45" customHeight="1" hidden="1">
      <c r="A186" t="s" s="17">
        <v>49</v>
      </c>
      <c r="B186" t="s" s="5">
        <v>40</v>
      </c>
      <c r="C186" t="s" s="28">
        <v>382</v>
      </c>
      <c r="D186" t="s" s="7">
        <v>383</v>
      </c>
      <c r="E186" s="8">
        <v>45604</v>
      </c>
      <c r="F186" t="s" s="10">
        <v>384</v>
      </c>
      <c r="G186" t="s" s="10">
        <v>385</v>
      </c>
      <c r="H186" s="29">
        <v>20255.12</v>
      </c>
      <c r="I186" s="12">
        <v>20255.12</v>
      </c>
      <c r="J186" s="15">
        <f>I186-H186</f>
        <v>0</v>
      </c>
      <c r="K186" t="s" s="14">
        <v>386</v>
      </c>
      <c r="L186" s="20"/>
      <c r="M186" s="16"/>
      <c r="N186" s="20"/>
      <c r="O186" t="s" s="17">
        <v>24</v>
      </c>
    </row>
    <row r="187" ht="30.45" customHeight="1" hidden="1">
      <c r="A187" t="s" s="17">
        <v>39</v>
      </c>
      <c r="B187" t="s" s="5">
        <v>97</v>
      </c>
      <c r="C187" t="s" s="28">
        <v>382</v>
      </c>
      <c r="D187" t="s" s="7">
        <v>383</v>
      </c>
      <c r="E187" s="25">
        <v>45513</v>
      </c>
      <c r="F187" t="s" s="10">
        <v>387</v>
      </c>
      <c r="G187" t="s" s="10">
        <v>388</v>
      </c>
      <c r="H187" s="15">
        <v>54996.288</v>
      </c>
      <c r="I187" s="29">
        <v>54996</v>
      </c>
      <c r="J187" s="13">
        <f>I187-H187</f>
        <v>-0.288</v>
      </c>
      <c r="K187" t="s" s="14">
        <v>386</v>
      </c>
      <c r="L187" s="20"/>
      <c r="M187" s="16"/>
      <c r="N187" s="20"/>
      <c r="O187" t="s" s="17">
        <v>24</v>
      </c>
    </row>
    <row r="188" ht="30.45" customHeight="1" hidden="1">
      <c r="A188" t="s" s="17">
        <v>39</v>
      </c>
      <c r="B188" t="s" s="5">
        <v>79</v>
      </c>
      <c r="C188" t="s" s="18">
        <v>389</v>
      </c>
      <c r="D188" t="s" s="7">
        <v>390</v>
      </c>
      <c r="E188" s="25">
        <v>45205</v>
      </c>
      <c r="F188" s="9">
        <v>14</v>
      </c>
      <c r="G188" s="9">
        <v>1446</v>
      </c>
      <c r="H188" s="26">
        <v>17709</v>
      </c>
      <c r="I188" s="12">
        <v>17709</v>
      </c>
      <c r="J188" s="15"/>
      <c r="K188" t="s" s="14">
        <v>92</v>
      </c>
      <c r="L188" s="39"/>
      <c r="M188" t="s" s="10">
        <v>391</v>
      </c>
      <c r="N188" s="16"/>
      <c r="O188" t="s" s="17">
        <v>24</v>
      </c>
    </row>
    <row r="189" ht="30.45" customHeight="1" hidden="1">
      <c r="A189" t="s" s="21">
        <v>20</v>
      </c>
      <c r="B189" t="s" s="5">
        <v>21</v>
      </c>
      <c r="C189" t="s" s="23">
        <v>392</v>
      </c>
      <c r="D189" t="s" s="7">
        <v>393</v>
      </c>
      <c r="E189" s="67">
        <v>45716</v>
      </c>
      <c r="F189" t="s" s="10">
        <v>394</v>
      </c>
      <c r="G189" t="s" s="10">
        <v>395</v>
      </c>
      <c r="H189" s="19">
        <v>25493.99</v>
      </c>
      <c r="I189" s="12">
        <v>25493</v>
      </c>
      <c r="J189" s="13">
        <f>I189-H189</f>
        <v>-0.99</v>
      </c>
      <c r="K189" t="s" s="14">
        <v>396</v>
      </c>
      <c r="L189" s="20"/>
      <c r="M189" s="16"/>
      <c r="N189" s="20"/>
      <c r="O189" t="s" s="17">
        <v>24</v>
      </c>
    </row>
    <row r="190" ht="30.45" customHeight="1" hidden="1">
      <c r="A190" t="s" s="17">
        <v>39</v>
      </c>
      <c r="B190" t="s" s="5">
        <v>33</v>
      </c>
      <c r="C190" t="s" s="28">
        <v>392</v>
      </c>
      <c r="D190" t="s" s="7">
        <v>393</v>
      </c>
      <c r="E190" t="s" s="10">
        <v>397</v>
      </c>
      <c r="F190" t="s" s="10">
        <v>398</v>
      </c>
      <c r="G190" t="s" s="10">
        <v>399</v>
      </c>
      <c r="H190" s="26">
        <v>23192.7</v>
      </c>
      <c r="I190" s="29">
        <v>22221.35</v>
      </c>
      <c r="J190" s="15">
        <f>I190-H190</f>
        <v>-971.35</v>
      </c>
      <c r="K190" t="s" s="14">
        <v>396</v>
      </c>
      <c r="L190" s="15"/>
      <c r="M190" s="8">
        <v>45439</v>
      </c>
      <c r="N190" s="20"/>
      <c r="O190" t="s" s="17">
        <v>24</v>
      </c>
    </row>
    <row r="191" ht="30.45" customHeight="1" hidden="1">
      <c r="A191" t="s" s="17">
        <v>39</v>
      </c>
      <c r="B191" t="s" s="5">
        <v>36</v>
      </c>
      <c r="C191" t="s" s="28">
        <v>392</v>
      </c>
      <c r="D191" t="s" s="7">
        <v>393</v>
      </c>
      <c r="E191" s="8">
        <v>45485</v>
      </c>
      <c r="F191" s="16"/>
      <c r="G191" t="s" s="10">
        <v>400</v>
      </c>
      <c r="H191" s="39">
        <v>79203</v>
      </c>
      <c r="I191" s="26">
        <v>79202.38</v>
      </c>
      <c r="J191" s="13">
        <f>I191-H191</f>
        <v>-0.62</v>
      </c>
      <c r="K191" t="s" s="14">
        <v>24</v>
      </c>
      <c r="L191" s="20"/>
      <c r="M191" s="16"/>
      <c r="N191" s="20"/>
      <c r="O191" t="s" s="17">
        <v>24</v>
      </c>
    </row>
    <row r="192" ht="30.45" customHeight="1" hidden="1">
      <c r="A192" t="s" s="17">
        <v>20</v>
      </c>
      <c r="B192" t="s" s="5">
        <v>36</v>
      </c>
      <c r="C192" t="s" s="18">
        <v>392</v>
      </c>
      <c r="D192" t="s" s="7">
        <v>393</v>
      </c>
      <c r="E192" s="25">
        <v>45596</v>
      </c>
      <c r="F192" t="s" s="10">
        <v>401</v>
      </c>
      <c r="G192" t="s" s="10">
        <v>402</v>
      </c>
      <c r="H192" s="19">
        <v>72280</v>
      </c>
      <c r="I192" s="12">
        <v>72280</v>
      </c>
      <c r="J192" s="15">
        <f>I192-H192</f>
        <v>0</v>
      </c>
      <c r="K192" t="s" s="14">
        <v>396</v>
      </c>
      <c r="L192" s="20"/>
      <c r="M192" s="16"/>
      <c r="N192" s="20"/>
      <c r="O192" t="s" s="17">
        <v>24</v>
      </c>
    </row>
    <row r="193" ht="30.45" customHeight="1" hidden="1">
      <c r="A193" t="s" s="21">
        <v>39</v>
      </c>
      <c r="B193" t="s" s="5">
        <v>40</v>
      </c>
      <c r="C193" t="s" s="18">
        <v>392</v>
      </c>
      <c r="D193" t="s" s="7">
        <v>393</v>
      </c>
      <c r="E193" s="8">
        <v>45995</v>
      </c>
      <c r="F193" t="s" s="10">
        <v>403</v>
      </c>
      <c r="G193" t="s" s="10">
        <v>404</v>
      </c>
      <c r="H193" s="19">
        <v>31532.71</v>
      </c>
      <c r="I193" s="12">
        <v>31530.71</v>
      </c>
      <c r="J193" s="15">
        <f>I193-H193</f>
        <v>-2</v>
      </c>
      <c r="K193" t="s" s="14">
        <v>396</v>
      </c>
      <c r="L193" s="20"/>
      <c r="M193" s="16"/>
      <c r="N193" s="20"/>
      <c r="O193" t="s" s="17">
        <v>24</v>
      </c>
    </row>
    <row r="194" ht="30.45" customHeight="1" hidden="1">
      <c r="A194" t="s" s="21">
        <v>20</v>
      </c>
      <c r="B194" t="s" s="5">
        <v>30</v>
      </c>
      <c r="C194" t="s" s="18">
        <v>405</v>
      </c>
      <c r="D194" t="s" s="7">
        <v>151</v>
      </c>
      <c r="E194" s="8">
        <v>45751</v>
      </c>
      <c r="F194" s="16"/>
      <c r="G194" t="s" s="10">
        <v>406</v>
      </c>
      <c r="H194" s="19">
        <v>12985</v>
      </c>
      <c r="I194" s="12">
        <v>12985</v>
      </c>
      <c r="J194" s="13">
        <f>I194-H194</f>
        <v>0</v>
      </c>
      <c r="K194" t="s" s="14">
        <v>153</v>
      </c>
      <c r="L194" s="20"/>
      <c r="M194" s="16"/>
      <c r="N194" s="20"/>
      <c r="O194" t="s" s="17">
        <v>24</v>
      </c>
    </row>
    <row r="195" ht="30.45" customHeight="1" hidden="1">
      <c r="A195" t="s" s="17">
        <v>20</v>
      </c>
      <c r="B195" t="s" s="5">
        <v>97</v>
      </c>
      <c r="C195" t="s" s="18">
        <v>405</v>
      </c>
      <c r="D195" t="s" s="7">
        <v>151</v>
      </c>
      <c r="E195" s="25">
        <v>45576</v>
      </c>
      <c r="F195" t="s" s="10">
        <v>407</v>
      </c>
      <c r="G195" t="s" s="10">
        <v>408</v>
      </c>
      <c r="H195" s="19">
        <v>39699.8</v>
      </c>
      <c r="I195" s="12">
        <v>39699.86</v>
      </c>
      <c r="J195" s="13">
        <f>I195-H195</f>
        <v>0.06</v>
      </c>
      <c r="K195" t="s" s="14">
        <v>153</v>
      </c>
      <c r="L195" s="20"/>
      <c r="M195" s="16"/>
      <c r="N195" s="20"/>
      <c r="O195" t="s" s="17">
        <v>24</v>
      </c>
    </row>
    <row r="196" ht="30.45" customHeight="1" hidden="1">
      <c r="A196" t="s" s="21">
        <v>20</v>
      </c>
      <c r="B196" t="s" s="5">
        <v>97</v>
      </c>
      <c r="C196" t="s" s="23">
        <v>405</v>
      </c>
      <c r="D196" t="s" s="7">
        <v>151</v>
      </c>
      <c r="E196" s="25">
        <v>45729</v>
      </c>
      <c r="F196" t="s" s="10">
        <v>409</v>
      </c>
      <c r="G196" t="s" s="10">
        <v>410</v>
      </c>
      <c r="H196" s="19">
        <v>44024.8</v>
      </c>
      <c r="I196" s="12">
        <v>44024.8</v>
      </c>
      <c r="J196" s="13">
        <f>I196-H196</f>
        <v>0</v>
      </c>
      <c r="K196" t="s" s="14">
        <v>153</v>
      </c>
      <c r="L196" s="20"/>
      <c r="M196" s="16"/>
      <c r="N196" s="20"/>
      <c r="O196" t="s" s="17">
        <v>24</v>
      </c>
    </row>
    <row r="197" ht="30.45" customHeight="1" hidden="1">
      <c r="A197" t="s" s="21">
        <v>20</v>
      </c>
      <c r="B197" t="s" s="5">
        <v>97</v>
      </c>
      <c r="C197" t="s" s="18">
        <v>405</v>
      </c>
      <c r="D197" t="s" s="7">
        <v>151</v>
      </c>
      <c r="E197" s="25">
        <v>45831</v>
      </c>
      <c r="F197" t="s" s="10">
        <v>411</v>
      </c>
      <c r="G197" t="s" s="10">
        <v>412</v>
      </c>
      <c r="H197" s="19">
        <v>26241</v>
      </c>
      <c r="I197" s="12">
        <v>26239.97</v>
      </c>
      <c r="J197" s="13">
        <f>I197-H197</f>
        <v>-1.03</v>
      </c>
      <c r="K197" t="s" s="14">
        <v>153</v>
      </c>
      <c r="L197" s="20"/>
      <c r="M197" s="16"/>
      <c r="N197" s="20"/>
      <c r="O197" t="s" s="17">
        <v>24</v>
      </c>
    </row>
    <row r="198" ht="30.45" customHeight="1" hidden="1">
      <c r="A198" t="s" s="21">
        <v>20</v>
      </c>
      <c r="B198" t="s" s="5">
        <v>97</v>
      </c>
      <c r="C198" t="s" s="18">
        <v>405</v>
      </c>
      <c r="D198" t="s" s="7">
        <v>151</v>
      </c>
      <c r="E198" s="25">
        <v>45944</v>
      </c>
      <c r="F198" t="s" s="10">
        <v>413</v>
      </c>
      <c r="G198" t="s" s="10">
        <v>414</v>
      </c>
      <c r="H198" s="19">
        <v>37787</v>
      </c>
      <c r="I198" s="12">
        <f>H198</f>
        <v>37787</v>
      </c>
      <c r="J198" s="13">
        <f>I198-H198</f>
        <v>0</v>
      </c>
      <c r="K198" t="s" s="14">
        <v>153</v>
      </c>
      <c r="L198" s="20"/>
      <c r="M198" s="16"/>
      <c r="N198" s="20"/>
      <c r="O198" t="s" s="17">
        <v>24</v>
      </c>
    </row>
    <row r="199" ht="30.45" customHeight="1" hidden="1">
      <c r="A199" t="s" s="21">
        <v>39</v>
      </c>
      <c r="B199" t="s" s="5">
        <v>79</v>
      </c>
      <c r="C199" t="s" s="18">
        <v>415</v>
      </c>
      <c r="D199" t="s" s="7">
        <v>129</v>
      </c>
      <c r="E199" s="25">
        <v>46029</v>
      </c>
      <c r="F199" t="s" s="10">
        <v>416</v>
      </c>
      <c r="G199" t="s" s="10">
        <v>417</v>
      </c>
      <c r="H199" s="19">
        <v>21472</v>
      </c>
      <c r="I199" s="12">
        <f>H199</f>
        <v>21472</v>
      </c>
      <c r="J199" s="13">
        <f>I199-H199</f>
        <v>0</v>
      </c>
      <c r="K199" t="s" s="14">
        <v>84</v>
      </c>
      <c r="L199" s="20"/>
      <c r="M199" s="16"/>
      <c r="N199" s="20"/>
      <c r="O199" t="s" s="17">
        <v>24</v>
      </c>
    </row>
    <row r="200" ht="30.45" customHeight="1" hidden="1">
      <c r="A200" t="s" s="4">
        <v>39</v>
      </c>
      <c r="B200" t="s" s="5">
        <v>97</v>
      </c>
      <c r="C200" t="s" s="18">
        <v>415</v>
      </c>
      <c r="D200" t="s" s="7">
        <v>129</v>
      </c>
      <c r="E200" s="25">
        <v>45912</v>
      </c>
      <c r="F200" t="s" s="10">
        <v>418</v>
      </c>
      <c r="G200" t="s" s="10">
        <v>419</v>
      </c>
      <c r="H200" s="19">
        <v>16863</v>
      </c>
      <c r="I200" s="12">
        <f>H200</f>
        <v>16863</v>
      </c>
      <c r="J200" s="13">
        <f>I200-H200</f>
        <v>0</v>
      </c>
      <c r="K200" t="s" s="14">
        <v>84</v>
      </c>
      <c r="L200" s="20"/>
      <c r="M200" s="16"/>
      <c r="N200" s="20"/>
      <c r="O200" t="s" s="17">
        <v>24</v>
      </c>
    </row>
    <row r="201" ht="30.45" customHeight="1" hidden="1">
      <c r="A201" t="s" s="17">
        <v>39</v>
      </c>
      <c r="B201" t="s" s="5">
        <v>420</v>
      </c>
      <c r="C201" t="s" s="64">
        <v>421</v>
      </c>
      <c r="D201" t="s" s="7">
        <v>90</v>
      </c>
      <c r="E201" s="41">
        <v>45638</v>
      </c>
      <c r="F201" s="16"/>
      <c r="G201" s="16"/>
      <c r="H201" s="19">
        <v>5250</v>
      </c>
      <c r="I201" s="12">
        <v>5250</v>
      </c>
      <c r="J201" s="15">
        <f>I201-H201</f>
        <v>0</v>
      </c>
      <c r="K201" t="s" s="14">
        <v>87</v>
      </c>
      <c r="L201" s="15"/>
      <c r="M201" s="16"/>
      <c r="N201" s="20"/>
      <c r="O201" t="s" s="17">
        <v>24</v>
      </c>
    </row>
    <row r="202" ht="30.45" customHeight="1" hidden="1">
      <c r="A202" t="s" s="21">
        <v>20</v>
      </c>
      <c r="B202" t="s" s="5">
        <v>420</v>
      </c>
      <c r="C202" t="s" s="64">
        <v>421</v>
      </c>
      <c r="D202" t="s" s="7">
        <v>90</v>
      </c>
      <c r="E202" s="25">
        <v>45744</v>
      </c>
      <c r="F202" s="16"/>
      <c r="G202" s="16"/>
      <c r="H202" s="19">
        <v>7700</v>
      </c>
      <c r="I202" s="12">
        <v>7700</v>
      </c>
      <c r="J202" s="15">
        <f>I202-H202</f>
        <v>0</v>
      </c>
      <c r="K202" t="s" s="14">
        <v>87</v>
      </c>
      <c r="L202" s="15"/>
      <c r="M202" s="16"/>
      <c r="N202" s="20"/>
      <c r="O202" t="s" s="17">
        <v>24</v>
      </c>
    </row>
    <row r="203" ht="30.45" customHeight="1" hidden="1">
      <c r="A203" t="s" s="21">
        <v>20</v>
      </c>
      <c r="B203" t="s" s="5">
        <v>68</v>
      </c>
      <c r="C203" t="s" s="64">
        <v>421</v>
      </c>
      <c r="D203" t="s" s="7">
        <v>90</v>
      </c>
      <c r="E203" s="25">
        <v>45831</v>
      </c>
      <c r="F203" s="16"/>
      <c r="G203" s="16"/>
      <c r="H203" s="19">
        <v>10945</v>
      </c>
      <c r="I203" s="12">
        <v>10945</v>
      </c>
      <c r="J203" s="15">
        <f>I203-H203</f>
        <v>0</v>
      </c>
      <c r="K203" t="s" s="14">
        <v>87</v>
      </c>
      <c r="L203" s="15"/>
      <c r="M203" s="16"/>
      <c r="N203" s="20"/>
      <c r="O203" t="s" s="17">
        <v>24</v>
      </c>
    </row>
    <row r="204" ht="30.45" customHeight="1" hidden="1">
      <c r="A204" t="s" s="17">
        <v>133</v>
      </c>
      <c r="B204" t="s" s="5">
        <v>79</v>
      </c>
      <c r="C204" t="s" s="6">
        <v>422</v>
      </c>
      <c r="D204" t="s" s="7">
        <v>423</v>
      </c>
      <c r="E204" s="25">
        <v>45450</v>
      </c>
      <c r="F204" t="s" s="10">
        <v>424</v>
      </c>
      <c r="G204" t="s" s="10">
        <v>425</v>
      </c>
      <c r="H204" s="15">
        <v>26771.08</v>
      </c>
      <c r="I204" s="15"/>
      <c r="J204" s="13">
        <f>I204-H204</f>
        <v>-26771.08</v>
      </c>
      <c r="K204" t="s" s="14">
        <v>306</v>
      </c>
      <c r="L204" s="20"/>
      <c r="M204" s="16"/>
      <c r="N204" s="20"/>
      <c r="O204" t="s" s="17">
        <v>19</v>
      </c>
    </row>
    <row r="205" ht="30.45" customHeight="1" hidden="1">
      <c r="A205" t="s" s="47">
        <v>112</v>
      </c>
      <c r="B205" t="s" s="5">
        <v>79</v>
      </c>
      <c r="C205" t="s" s="6">
        <v>426</v>
      </c>
      <c r="D205" t="s" s="7">
        <v>427</v>
      </c>
      <c r="E205" s="25">
        <v>45889</v>
      </c>
      <c r="F205" t="s" s="10">
        <v>424</v>
      </c>
      <c r="G205" t="s" s="10">
        <v>428</v>
      </c>
      <c r="H205" s="39">
        <v>47426</v>
      </c>
      <c r="I205" s="15"/>
      <c r="J205" s="13">
        <f>I205-H205</f>
        <v>-47426</v>
      </c>
      <c r="K205" t="s" s="14">
        <v>24</v>
      </c>
      <c r="L205" s="20"/>
      <c r="M205" s="16"/>
      <c r="N205" s="20"/>
      <c r="O205" t="s" s="17">
        <v>19</v>
      </c>
    </row>
    <row r="206" ht="30.45" customHeight="1" hidden="1">
      <c r="A206" t="s" s="17">
        <v>39</v>
      </c>
      <c r="B206" t="s" s="5">
        <v>29</v>
      </c>
      <c r="C206" t="s" s="18">
        <v>429</v>
      </c>
      <c r="D206" t="s" s="7">
        <v>15</v>
      </c>
      <c r="E206" s="8">
        <v>45264</v>
      </c>
      <c r="F206" t="s" s="10">
        <v>24</v>
      </c>
      <c r="G206" s="55">
        <v>1649</v>
      </c>
      <c r="H206" s="26">
        <v>8641.799999999999</v>
      </c>
      <c r="I206" s="12">
        <v>8641</v>
      </c>
      <c r="J206" s="15">
        <f>I206-H206</f>
        <v>-0.8</v>
      </c>
      <c r="K206" t="s" s="14">
        <v>17</v>
      </c>
      <c r="L206" s="20"/>
      <c r="M206" s="43">
        <v>45301</v>
      </c>
      <c r="N206" s="16"/>
      <c r="O206" t="s" s="17">
        <v>24</v>
      </c>
    </row>
    <row r="207" ht="30.45" customHeight="1" hidden="1">
      <c r="A207" t="s" s="21">
        <v>39</v>
      </c>
      <c r="B207" t="s" s="5">
        <v>21</v>
      </c>
      <c r="C207" t="s" s="18">
        <v>430</v>
      </c>
      <c r="D207" t="s" s="7">
        <v>15</v>
      </c>
      <c r="E207" s="8">
        <v>45649</v>
      </c>
      <c r="F207" t="s" s="10">
        <v>431</v>
      </c>
      <c r="G207" t="s" s="10">
        <v>432</v>
      </c>
      <c r="H207" s="19">
        <v>7359.25</v>
      </c>
      <c r="I207" s="12">
        <v>7359.25</v>
      </c>
      <c r="J207" s="13">
        <f>I207-H207</f>
        <v>0</v>
      </c>
      <c r="K207" t="s" s="14">
        <v>17</v>
      </c>
      <c r="L207" s="20"/>
      <c r="M207" s="43">
        <v>45748</v>
      </c>
      <c r="N207" t="s" s="21">
        <v>433</v>
      </c>
      <c r="O207" t="s" s="17">
        <v>24</v>
      </c>
    </row>
    <row r="208" ht="30.45" customHeight="1" hidden="1">
      <c r="A208" t="s" s="21">
        <v>20</v>
      </c>
      <c r="B208" t="s" s="5">
        <v>21</v>
      </c>
      <c r="C208" t="s" s="18">
        <v>434</v>
      </c>
      <c r="D208" t="s" s="7">
        <v>15</v>
      </c>
      <c r="E208" s="8">
        <v>45919</v>
      </c>
      <c r="F208" t="s" s="10">
        <v>344</v>
      </c>
      <c r="G208" t="s" s="10">
        <v>24</v>
      </c>
      <c r="H208" s="19">
        <v>8248.709999999999</v>
      </c>
      <c r="I208" s="12">
        <v>8250</v>
      </c>
      <c r="J208" s="13">
        <f>I208-H208</f>
        <v>1.29</v>
      </c>
      <c r="K208" t="s" s="14">
        <v>17</v>
      </c>
      <c r="L208" s="20"/>
      <c r="M208" s="16"/>
      <c r="N208" s="20"/>
      <c r="O208" t="s" s="17">
        <v>24</v>
      </c>
    </row>
    <row r="209" ht="30.45" customHeight="1" hidden="1">
      <c r="A209" t="s" s="17">
        <v>20</v>
      </c>
      <c r="B209" t="s" s="5">
        <v>61</v>
      </c>
      <c r="C209" t="s" s="18">
        <v>434</v>
      </c>
      <c r="D209" t="s" s="7">
        <v>15</v>
      </c>
      <c r="E209" s="25">
        <v>45266</v>
      </c>
      <c r="F209" s="9">
        <v>7595</v>
      </c>
      <c r="G209" s="55">
        <v>1711</v>
      </c>
      <c r="H209" s="19">
        <v>46364.5</v>
      </c>
      <c r="I209" s="12">
        <v>46364</v>
      </c>
      <c r="J209" s="15">
        <f>I209-H209</f>
        <v>-0.5</v>
      </c>
      <c r="K209" t="s" s="14">
        <v>17</v>
      </c>
      <c r="L209" s="15"/>
      <c r="M209" s="68">
        <v>45303</v>
      </c>
      <c r="N209" s="20"/>
      <c r="O209" t="s" s="17">
        <v>24</v>
      </c>
    </row>
    <row r="210" ht="30.45" customHeight="1" hidden="1">
      <c r="A210" t="s" s="17">
        <v>39</v>
      </c>
      <c r="B210" t="s" s="5">
        <v>30</v>
      </c>
      <c r="C210" t="s" s="23">
        <v>435</v>
      </c>
      <c r="D210" t="s" s="7">
        <v>15</v>
      </c>
      <c r="E210" s="8">
        <v>45484</v>
      </c>
      <c r="F210" s="16"/>
      <c r="G210" t="s" s="10">
        <v>24</v>
      </c>
      <c r="H210" s="19">
        <v>1860</v>
      </c>
      <c r="I210" s="12">
        <v>1860</v>
      </c>
      <c r="J210" s="13">
        <f>I210-H210</f>
        <v>0</v>
      </c>
      <c r="K210" t="s" s="14">
        <v>17</v>
      </c>
      <c r="L210" s="20"/>
      <c r="M210" s="16"/>
      <c r="N210" s="20"/>
      <c r="O210" t="s" s="17">
        <v>24</v>
      </c>
    </row>
    <row r="211" ht="30.45" customHeight="1" hidden="1">
      <c r="A211" t="s" s="21">
        <v>20</v>
      </c>
      <c r="B211" t="s" s="5">
        <v>21</v>
      </c>
      <c r="C211" t="s" s="18">
        <v>436</v>
      </c>
      <c r="D211" t="s" s="7">
        <v>15</v>
      </c>
      <c r="E211" s="8">
        <v>45646</v>
      </c>
      <c r="F211" t="s" s="10">
        <v>437</v>
      </c>
      <c r="G211" t="s" s="10">
        <v>438</v>
      </c>
      <c r="H211" s="26">
        <v>8307.25</v>
      </c>
      <c r="I211" s="12">
        <v>8307.25</v>
      </c>
      <c r="J211" s="13">
        <f>I211-H211</f>
        <v>0</v>
      </c>
      <c r="K211" t="s" s="14">
        <v>17</v>
      </c>
      <c r="L211" s="20"/>
      <c r="M211" s="16"/>
      <c r="N211" s="20"/>
      <c r="O211" t="s" s="17">
        <v>24</v>
      </c>
    </row>
    <row r="212" ht="30.45" customHeight="1" hidden="1">
      <c r="A212" t="s" s="17">
        <v>20</v>
      </c>
      <c r="B212" t="s" s="5">
        <v>21</v>
      </c>
      <c r="C212" t="s" s="18">
        <v>436</v>
      </c>
      <c r="D212" t="s" s="7">
        <v>15</v>
      </c>
      <c r="E212" s="8">
        <v>45702</v>
      </c>
      <c r="F212" t="s" s="10">
        <v>439</v>
      </c>
      <c r="G212" t="s" s="10">
        <v>440</v>
      </c>
      <c r="H212" s="19">
        <v>10223.5</v>
      </c>
      <c r="I212" s="12">
        <v>10223.51</v>
      </c>
      <c r="J212" s="13">
        <f>I212-H212</f>
        <v>0.01</v>
      </c>
      <c r="K212" t="s" s="14">
        <v>17</v>
      </c>
      <c r="L212" s="20"/>
      <c r="M212" s="16"/>
      <c r="N212" s="20"/>
      <c r="O212" t="s" s="17">
        <v>24</v>
      </c>
    </row>
    <row r="213" ht="30.45" customHeight="1" hidden="1">
      <c r="A213" t="s" s="17">
        <v>20</v>
      </c>
      <c r="B213" t="s" s="5">
        <v>30</v>
      </c>
      <c r="C213" t="s" s="23">
        <v>436</v>
      </c>
      <c r="D213" t="s" s="7">
        <v>15</v>
      </c>
      <c r="E213" s="8">
        <v>45484</v>
      </c>
      <c r="F213" s="16"/>
      <c r="G213" t="s" s="10">
        <v>441</v>
      </c>
      <c r="H213" s="19">
        <v>25845</v>
      </c>
      <c r="I213" s="12">
        <v>25844.96</v>
      </c>
      <c r="J213" s="13">
        <f>I213-H213</f>
        <v>-0.04</v>
      </c>
      <c r="K213" t="s" s="14">
        <v>17</v>
      </c>
      <c r="L213" s="20"/>
      <c r="M213" s="16"/>
      <c r="N213" s="20"/>
      <c r="O213" t="s" s="17">
        <v>24</v>
      </c>
    </row>
    <row r="214" ht="30.45" customHeight="1" hidden="1">
      <c r="A214" t="s" s="17">
        <v>20</v>
      </c>
      <c r="B214" t="s" s="5">
        <v>30</v>
      </c>
      <c r="C214" t="s" s="18">
        <v>436</v>
      </c>
      <c r="D214" t="s" s="7">
        <v>15</v>
      </c>
      <c r="E214" s="8">
        <v>45579</v>
      </c>
      <c r="F214" s="16"/>
      <c r="G214" t="s" s="10">
        <v>442</v>
      </c>
      <c r="H214" s="19">
        <v>38697</v>
      </c>
      <c r="I214" s="12">
        <v>38697</v>
      </c>
      <c r="J214" s="15">
        <f>I214-H214</f>
        <v>0</v>
      </c>
      <c r="K214" t="s" s="14">
        <v>17</v>
      </c>
      <c r="L214" s="20"/>
      <c r="M214" s="16"/>
      <c r="N214" s="20"/>
      <c r="O214" t="s" s="17">
        <v>24</v>
      </c>
    </row>
    <row r="215" ht="30.45" customHeight="1" hidden="1">
      <c r="A215" t="s" s="21">
        <v>20</v>
      </c>
      <c r="B215" t="s" s="5">
        <v>30</v>
      </c>
      <c r="C215" t="s" s="23">
        <v>436</v>
      </c>
      <c r="D215" t="s" s="7">
        <v>15</v>
      </c>
      <c r="E215" s="8">
        <v>45958</v>
      </c>
      <c r="F215" s="10"/>
      <c r="G215" t="s" s="10">
        <v>443</v>
      </c>
      <c r="H215" s="19">
        <v>14493</v>
      </c>
      <c r="I215" s="12">
        <f>H215</f>
        <v>14493</v>
      </c>
      <c r="J215" s="13">
        <f>I215-H215</f>
        <v>0</v>
      </c>
      <c r="K215" t="s" s="14">
        <v>17</v>
      </c>
      <c r="L215" s="20"/>
      <c r="M215" s="16"/>
      <c r="N215" s="20"/>
      <c r="O215" t="s" s="17">
        <v>24</v>
      </c>
    </row>
    <row r="216" ht="30.45" customHeight="1" hidden="1">
      <c r="A216" t="s" s="17">
        <v>39</v>
      </c>
      <c r="B216" t="s" s="5">
        <v>420</v>
      </c>
      <c r="C216" t="s" s="64">
        <v>436</v>
      </c>
      <c r="D216" t="s" s="7">
        <v>15</v>
      </c>
      <c r="E216" s="25">
        <v>45628</v>
      </c>
      <c r="F216" s="16"/>
      <c r="G216" s="16"/>
      <c r="H216" s="19">
        <v>6300</v>
      </c>
      <c r="I216" s="12">
        <v>6300</v>
      </c>
      <c r="J216" s="15">
        <f>I216-H216</f>
        <v>0</v>
      </c>
      <c r="K216" t="s" s="14">
        <v>17</v>
      </c>
      <c r="L216" s="15"/>
      <c r="M216" s="16"/>
      <c r="N216" s="20"/>
      <c r="O216" t="s" s="17">
        <v>24</v>
      </c>
    </row>
    <row r="217" ht="30.45" customHeight="1" hidden="1">
      <c r="A217" t="s" s="21">
        <v>20</v>
      </c>
      <c r="B217" t="s" s="5">
        <v>61</v>
      </c>
      <c r="C217" t="s" s="23">
        <v>436</v>
      </c>
      <c r="D217" t="s" s="7">
        <v>15</v>
      </c>
      <c r="E217" s="25">
        <v>45807</v>
      </c>
      <c r="F217" t="s" s="10">
        <v>444</v>
      </c>
      <c r="G217" t="s" s="10">
        <v>445</v>
      </c>
      <c r="H217" s="31">
        <v>9407.5</v>
      </c>
      <c r="I217" s="12">
        <v>9407.51</v>
      </c>
      <c r="J217" s="15">
        <f>I217-H217</f>
        <v>0.01</v>
      </c>
      <c r="K217" t="s" s="14">
        <v>17</v>
      </c>
      <c r="L217" s="15"/>
      <c r="M217" s="16"/>
      <c r="N217" s="20"/>
      <c r="O217" t="s" s="17">
        <v>24</v>
      </c>
    </row>
    <row r="218" ht="30.45" customHeight="1" hidden="1">
      <c r="A218" t="s" s="21">
        <v>20</v>
      </c>
      <c r="B218" t="s" s="5">
        <v>61</v>
      </c>
      <c r="C218" t="s" s="18">
        <v>436</v>
      </c>
      <c r="D218" t="s" s="7">
        <v>15</v>
      </c>
      <c r="E218" s="25">
        <v>45845</v>
      </c>
      <c r="F218" t="s" s="10">
        <v>446</v>
      </c>
      <c r="G218" t="s" s="10">
        <v>447</v>
      </c>
      <c r="H218" s="31">
        <v>21512</v>
      </c>
      <c r="I218" s="12">
        <v>21512</v>
      </c>
      <c r="J218" s="15">
        <f>I218-H218</f>
        <v>0</v>
      </c>
      <c r="K218" t="s" s="14">
        <v>17</v>
      </c>
      <c r="L218" s="15"/>
      <c r="M218" s="16"/>
      <c r="N218" s="20"/>
      <c r="O218" t="s" s="17">
        <v>24</v>
      </c>
    </row>
    <row r="219" ht="30.45" customHeight="1" hidden="1">
      <c r="A219" t="s" s="21">
        <v>20</v>
      </c>
      <c r="B219" t="s" s="5">
        <v>61</v>
      </c>
      <c r="C219" t="s" s="18">
        <v>436</v>
      </c>
      <c r="D219" t="s" s="7">
        <v>15</v>
      </c>
      <c r="E219" s="25">
        <v>45954</v>
      </c>
      <c r="F219" t="s" s="10">
        <v>448</v>
      </c>
      <c r="G219" t="s" s="10">
        <v>449</v>
      </c>
      <c r="H219" s="31">
        <v>22863</v>
      </c>
      <c r="I219" s="12">
        <f>H219</f>
        <v>22863</v>
      </c>
      <c r="J219" s="15">
        <f>I219-H219</f>
        <v>0</v>
      </c>
      <c r="K219" t="s" s="14">
        <v>17</v>
      </c>
      <c r="L219" s="15"/>
      <c r="M219" s="16"/>
      <c r="N219" s="20"/>
      <c r="O219" t="s" s="17">
        <v>24</v>
      </c>
    </row>
    <row r="220" ht="30.45" customHeight="1" hidden="1">
      <c r="A220" t="s" s="17">
        <v>20</v>
      </c>
      <c r="B220" t="s" s="5">
        <v>97</v>
      </c>
      <c r="C220" t="s" s="18">
        <v>450</v>
      </c>
      <c r="D220" t="s" s="7">
        <v>451</v>
      </c>
      <c r="E220" s="25">
        <v>45544</v>
      </c>
      <c r="F220" t="s" s="10">
        <v>452</v>
      </c>
      <c r="G220" t="s" s="10">
        <v>453</v>
      </c>
      <c r="H220" s="19">
        <v>57627.3</v>
      </c>
      <c r="I220" s="12">
        <v>57627.3</v>
      </c>
      <c r="J220" s="15">
        <f>I220-H220</f>
        <v>0</v>
      </c>
      <c r="K220" t="s" s="14">
        <v>84</v>
      </c>
      <c r="L220" s="20"/>
      <c r="M220" s="16"/>
      <c r="N220" s="20"/>
      <c r="O220" t="s" s="17">
        <v>24</v>
      </c>
    </row>
    <row r="221" ht="30.45" customHeight="1" hidden="1">
      <c r="A221" t="s" s="21">
        <v>20</v>
      </c>
      <c r="B221" t="s" s="5">
        <v>97</v>
      </c>
      <c r="C221" t="s" s="23">
        <v>450</v>
      </c>
      <c r="D221" t="s" s="7">
        <v>451</v>
      </c>
      <c r="E221" s="25">
        <v>45694</v>
      </c>
      <c r="F221" t="s" s="10">
        <v>454</v>
      </c>
      <c r="G221" t="s" s="10">
        <v>455</v>
      </c>
      <c r="H221" s="19">
        <v>68201.600000000006</v>
      </c>
      <c r="I221" s="12">
        <v>68201.600000000006</v>
      </c>
      <c r="J221" s="13">
        <f>I221-H221</f>
        <v>0</v>
      </c>
      <c r="K221" t="s" s="14">
        <v>84</v>
      </c>
      <c r="L221" s="20"/>
      <c r="M221" s="16"/>
      <c r="N221" s="20"/>
      <c r="O221" t="s" s="17">
        <v>24</v>
      </c>
    </row>
    <row r="222" ht="30.45" customHeight="1" hidden="1">
      <c r="A222" t="s" s="21">
        <v>20</v>
      </c>
      <c r="B222" t="s" s="5">
        <v>97</v>
      </c>
      <c r="C222" t="s" s="18">
        <v>450</v>
      </c>
      <c r="D222" t="s" s="7">
        <v>451</v>
      </c>
      <c r="E222" s="25">
        <v>45785</v>
      </c>
      <c r="F222" t="s" s="10">
        <v>456</v>
      </c>
      <c r="G222" t="s" s="10">
        <v>457</v>
      </c>
      <c r="H222" s="19">
        <v>52843.6</v>
      </c>
      <c r="I222" s="12">
        <v>52843</v>
      </c>
      <c r="J222" s="13">
        <f>I222-H222</f>
        <v>-0.6</v>
      </c>
      <c r="K222" t="s" s="14">
        <v>84</v>
      </c>
      <c r="L222" s="20"/>
      <c r="M222" s="16"/>
      <c r="N222" s="20"/>
      <c r="O222" t="s" s="17">
        <v>24</v>
      </c>
    </row>
    <row r="223" ht="30.45" customHeight="1" hidden="1">
      <c r="A223" t="s" s="17">
        <v>39</v>
      </c>
      <c r="B223" t="s" s="5">
        <v>97</v>
      </c>
      <c r="C223" t="s" s="18">
        <v>450</v>
      </c>
      <c r="D223" t="s" s="7">
        <v>451</v>
      </c>
      <c r="E223" s="25">
        <v>45877</v>
      </c>
      <c r="F223" t="s" s="10">
        <v>458</v>
      </c>
      <c r="G223" t="s" s="10">
        <v>459</v>
      </c>
      <c r="H223" s="29">
        <v>52077.312</v>
      </c>
      <c r="I223" s="12">
        <v>52077.312</v>
      </c>
      <c r="J223" s="13">
        <f>I223-H223</f>
        <v>0</v>
      </c>
      <c r="K223" t="s" s="14">
        <v>84</v>
      </c>
      <c r="L223" s="20"/>
      <c r="M223" s="16"/>
      <c r="N223" s="20"/>
      <c r="O223" t="s" s="17">
        <v>24</v>
      </c>
    </row>
    <row r="224" ht="30.45" customHeight="1" hidden="1">
      <c r="A224" t="s" s="17">
        <v>39</v>
      </c>
      <c r="B224" t="s" s="5">
        <v>40</v>
      </c>
      <c r="C224" t="s" s="18">
        <v>460</v>
      </c>
      <c r="D224" t="s" s="7">
        <v>461</v>
      </c>
      <c r="E224" s="25">
        <v>45344</v>
      </c>
      <c r="F224" t="s" s="10">
        <v>462</v>
      </c>
      <c r="G224" t="s" s="10">
        <v>463</v>
      </c>
      <c r="H224" s="42">
        <v>13449.11</v>
      </c>
      <c r="I224" s="12">
        <v>13449.11</v>
      </c>
      <c r="J224" s="15"/>
      <c r="K224" t="s" s="14">
        <v>306</v>
      </c>
      <c r="L224" s="20"/>
      <c r="M224" s="8">
        <v>45381</v>
      </c>
      <c r="N224" s="16"/>
      <c r="O224" t="s" s="17">
        <v>24</v>
      </c>
    </row>
    <row r="225" ht="30.45" customHeight="1" hidden="1">
      <c r="A225" t="s" s="21">
        <v>20</v>
      </c>
      <c r="B225" t="s" s="5">
        <v>36</v>
      </c>
      <c r="C225" t="s" s="18">
        <v>464</v>
      </c>
      <c r="D225" t="s" s="7">
        <v>465</v>
      </c>
      <c r="E225" s="8">
        <v>46129</v>
      </c>
      <c r="F225" s="9">
        <v>4062</v>
      </c>
      <c r="G225" t="s" s="10">
        <v>466</v>
      </c>
      <c r="H225" s="31">
        <v>7818.1</v>
      </c>
      <c r="I225" s="12">
        <v>7818.09</v>
      </c>
      <c r="J225" s="15">
        <f>I225-H225</f>
        <v>-0.01</v>
      </c>
      <c r="K225" t="s" s="14">
        <v>467</v>
      </c>
      <c r="L225" s="20"/>
      <c r="M225" s="16"/>
      <c r="N225" s="20"/>
      <c r="O225" t="s" s="17">
        <v>24</v>
      </c>
    </row>
    <row r="226" ht="30.45" customHeight="1" hidden="1">
      <c r="A226" t="s" s="21">
        <v>20</v>
      </c>
      <c r="B226" t="s" s="5">
        <v>79</v>
      </c>
      <c r="C226" t="s" s="18">
        <v>464</v>
      </c>
      <c r="D226" t="s" s="7">
        <v>468</v>
      </c>
      <c r="E226" s="25">
        <v>45721</v>
      </c>
      <c r="F226" t="s" s="10">
        <v>424</v>
      </c>
      <c r="G226" t="s" s="10">
        <v>469</v>
      </c>
      <c r="H226" s="19">
        <v>3764</v>
      </c>
      <c r="I226" s="12">
        <v>3764.01</v>
      </c>
      <c r="J226" s="13">
        <f>I226-H226</f>
        <v>0.01</v>
      </c>
      <c r="K226" t="s" s="14">
        <v>467</v>
      </c>
      <c r="L226" s="20"/>
      <c r="M226" s="16"/>
      <c r="N226" s="20"/>
      <c r="O226" t="s" s="17">
        <v>24</v>
      </c>
    </row>
    <row r="227" ht="30.45" customHeight="1" hidden="1">
      <c r="A227" t="s" s="21">
        <v>20</v>
      </c>
      <c r="B227" t="s" s="5">
        <v>79</v>
      </c>
      <c r="C227" t="s" s="54">
        <v>464</v>
      </c>
      <c r="D227" t="s" s="7">
        <v>465</v>
      </c>
      <c r="E227" s="25">
        <v>46585</v>
      </c>
      <c r="F227" t="s" s="10">
        <v>135</v>
      </c>
      <c r="G227" t="s" s="10">
        <v>470</v>
      </c>
      <c r="H227" s="19">
        <v>42549.5</v>
      </c>
      <c r="I227" s="12">
        <v>42549.5</v>
      </c>
      <c r="J227" s="13">
        <f>I227-H227</f>
        <v>0</v>
      </c>
      <c r="K227" t="s" s="14">
        <v>467</v>
      </c>
      <c r="L227" s="20"/>
      <c r="M227" s="16"/>
      <c r="N227" s="20"/>
      <c r="O227" t="s" s="17">
        <v>24</v>
      </c>
    </row>
    <row r="228" ht="30.45" customHeight="1" hidden="1">
      <c r="A228" t="s" s="21">
        <v>20</v>
      </c>
      <c r="B228" t="s" s="5">
        <v>30</v>
      </c>
      <c r="C228" t="s" s="23">
        <v>464</v>
      </c>
      <c r="D228" t="s" s="7">
        <v>468</v>
      </c>
      <c r="E228" s="8">
        <v>45958</v>
      </c>
      <c r="F228" s="10"/>
      <c r="G228" t="s" s="10">
        <v>471</v>
      </c>
      <c r="H228" s="19">
        <v>37110</v>
      </c>
      <c r="I228" s="26"/>
      <c r="J228" s="13">
        <f>I228-H228</f>
        <v>-37110</v>
      </c>
      <c r="K228" t="s" s="14">
        <v>467</v>
      </c>
      <c r="L228" s="20"/>
      <c r="M228" s="16"/>
      <c r="N228" s="20"/>
      <c r="O228" t="s" s="17">
        <v>24</v>
      </c>
    </row>
    <row r="229" ht="30.45" customHeight="1" hidden="1">
      <c r="A229" t="s" s="17">
        <v>39</v>
      </c>
      <c r="B229" t="s" s="5">
        <v>33</v>
      </c>
      <c r="C229" t="s" s="28">
        <v>464</v>
      </c>
      <c r="D229" t="s" s="7">
        <v>468</v>
      </c>
      <c r="E229" s="8">
        <v>45258</v>
      </c>
      <c r="F229" s="9">
        <v>4844</v>
      </c>
      <c r="G229" s="55">
        <v>1717</v>
      </c>
      <c r="H229" s="26">
        <v>3798</v>
      </c>
      <c r="I229" s="12">
        <v>3798</v>
      </c>
      <c r="J229" s="20"/>
      <c r="K229" t="s" s="14">
        <v>467</v>
      </c>
      <c r="L229" s="69">
        <v>2532</v>
      </c>
      <c r="M229" s="70">
        <v>45288</v>
      </c>
      <c r="N229" s="16"/>
      <c r="O229" t="s" s="17">
        <v>24</v>
      </c>
    </row>
    <row r="230" ht="30.45" customHeight="1" hidden="1">
      <c r="A230" t="s" s="17">
        <v>39</v>
      </c>
      <c r="B230" t="s" s="5">
        <v>40</v>
      </c>
      <c r="C230" t="s" s="18">
        <v>464</v>
      </c>
      <c r="D230" t="s" s="7">
        <v>468</v>
      </c>
      <c r="E230" s="25">
        <v>45365</v>
      </c>
      <c r="F230" t="s" s="10">
        <v>472</v>
      </c>
      <c r="G230" t="s" s="10">
        <v>473</v>
      </c>
      <c r="H230" s="26">
        <v>7158.65</v>
      </c>
      <c r="I230" s="12">
        <v>7158.65</v>
      </c>
      <c r="J230" s="15"/>
      <c r="K230" t="s" s="14">
        <v>467</v>
      </c>
      <c r="L230" s="15"/>
      <c r="M230" s="8">
        <v>45402</v>
      </c>
      <c r="N230" s="16"/>
      <c r="O230" t="s" s="17">
        <v>24</v>
      </c>
    </row>
    <row r="231" ht="30.45" customHeight="1" hidden="1">
      <c r="A231" t="s" s="17">
        <v>20</v>
      </c>
      <c r="B231" t="s" s="5">
        <v>40</v>
      </c>
      <c r="C231" t="s" s="23">
        <v>464</v>
      </c>
      <c r="D231" t="s" s="7">
        <v>468</v>
      </c>
      <c r="E231" s="8">
        <v>45525</v>
      </c>
      <c r="F231" t="s" s="10">
        <v>474</v>
      </c>
      <c r="G231" t="s" s="10">
        <v>475</v>
      </c>
      <c r="H231" s="15">
        <v>7587.89</v>
      </c>
      <c r="I231" s="12">
        <v>7587.89</v>
      </c>
      <c r="J231" s="15">
        <f>I231-H231</f>
        <v>0</v>
      </c>
      <c r="K231" t="s" s="14">
        <v>467</v>
      </c>
      <c r="L231" s="20"/>
      <c r="M231" s="16"/>
      <c r="N231" s="20"/>
      <c r="O231" t="s" s="17">
        <v>24</v>
      </c>
    </row>
    <row r="232" ht="30.45" customHeight="1" hidden="1">
      <c r="A232" t="s" s="17">
        <v>49</v>
      </c>
      <c r="B232" t="s" s="5">
        <v>40</v>
      </c>
      <c r="C232" t="s" s="18">
        <v>464</v>
      </c>
      <c r="D232" t="s" s="7">
        <v>468</v>
      </c>
      <c r="E232" s="8">
        <v>45707</v>
      </c>
      <c r="F232" t="s" s="10">
        <v>476</v>
      </c>
      <c r="G232" t="s" s="10">
        <v>477</v>
      </c>
      <c r="H232" s="39">
        <v>12965.85</v>
      </c>
      <c r="I232" s="12">
        <v>12965.85</v>
      </c>
      <c r="J232" s="15">
        <f>I232-H232</f>
        <v>0</v>
      </c>
      <c r="K232" t="s" s="14">
        <v>467</v>
      </c>
      <c r="L232" s="20"/>
      <c r="M232" s="16"/>
      <c r="N232" s="20"/>
      <c r="O232" t="s" s="17">
        <v>24</v>
      </c>
    </row>
    <row r="233" ht="30.45" customHeight="1" hidden="1">
      <c r="A233" t="s" s="21">
        <v>20</v>
      </c>
      <c r="B233" t="s" s="5">
        <v>40</v>
      </c>
      <c r="C233" t="s" s="18">
        <v>464</v>
      </c>
      <c r="D233" t="s" s="7">
        <v>468</v>
      </c>
      <c r="E233" s="8">
        <v>45854</v>
      </c>
      <c r="F233" t="s" s="10">
        <v>478</v>
      </c>
      <c r="G233" t="s" s="10">
        <v>479</v>
      </c>
      <c r="H233" s="19">
        <v>7805.52</v>
      </c>
      <c r="I233" s="12">
        <v>7805.52</v>
      </c>
      <c r="J233" s="15">
        <f>I233-H233</f>
        <v>0</v>
      </c>
      <c r="K233" t="s" s="14">
        <v>467</v>
      </c>
      <c r="L233" s="20"/>
      <c r="M233" s="16"/>
      <c r="N233" s="20"/>
      <c r="O233" t="s" s="17">
        <v>24</v>
      </c>
    </row>
    <row r="234" ht="30.45" customHeight="1" hidden="1">
      <c r="A234" t="s" s="30">
        <v>49</v>
      </c>
      <c r="B234" t="s" s="5">
        <v>47</v>
      </c>
      <c r="C234" t="s" s="18">
        <v>464</v>
      </c>
      <c r="D234" t="s" s="7">
        <v>465</v>
      </c>
      <c r="E234" s="8">
        <v>45803</v>
      </c>
      <c r="F234" t="s" s="10">
        <v>480</v>
      </c>
      <c r="G234" t="s" s="10">
        <v>481</v>
      </c>
      <c r="H234" s="29">
        <v>6942.57</v>
      </c>
      <c r="I234" s="12">
        <v>6942.57</v>
      </c>
      <c r="J234" s="15">
        <f>I234-H234</f>
        <v>0</v>
      </c>
      <c r="K234" t="s" s="14">
        <v>467</v>
      </c>
      <c r="L234" s="20"/>
      <c r="M234" s="8"/>
      <c r="N234" s="20"/>
      <c r="O234" t="s" s="17">
        <v>24</v>
      </c>
    </row>
    <row r="235" ht="30.45" customHeight="1" hidden="1">
      <c r="A235" t="s" s="17">
        <v>133</v>
      </c>
      <c r="B235" t="s" s="5">
        <v>420</v>
      </c>
      <c r="C235" t="s" s="52">
        <v>464</v>
      </c>
      <c r="D235" t="s" s="7">
        <v>468</v>
      </c>
      <c r="E235" s="41">
        <v>45212</v>
      </c>
      <c r="F235" t="s" s="10">
        <v>24</v>
      </c>
      <c r="G235" t="s" s="10">
        <v>24</v>
      </c>
      <c r="H235" s="19">
        <v>15400</v>
      </c>
      <c r="I235" s="12">
        <v>15400</v>
      </c>
      <c r="J235" s="15">
        <f>I235-H235</f>
        <v>0</v>
      </c>
      <c r="K235" t="s" s="14">
        <v>467</v>
      </c>
      <c r="L235" s="22"/>
      <c r="M235" s="71">
        <v>45248</v>
      </c>
      <c r="N235" s="22"/>
      <c r="O235" t="s" s="17">
        <v>19</v>
      </c>
    </row>
    <row r="236" ht="30.45" customHeight="1" hidden="1">
      <c r="A236" t="s" s="47">
        <v>133</v>
      </c>
      <c r="B236" t="s" s="5">
        <v>61</v>
      </c>
      <c r="C236" t="s" s="18">
        <v>464</v>
      </c>
      <c r="D236" t="s" s="7">
        <v>468</v>
      </c>
      <c r="E236" s="25">
        <v>45216</v>
      </c>
      <c r="F236" t="s" s="10">
        <v>482</v>
      </c>
      <c r="G236" t="s" s="10">
        <v>483</v>
      </c>
      <c r="H236" s="19">
        <v>72898</v>
      </c>
      <c r="I236" s="12">
        <v>73723</v>
      </c>
      <c r="J236" s="29">
        <f>I236-H236</f>
        <v>825</v>
      </c>
      <c r="K236" t="s" s="14">
        <v>467</v>
      </c>
      <c r="L236" t="s" s="4">
        <v>484</v>
      </c>
      <c r="M236" s="72">
        <v>45254</v>
      </c>
      <c r="N236" t="s" s="14">
        <v>485</v>
      </c>
      <c r="O236" t="s" s="17">
        <v>19</v>
      </c>
    </row>
    <row r="237" ht="30.45" customHeight="1" hidden="1">
      <c r="A237" t="s" s="21">
        <v>20</v>
      </c>
      <c r="B237" t="s" s="5">
        <v>61</v>
      </c>
      <c r="C237" t="s" s="18">
        <v>464</v>
      </c>
      <c r="D237" t="s" s="7">
        <v>468</v>
      </c>
      <c r="E237" s="25">
        <v>45737</v>
      </c>
      <c r="F237" t="s" s="10">
        <v>486</v>
      </c>
      <c r="G237" t="s" s="10">
        <v>487</v>
      </c>
      <c r="H237" s="31">
        <v>40486.13</v>
      </c>
      <c r="I237" s="12">
        <v>40486.15</v>
      </c>
      <c r="J237" s="15">
        <f>I237-H237</f>
        <v>0.02</v>
      </c>
      <c r="K237" t="s" s="14">
        <v>467</v>
      </c>
      <c r="L237" s="15"/>
      <c r="M237" s="16"/>
      <c r="N237" s="20"/>
      <c r="O237" t="s" s="17">
        <v>24</v>
      </c>
    </row>
    <row r="238" ht="30.45" customHeight="1" hidden="1">
      <c r="A238" t="s" s="21">
        <v>20</v>
      </c>
      <c r="B238" t="s" s="5">
        <v>488</v>
      </c>
      <c r="C238" t="s" s="18">
        <v>464</v>
      </c>
      <c r="D238" t="s" s="7">
        <v>468</v>
      </c>
      <c r="E238" s="8">
        <v>46064</v>
      </c>
      <c r="F238" t="s" s="10">
        <v>489</v>
      </c>
      <c r="G238" t="s" s="10">
        <v>490</v>
      </c>
      <c r="H238" s="19">
        <v>8859.6</v>
      </c>
      <c r="I238" s="12">
        <f>H238</f>
        <v>8859.6</v>
      </c>
      <c r="J238" s="15">
        <f>I238-H238</f>
        <v>0</v>
      </c>
      <c r="K238" t="s" s="14">
        <v>467</v>
      </c>
      <c r="L238" s="20"/>
      <c r="M238" s="16"/>
      <c r="N238" s="20"/>
      <c r="O238" t="s" s="17">
        <v>24</v>
      </c>
    </row>
    <row r="239" ht="30.45" customHeight="1" hidden="1">
      <c r="A239" t="s" s="21">
        <v>20</v>
      </c>
      <c r="B239" t="s" s="5">
        <v>68</v>
      </c>
      <c r="C239" t="s" s="64">
        <v>464</v>
      </c>
      <c r="D239" t="s" s="7">
        <v>468</v>
      </c>
      <c r="E239" s="25">
        <v>45831</v>
      </c>
      <c r="F239" s="16"/>
      <c r="G239" s="16"/>
      <c r="H239" s="19">
        <v>10800</v>
      </c>
      <c r="I239" s="12">
        <v>10800</v>
      </c>
      <c r="J239" s="15">
        <f>I239-H239</f>
        <v>0</v>
      </c>
      <c r="K239" t="s" s="14">
        <v>467</v>
      </c>
      <c r="L239" s="15"/>
      <c r="M239" s="16"/>
      <c r="N239" s="20"/>
      <c r="O239" t="s" s="17">
        <v>24</v>
      </c>
    </row>
    <row r="240" ht="30.45" customHeight="1" hidden="1">
      <c r="A240" t="s" s="21">
        <v>20</v>
      </c>
      <c r="B240" t="s" s="5">
        <v>33</v>
      </c>
      <c r="C240" t="s" s="18">
        <v>464</v>
      </c>
      <c r="D240" t="s" s="7">
        <v>465</v>
      </c>
      <c r="E240" s="8">
        <v>46136</v>
      </c>
      <c r="F240" t="s" s="10">
        <v>491</v>
      </c>
      <c r="G240" t="s" s="10">
        <v>492</v>
      </c>
      <c r="H240" s="49">
        <v>4423.5</v>
      </c>
      <c r="I240" s="12">
        <f>H240</f>
        <v>4423.5</v>
      </c>
      <c r="J240" s="15">
        <f>I240-H240</f>
        <v>0</v>
      </c>
      <c r="K240" t="s" s="14">
        <v>467</v>
      </c>
      <c r="L240" s="20"/>
      <c r="M240" s="8"/>
      <c r="N240" s="20"/>
      <c r="O240" t="s" s="17">
        <v>24</v>
      </c>
    </row>
    <row r="241" ht="30.45" customHeight="1" hidden="1">
      <c r="A241" t="s" s="47">
        <v>112</v>
      </c>
      <c r="B241" t="s" s="5">
        <v>30</v>
      </c>
      <c r="C241" t="s" s="23">
        <v>464</v>
      </c>
      <c r="D241" t="s" s="7">
        <v>468</v>
      </c>
      <c r="E241" s="8">
        <v>46198</v>
      </c>
      <c r="F241" s="10"/>
      <c r="G241" t="s" s="10">
        <v>493</v>
      </c>
      <c r="H241" s="19">
        <v>6867</v>
      </c>
      <c r="I241" s="26"/>
      <c r="J241" s="13">
        <f>I241-H241</f>
        <v>-6867</v>
      </c>
      <c r="K241" t="s" s="14">
        <v>467</v>
      </c>
      <c r="L241" s="20"/>
      <c r="M241" s="16"/>
      <c r="N241" s="20"/>
      <c r="O241" t="s" s="17">
        <v>24</v>
      </c>
    </row>
    <row r="242" ht="30.45" customHeight="1" hidden="1">
      <c r="A242" t="s" s="47">
        <v>112</v>
      </c>
      <c r="B242" t="s" s="5">
        <v>47</v>
      </c>
      <c r="C242" t="s" s="23">
        <v>464</v>
      </c>
      <c r="D242" t="s" s="7">
        <v>468</v>
      </c>
      <c r="E242" s="8">
        <v>46209</v>
      </c>
      <c r="F242" t="s" s="10">
        <v>494</v>
      </c>
      <c r="G242" t="s" s="10">
        <v>495</v>
      </c>
      <c r="H242" s="19">
        <v>14261.6</v>
      </c>
      <c r="I242" s="26"/>
      <c r="J242" s="15">
        <f>I242-H242</f>
        <v>-14261.6</v>
      </c>
      <c r="K242" t="s" s="14">
        <v>467</v>
      </c>
      <c r="L242" s="20"/>
      <c r="M242" s="8"/>
      <c r="N242" s="20"/>
      <c r="O242" t="s" s="17">
        <v>24</v>
      </c>
    </row>
    <row r="243" ht="30.45" customHeight="1" hidden="1">
      <c r="A243" s="32"/>
      <c r="B243" t="s" s="5">
        <v>40</v>
      </c>
      <c r="C243" t="s" s="33">
        <v>464</v>
      </c>
      <c r="D243" t="s" s="7">
        <v>468</v>
      </c>
      <c r="E243" s="8"/>
      <c r="F243" s="10"/>
      <c r="G243" t="s" s="10">
        <v>496</v>
      </c>
      <c r="H243" s="15"/>
      <c r="I243" s="26"/>
      <c r="J243" s="15">
        <f>I243-H243</f>
        <v>0</v>
      </c>
      <c r="K243" t="s" s="14">
        <v>24</v>
      </c>
      <c r="L243" s="20"/>
      <c r="M243" s="16"/>
      <c r="N243" s="20"/>
      <c r="O243" t="s" s="17">
        <v>24</v>
      </c>
    </row>
    <row r="244" ht="30.45" customHeight="1" hidden="1">
      <c r="A244" t="s" s="21">
        <v>20</v>
      </c>
      <c r="B244" t="s" s="5">
        <v>79</v>
      </c>
      <c r="C244" t="s" s="18">
        <v>497</v>
      </c>
      <c r="D244" t="s" s="7">
        <v>468</v>
      </c>
      <c r="E244" s="25">
        <v>45959</v>
      </c>
      <c r="F244" t="s" s="10">
        <v>416</v>
      </c>
      <c r="G244" t="s" s="10">
        <v>498</v>
      </c>
      <c r="H244" s="19">
        <v>12282.5</v>
      </c>
      <c r="I244" s="12">
        <v>12282.5</v>
      </c>
      <c r="J244" s="13">
        <f>I244-H244</f>
        <v>0</v>
      </c>
      <c r="K244" t="s" s="14">
        <v>467</v>
      </c>
      <c r="L244" s="20"/>
      <c r="M244" s="16"/>
      <c r="N244" s="20"/>
      <c r="O244" t="s" s="17">
        <v>24</v>
      </c>
    </row>
    <row r="245" ht="30.45" customHeight="1" hidden="1">
      <c r="A245" t="s" s="21">
        <v>39</v>
      </c>
      <c r="B245" t="s" s="5">
        <v>30</v>
      </c>
      <c r="C245" t="s" s="18">
        <v>499</v>
      </c>
      <c r="D245" t="s" s="7">
        <v>246</v>
      </c>
      <c r="E245" s="8">
        <v>46101</v>
      </c>
      <c r="F245" s="10"/>
      <c r="G245" t="s" s="10">
        <v>500</v>
      </c>
      <c r="H245" s="19">
        <v>33916</v>
      </c>
      <c r="I245" s="12">
        <v>33915</v>
      </c>
      <c r="J245" s="13">
        <f>I245-H245</f>
        <v>-1</v>
      </c>
      <c r="K245" t="s" s="14">
        <v>153</v>
      </c>
      <c r="L245" s="20"/>
      <c r="M245" s="16"/>
      <c r="N245" s="20"/>
      <c r="O245" t="s" s="17">
        <v>24</v>
      </c>
    </row>
    <row r="246" ht="30.45" customHeight="1" hidden="1">
      <c r="A246" t="s" s="21">
        <v>501</v>
      </c>
      <c r="B246" t="s" s="5">
        <v>30</v>
      </c>
      <c r="C246" t="s" s="23">
        <v>499</v>
      </c>
      <c r="D246" t="s" s="7">
        <v>246</v>
      </c>
      <c r="E246" s="8">
        <v>46132</v>
      </c>
      <c r="F246" s="10"/>
      <c r="G246" t="s" s="10">
        <v>502</v>
      </c>
      <c r="H246" s="19">
        <v>7570</v>
      </c>
      <c r="I246" s="12">
        <v>5096.67</v>
      </c>
      <c r="J246" s="13">
        <f>I246-H246</f>
        <v>-2473.33</v>
      </c>
      <c r="K246" t="s" s="14">
        <v>153</v>
      </c>
      <c r="L246" s="20"/>
      <c r="M246" s="16"/>
      <c r="N246" s="20"/>
      <c r="O246" t="s" s="17">
        <v>24</v>
      </c>
    </row>
    <row r="247" ht="30.45" customHeight="1" hidden="1">
      <c r="A247" t="s" s="17">
        <v>20</v>
      </c>
      <c r="B247" t="s" s="5">
        <v>33</v>
      </c>
      <c r="C247" t="s" s="18">
        <v>499</v>
      </c>
      <c r="D247" t="s" s="7">
        <v>246</v>
      </c>
      <c r="E247" s="8">
        <v>45348</v>
      </c>
      <c r="F247" s="9">
        <v>4998</v>
      </c>
      <c r="G247" t="s" s="10">
        <v>503</v>
      </c>
      <c r="H247" s="19">
        <v>14127.8</v>
      </c>
      <c r="I247" s="12">
        <v>14127.8</v>
      </c>
      <c r="J247" s="26"/>
      <c r="K247" t="s" s="10">
        <v>153</v>
      </c>
      <c r="L247" s="20"/>
      <c r="M247" s="43">
        <v>45378</v>
      </c>
      <c r="N247" s="20"/>
      <c r="O247" t="s" s="17">
        <v>24</v>
      </c>
    </row>
    <row r="248" ht="30.45" customHeight="1" hidden="1">
      <c r="A248" t="s" s="17">
        <v>20</v>
      </c>
      <c r="B248" t="s" s="5">
        <v>30</v>
      </c>
      <c r="C248" t="s" s="18">
        <v>504</v>
      </c>
      <c r="D248" t="s" s="7">
        <v>246</v>
      </c>
      <c r="E248" s="8">
        <v>45323</v>
      </c>
      <c r="F248" s="16"/>
      <c r="G248" s="9">
        <v>1844</v>
      </c>
      <c r="H248" s="19">
        <v>24654</v>
      </c>
      <c r="I248" s="40">
        <v>24654</v>
      </c>
      <c r="J248" s="15"/>
      <c r="K248" t="s" s="14">
        <v>153</v>
      </c>
      <c r="L248" s="15"/>
      <c r="M248" s="43">
        <v>45373</v>
      </c>
      <c r="N248" s="16"/>
      <c r="O248" t="s" s="17">
        <v>24</v>
      </c>
    </row>
    <row r="249" ht="30.45" customHeight="1" hidden="1">
      <c r="A249" t="s" s="17">
        <v>20</v>
      </c>
      <c r="B249" t="s" s="5">
        <v>30</v>
      </c>
      <c r="C249" t="s" s="18">
        <v>504</v>
      </c>
      <c r="D249" t="s" s="7">
        <v>246</v>
      </c>
      <c r="E249" s="8">
        <v>45579</v>
      </c>
      <c r="F249" s="16"/>
      <c r="G249" t="s" s="10">
        <v>505</v>
      </c>
      <c r="H249" s="19">
        <v>26270</v>
      </c>
      <c r="I249" s="12">
        <v>26270</v>
      </c>
      <c r="J249" s="13">
        <f>I249-H249</f>
        <v>0</v>
      </c>
      <c r="K249" t="s" s="14">
        <v>153</v>
      </c>
      <c r="L249" s="20"/>
      <c r="M249" s="16"/>
      <c r="N249" s="20"/>
      <c r="O249" t="s" s="17">
        <v>24</v>
      </c>
    </row>
    <row r="250" ht="30.45" customHeight="1" hidden="1">
      <c r="A250" t="s" s="4">
        <v>39</v>
      </c>
      <c r="B250" t="s" s="5">
        <v>30</v>
      </c>
      <c r="C250" t="s" s="18">
        <v>504</v>
      </c>
      <c r="D250" t="s" s="7">
        <v>246</v>
      </c>
      <c r="E250" t="s" s="10">
        <v>506</v>
      </c>
      <c r="F250" s="10"/>
      <c r="G250" t="s" s="10">
        <v>507</v>
      </c>
      <c r="H250" s="19">
        <v>18942</v>
      </c>
      <c r="I250" s="12">
        <f>H250</f>
        <v>18942</v>
      </c>
      <c r="J250" s="13">
        <f>I250-H250</f>
        <v>0</v>
      </c>
      <c r="K250" t="s" s="14">
        <v>153</v>
      </c>
      <c r="L250" s="20"/>
      <c r="M250" s="16"/>
      <c r="N250" s="20"/>
      <c r="O250" t="s" s="17">
        <v>24</v>
      </c>
    </row>
    <row r="251" ht="30.45" customHeight="1" hidden="1">
      <c r="A251" t="s" s="17">
        <v>39</v>
      </c>
      <c r="B251" t="s" s="5">
        <v>40</v>
      </c>
      <c r="C251" t="s" s="18">
        <v>504</v>
      </c>
      <c r="D251" t="s" s="7">
        <v>246</v>
      </c>
      <c r="E251" s="25">
        <v>45342</v>
      </c>
      <c r="F251" t="s" s="10">
        <v>508</v>
      </c>
      <c r="G251" t="s" s="10">
        <v>509</v>
      </c>
      <c r="H251" s="26">
        <v>16944.13</v>
      </c>
      <c r="I251" s="12">
        <v>16944.13</v>
      </c>
      <c r="J251" s="15"/>
      <c r="K251" t="s" s="14">
        <v>153</v>
      </c>
      <c r="L251" s="20"/>
      <c r="M251" s="43">
        <v>45379</v>
      </c>
      <c r="N251" s="16"/>
      <c r="O251" t="s" s="17">
        <v>24</v>
      </c>
    </row>
    <row r="252" ht="30.45" customHeight="1" hidden="1">
      <c r="A252" t="s" s="17">
        <v>49</v>
      </c>
      <c r="B252" t="s" s="5">
        <v>40</v>
      </c>
      <c r="C252" t="s" s="6">
        <v>504</v>
      </c>
      <c r="D252" t="s" s="7">
        <v>246</v>
      </c>
      <c r="E252" s="8">
        <v>45525</v>
      </c>
      <c r="F252" t="s" s="10">
        <v>510</v>
      </c>
      <c r="G252" t="s" s="10">
        <v>511</v>
      </c>
      <c r="H252" s="15">
        <v>35307.51</v>
      </c>
      <c r="I252" s="29">
        <v>35307.51</v>
      </c>
      <c r="J252" s="15">
        <f>I252-H252</f>
        <v>0</v>
      </c>
      <c r="K252" t="s" s="14">
        <v>153</v>
      </c>
      <c r="L252" s="20"/>
      <c r="M252" s="16"/>
      <c r="N252" s="20"/>
      <c r="O252" t="s" s="17">
        <v>24</v>
      </c>
    </row>
    <row r="253" ht="30.45" customHeight="1" hidden="1">
      <c r="A253" t="s" s="21">
        <v>20</v>
      </c>
      <c r="B253" t="s" s="5">
        <v>40</v>
      </c>
      <c r="C253" t="s" s="18">
        <v>504</v>
      </c>
      <c r="D253" t="s" s="7">
        <v>246</v>
      </c>
      <c r="E253" s="8">
        <v>45854</v>
      </c>
      <c r="F253" t="s" s="10">
        <v>512</v>
      </c>
      <c r="G253" t="s" s="10">
        <v>513</v>
      </c>
      <c r="H253" s="19">
        <v>34241.5</v>
      </c>
      <c r="I253" s="12">
        <v>34241.6</v>
      </c>
      <c r="J253" s="15">
        <f>I253-H253</f>
        <v>0.1</v>
      </c>
      <c r="K253" t="s" s="14">
        <v>153</v>
      </c>
      <c r="L253" s="20"/>
      <c r="M253" s="16"/>
      <c r="N253" s="20"/>
      <c r="O253" t="s" s="17">
        <v>24</v>
      </c>
    </row>
    <row r="254" ht="30.45" customHeight="1" hidden="1">
      <c r="A254" t="s" s="21">
        <v>49</v>
      </c>
      <c r="B254" t="s" s="5">
        <v>47</v>
      </c>
      <c r="C254" t="s" s="18">
        <v>514</v>
      </c>
      <c r="D254" t="s" s="7">
        <v>246</v>
      </c>
      <c r="E254" s="8">
        <v>46150</v>
      </c>
      <c r="F254" t="s" s="10">
        <v>515</v>
      </c>
      <c r="G254" t="s" s="10">
        <v>516</v>
      </c>
      <c r="H254" s="19">
        <v>65202.37</v>
      </c>
      <c r="I254" s="12">
        <f>H254</f>
        <v>65202.37</v>
      </c>
      <c r="J254" s="15">
        <f>I254-H254</f>
        <v>0</v>
      </c>
      <c r="K254" t="s" s="14">
        <v>153</v>
      </c>
      <c r="L254" s="20"/>
      <c r="M254" s="8"/>
      <c r="N254" s="20"/>
      <c r="O254" t="s" s="17">
        <v>24</v>
      </c>
    </row>
    <row r="255" ht="30.45" customHeight="1" hidden="1">
      <c r="A255" t="s" s="17">
        <v>517</v>
      </c>
      <c r="B255" t="s" s="5">
        <v>40</v>
      </c>
      <c r="C255" t="s" s="33">
        <v>514</v>
      </c>
      <c r="D255" t="s" s="7">
        <v>246</v>
      </c>
      <c r="E255" s="8"/>
      <c r="F255" s="10"/>
      <c r="G255" t="s" s="10">
        <v>518</v>
      </c>
      <c r="H255" s="15"/>
      <c r="I255" s="26"/>
      <c r="J255" s="15">
        <f>I255-H255</f>
        <v>0</v>
      </c>
      <c r="K255" t="s" s="14">
        <v>24</v>
      </c>
      <c r="L255" s="20"/>
      <c r="M255" s="16"/>
      <c r="N255" s="20"/>
      <c r="O255" t="s" s="17">
        <v>24</v>
      </c>
    </row>
    <row r="256" ht="30.45" customHeight="1" hidden="1">
      <c r="A256" t="s" s="17">
        <v>39</v>
      </c>
      <c r="B256" t="s" s="5">
        <v>21</v>
      </c>
      <c r="C256" t="s" s="18">
        <v>519</v>
      </c>
      <c r="D256" t="s" s="7">
        <v>379</v>
      </c>
      <c r="E256" s="8">
        <v>45486</v>
      </c>
      <c r="F256" s="9">
        <v>758</v>
      </c>
      <c r="G256" t="s" s="10">
        <v>520</v>
      </c>
      <c r="H256" s="15">
        <v>2166.75</v>
      </c>
      <c r="I256" s="29">
        <v>2166.75</v>
      </c>
      <c r="J256" s="15">
        <f>I256-H256</f>
        <v>0</v>
      </c>
      <c r="K256" t="s" s="14">
        <v>87</v>
      </c>
      <c r="L256" s="15"/>
      <c r="M256" s="16"/>
      <c r="N256" s="20"/>
      <c r="O256" t="s" s="17">
        <v>24</v>
      </c>
    </row>
    <row r="257" ht="30.45" customHeight="1" hidden="1">
      <c r="A257" t="s" s="17">
        <v>20</v>
      </c>
      <c r="B257" t="s" s="5">
        <v>29</v>
      </c>
      <c r="C257" t="s" s="23">
        <v>521</v>
      </c>
      <c r="D257" t="s" s="7">
        <v>15</v>
      </c>
      <c r="E257" s="8">
        <v>45601</v>
      </c>
      <c r="F257" s="16"/>
      <c r="G257" t="s" s="10">
        <v>522</v>
      </c>
      <c r="H257" s="19">
        <v>21369.61</v>
      </c>
      <c r="I257" s="12">
        <v>21289.75</v>
      </c>
      <c r="J257" s="13">
        <f>I257-H257</f>
        <v>-79.86</v>
      </c>
      <c r="K257" s="20"/>
      <c r="L257" s="20"/>
      <c r="M257" s="20"/>
      <c r="N257" s="16"/>
      <c r="O257" t="s" s="17">
        <v>24</v>
      </c>
    </row>
    <row r="258" ht="30.45" customHeight="1" hidden="1">
      <c r="A258" t="s" s="21">
        <v>20</v>
      </c>
      <c r="B258" t="s" s="5">
        <v>29</v>
      </c>
      <c r="C258" t="s" s="18">
        <v>521</v>
      </c>
      <c r="D258" t="s" s="7">
        <v>15</v>
      </c>
      <c r="E258" s="8">
        <v>45674</v>
      </c>
      <c r="F258" t="s" s="10">
        <v>24</v>
      </c>
      <c r="G258" t="s" s="10">
        <v>523</v>
      </c>
      <c r="H258" s="19">
        <v>40221</v>
      </c>
      <c r="I258" s="12">
        <v>40220.02</v>
      </c>
      <c r="J258" s="13">
        <f>I258-H258</f>
        <v>-0.98</v>
      </c>
      <c r="K258" t="s" s="14">
        <v>17</v>
      </c>
      <c r="L258" s="20"/>
      <c r="M258" s="20"/>
      <c r="N258" s="16"/>
      <c r="O258" t="s" s="17">
        <v>24</v>
      </c>
    </row>
    <row r="259" ht="30.45" customHeight="1" hidden="1">
      <c r="A259" t="s" s="21">
        <v>39</v>
      </c>
      <c r="B259" t="s" s="5">
        <v>349</v>
      </c>
      <c r="C259" t="s" s="23">
        <v>521</v>
      </c>
      <c r="D259" t="s" s="7">
        <v>15</v>
      </c>
      <c r="E259" s="8">
        <v>46069</v>
      </c>
      <c r="F259" t="s" s="10">
        <v>524</v>
      </c>
      <c r="G259" t="s" s="10">
        <v>525</v>
      </c>
      <c r="H259" s="19">
        <v>10506.7587</v>
      </c>
      <c r="I259" s="12">
        <v>10506.7587</v>
      </c>
      <c r="J259" s="15">
        <f>I259-H259</f>
        <v>0</v>
      </c>
      <c r="K259" t="s" s="14">
        <v>17</v>
      </c>
      <c r="L259" s="20"/>
      <c r="M259" s="16"/>
      <c r="N259" s="20"/>
      <c r="O259" t="s" s="17">
        <v>24</v>
      </c>
    </row>
    <row r="260" ht="30.45" customHeight="1" hidden="1">
      <c r="A260" t="s" s="30">
        <v>39</v>
      </c>
      <c r="B260" t="s" s="5">
        <v>79</v>
      </c>
      <c r="C260" t="s" s="28">
        <v>521</v>
      </c>
      <c r="D260" t="s" s="7">
        <v>15</v>
      </c>
      <c r="E260" s="25">
        <v>46079</v>
      </c>
      <c r="F260" t="s" s="10">
        <v>526</v>
      </c>
      <c r="G260" t="s" s="10">
        <v>527</v>
      </c>
      <c r="H260" s="50">
        <v>31859.52</v>
      </c>
      <c r="I260" s="12">
        <v>31859.85</v>
      </c>
      <c r="J260" s="13">
        <f>I260-H260</f>
        <v>0.33</v>
      </c>
      <c r="K260" t="s" s="14">
        <v>24</v>
      </c>
      <c r="L260" s="20"/>
      <c r="M260" s="16"/>
      <c r="N260" s="20"/>
      <c r="O260" t="s" s="17">
        <v>24</v>
      </c>
    </row>
    <row r="261" ht="30.45" customHeight="1" hidden="1">
      <c r="A261" t="s" s="17">
        <v>39</v>
      </c>
      <c r="B261" t="s" s="5">
        <v>40</v>
      </c>
      <c r="C261" t="s" s="18">
        <v>528</v>
      </c>
      <c r="D261" t="s" s="7">
        <v>303</v>
      </c>
      <c r="E261" s="41">
        <v>45218</v>
      </c>
      <c r="F261" s="9">
        <v>388</v>
      </c>
      <c r="G261" t="s" s="10">
        <v>529</v>
      </c>
      <c r="H261" s="26">
        <v>21719.95</v>
      </c>
      <c r="I261" s="42"/>
      <c r="J261" s="15"/>
      <c r="K261" t="s" s="14">
        <v>306</v>
      </c>
      <c r="L261" s="15"/>
      <c r="M261" s="27">
        <v>45254</v>
      </c>
      <c r="N261" t="s" s="10">
        <v>530</v>
      </c>
      <c r="O261" t="s" s="17">
        <v>24</v>
      </c>
    </row>
    <row r="262" ht="30.45" customHeight="1" hidden="1">
      <c r="A262" t="s" s="17">
        <v>49</v>
      </c>
      <c r="B262" t="s" s="5">
        <v>40</v>
      </c>
      <c r="C262" t="s" s="18">
        <v>528</v>
      </c>
      <c r="D262" t="s" s="7">
        <v>303</v>
      </c>
      <c r="E262" s="25">
        <v>45344</v>
      </c>
      <c r="F262" t="s" s="10">
        <v>531</v>
      </c>
      <c r="G262" t="s" s="10">
        <v>532</v>
      </c>
      <c r="H262" s="42">
        <v>42529.93</v>
      </c>
      <c r="I262" s="12">
        <v>42530</v>
      </c>
      <c r="J262" s="15">
        <f>I262-H262</f>
        <v>0.07000000000000001</v>
      </c>
      <c r="K262" t="s" s="14">
        <v>306</v>
      </c>
      <c r="L262" s="20"/>
      <c r="M262" s="8">
        <v>45381</v>
      </c>
      <c r="N262" s="16"/>
      <c r="O262" t="s" s="17">
        <v>24</v>
      </c>
    </row>
    <row r="263" ht="30.45" customHeight="1" hidden="1">
      <c r="A263" t="s" s="17">
        <v>39</v>
      </c>
      <c r="B263" t="s" s="5">
        <v>30</v>
      </c>
      <c r="C263" t="s" s="18">
        <v>533</v>
      </c>
      <c r="D263" t="s" s="7">
        <v>534</v>
      </c>
      <c r="E263" s="8">
        <v>45352</v>
      </c>
      <c r="F263" s="16"/>
      <c r="G263" s="9">
        <v>1905</v>
      </c>
      <c r="H263" s="19">
        <v>11166</v>
      </c>
      <c r="I263" s="40">
        <v>11166</v>
      </c>
      <c r="J263" s="15"/>
      <c r="K263" t="s" s="14">
        <v>84</v>
      </c>
      <c r="L263" s="15"/>
      <c r="M263" s="43">
        <v>45387</v>
      </c>
      <c r="N263" t="s" s="65">
        <v>535</v>
      </c>
      <c r="O263" t="s" s="17">
        <v>24</v>
      </c>
    </row>
    <row r="264" ht="30.45" customHeight="1" hidden="1">
      <c r="A264" t="s" s="17">
        <v>39</v>
      </c>
      <c r="B264" t="s" s="5">
        <v>30</v>
      </c>
      <c r="C264" t="s" s="28">
        <v>533</v>
      </c>
      <c r="D264" t="s" s="7">
        <v>534</v>
      </c>
      <c r="E264" s="8">
        <v>45717</v>
      </c>
      <c r="F264" s="16"/>
      <c r="G264" t="s" s="10">
        <v>536</v>
      </c>
      <c r="H264" s="50">
        <v>16798.84</v>
      </c>
      <c r="I264" s="12">
        <v>16798.84</v>
      </c>
      <c r="J264" s="13">
        <f>I264-H264</f>
        <v>0</v>
      </c>
      <c r="K264" t="s" s="14">
        <v>84</v>
      </c>
      <c r="L264" s="20"/>
      <c r="M264" s="16"/>
      <c r="N264" s="20"/>
      <c r="O264" t="s" s="17">
        <v>24</v>
      </c>
    </row>
    <row r="265" ht="30.45" customHeight="1" hidden="1">
      <c r="A265" t="s" s="17">
        <v>39</v>
      </c>
      <c r="B265" t="s" s="5">
        <v>30</v>
      </c>
      <c r="C265" t="s" s="18">
        <v>537</v>
      </c>
      <c r="D265" t="s" s="7">
        <v>534</v>
      </c>
      <c r="E265" s="67">
        <v>45527</v>
      </c>
      <c r="F265" s="16"/>
      <c r="G265" s="10"/>
      <c r="H265" s="19">
        <v>9120</v>
      </c>
      <c r="I265" s="12">
        <v>9120</v>
      </c>
      <c r="J265" s="13">
        <f>I265-H265</f>
        <v>0</v>
      </c>
      <c r="K265" t="s" s="14">
        <v>84</v>
      </c>
      <c r="L265" s="20"/>
      <c r="M265" s="16"/>
      <c r="N265" s="20"/>
      <c r="O265" t="s" s="17">
        <v>24</v>
      </c>
    </row>
    <row r="266" ht="30.45" customHeight="1" hidden="1">
      <c r="A266" t="s" s="4">
        <v>39</v>
      </c>
      <c r="B266" t="s" s="5">
        <v>30</v>
      </c>
      <c r="C266" t="s" s="18">
        <v>538</v>
      </c>
      <c r="D266" t="s" s="7">
        <v>539</v>
      </c>
      <c r="E266" s="8">
        <v>46038</v>
      </c>
      <c r="F266" s="10"/>
      <c r="G266" t="s" s="10">
        <v>540</v>
      </c>
      <c r="H266" s="19">
        <v>14565.88</v>
      </c>
      <c r="I266" s="12">
        <v>14565</v>
      </c>
      <c r="J266" s="13">
        <f>I266-H266</f>
        <v>-0.88</v>
      </c>
      <c r="K266" t="s" s="14">
        <v>87</v>
      </c>
      <c r="L266" s="20"/>
      <c r="M266" s="16"/>
      <c r="N266" s="20"/>
      <c r="O266" t="s" s="17">
        <v>24</v>
      </c>
    </row>
    <row r="267" ht="30.45" customHeight="1" hidden="1">
      <c r="A267" t="s" s="47">
        <v>20</v>
      </c>
      <c r="B267" t="s" s="5">
        <v>30</v>
      </c>
      <c r="C267" t="s" s="23">
        <v>541</v>
      </c>
      <c r="D267" t="s" s="7">
        <v>539</v>
      </c>
      <c r="E267" s="8">
        <v>45911</v>
      </c>
      <c r="F267" s="10"/>
      <c r="G267" s="10"/>
      <c r="H267" s="19">
        <v>13790</v>
      </c>
      <c r="I267" s="12">
        <v>13790</v>
      </c>
      <c r="J267" s="13">
        <f>I267-H267</f>
        <v>0</v>
      </c>
      <c r="K267" t="s" s="14">
        <v>87</v>
      </c>
      <c r="L267" s="20"/>
      <c r="M267" s="16"/>
      <c r="N267" s="20"/>
      <c r="O267" t="s" s="17">
        <v>24</v>
      </c>
    </row>
    <row r="268" ht="30.45" customHeight="1" hidden="1">
      <c r="A268" t="s" s="17">
        <v>39</v>
      </c>
      <c r="B268" t="s" s="5">
        <v>79</v>
      </c>
      <c r="C268" t="s" s="34">
        <v>542</v>
      </c>
      <c r="D268" t="s" s="7">
        <v>90</v>
      </c>
      <c r="E268" s="25">
        <v>45790</v>
      </c>
      <c r="F268" t="s" s="10">
        <v>235</v>
      </c>
      <c r="G268" t="s" s="10">
        <v>543</v>
      </c>
      <c r="H268" s="35">
        <v>48702.72</v>
      </c>
      <c r="I268" s="12">
        <v>48700</v>
      </c>
      <c r="J268" s="13">
        <f>I268-H268</f>
        <v>-2.72</v>
      </c>
      <c r="K268" t="s" s="14">
        <v>87</v>
      </c>
      <c r="L268" s="20"/>
      <c r="M268" s="16"/>
      <c r="N268" s="20"/>
      <c r="O268" t="s" s="17">
        <v>24</v>
      </c>
    </row>
    <row r="269" ht="30.45" customHeight="1" hidden="1">
      <c r="A269" t="s" s="17">
        <v>49</v>
      </c>
      <c r="B269" t="s" s="5">
        <v>40</v>
      </c>
      <c r="C269" t="s" s="18">
        <v>544</v>
      </c>
      <c r="D269" t="s" s="7">
        <v>545</v>
      </c>
      <c r="E269" s="41">
        <v>45226</v>
      </c>
      <c r="F269" s="9">
        <v>399</v>
      </c>
      <c r="G269" t="s" s="10">
        <v>546</v>
      </c>
      <c r="H269" s="26">
        <v>25885</v>
      </c>
      <c r="I269" s="12">
        <v>25884.64</v>
      </c>
      <c r="J269" s="15">
        <f>I269-H269</f>
        <v>-0.36</v>
      </c>
      <c r="K269" t="s" s="14">
        <v>153</v>
      </c>
      <c r="L269" s="15"/>
      <c r="M269" s="8">
        <v>45263</v>
      </c>
      <c r="N269" s="20"/>
      <c r="O269" t="s" s="17">
        <v>24</v>
      </c>
    </row>
    <row r="270" ht="30.45" customHeight="1" hidden="1">
      <c r="A270" t="s" s="17">
        <v>49</v>
      </c>
      <c r="B270" t="s" s="5">
        <v>40</v>
      </c>
      <c r="C270" t="s" s="18">
        <v>544</v>
      </c>
      <c r="D270" t="s" s="7">
        <v>545</v>
      </c>
      <c r="E270" s="25">
        <v>45274</v>
      </c>
      <c r="F270" s="9">
        <v>436</v>
      </c>
      <c r="G270" t="s" s="10">
        <v>547</v>
      </c>
      <c r="H270" s="26">
        <v>31667.56</v>
      </c>
      <c r="I270" s="12">
        <v>31667.23</v>
      </c>
      <c r="J270" s="15">
        <f>I270-H270</f>
        <v>-0.33</v>
      </c>
      <c r="K270" t="s" s="14">
        <v>153</v>
      </c>
      <c r="L270" s="15"/>
      <c r="M270" s="43">
        <v>45311</v>
      </c>
      <c r="N270" s="16"/>
      <c r="O270" t="s" s="17">
        <v>24</v>
      </c>
    </row>
    <row r="271" ht="30.45" customHeight="1" hidden="1">
      <c r="A271" t="s" s="17">
        <v>49</v>
      </c>
      <c r="B271" t="s" s="5">
        <v>40</v>
      </c>
      <c r="C271" t="s" s="18">
        <v>544</v>
      </c>
      <c r="D271" t="s" s="7">
        <v>545</v>
      </c>
      <c r="E271" s="8">
        <v>45365</v>
      </c>
      <c r="F271" t="s" s="10">
        <v>548</v>
      </c>
      <c r="G271" t="s" s="10">
        <v>549</v>
      </c>
      <c r="H271" s="26">
        <v>20862.52</v>
      </c>
      <c r="I271" s="12">
        <v>20862.41</v>
      </c>
      <c r="J271" s="15">
        <f>I271-H271</f>
        <v>-0.11</v>
      </c>
      <c r="K271" t="s" s="14">
        <v>153</v>
      </c>
      <c r="L271" s="15"/>
      <c r="M271" s="8">
        <v>45402</v>
      </c>
      <c r="N271" s="16"/>
      <c r="O271" t="s" s="17">
        <v>24</v>
      </c>
    </row>
    <row r="272" ht="30.45" customHeight="1" hidden="1">
      <c r="A272" t="s" s="30">
        <v>49</v>
      </c>
      <c r="B272" t="s" s="5">
        <v>40</v>
      </c>
      <c r="C272" t="s" s="18">
        <v>544</v>
      </c>
      <c r="D272" t="s" s="7">
        <v>545</v>
      </c>
      <c r="E272" s="8">
        <v>45798</v>
      </c>
      <c r="F272" t="s" s="10">
        <v>550</v>
      </c>
      <c r="G272" t="s" s="10">
        <v>551</v>
      </c>
      <c r="H272" s="15">
        <v>61630.08</v>
      </c>
      <c r="I272" s="12">
        <v>61604.94</v>
      </c>
      <c r="J272" s="15">
        <f>I272-H272</f>
        <v>-25.14</v>
      </c>
      <c r="K272" t="s" s="14">
        <v>153</v>
      </c>
      <c r="L272" s="20"/>
      <c r="M272" s="16"/>
      <c r="N272" s="20"/>
      <c r="O272" t="s" s="17">
        <v>24</v>
      </c>
    </row>
    <row r="273" ht="30.45" customHeight="1" hidden="1">
      <c r="A273" t="s" s="30">
        <v>49</v>
      </c>
      <c r="B273" t="s" s="5">
        <v>40</v>
      </c>
      <c r="C273" t="s" s="28">
        <v>544</v>
      </c>
      <c r="D273" t="s" s="7">
        <v>545</v>
      </c>
      <c r="E273" s="8">
        <v>45924</v>
      </c>
      <c r="F273" t="s" s="10">
        <v>552</v>
      </c>
      <c r="G273" t="s" s="10">
        <v>553</v>
      </c>
      <c r="H273" s="50">
        <v>23123.16</v>
      </c>
      <c r="I273" s="12">
        <v>23123.2</v>
      </c>
      <c r="J273" s="15">
        <f>I273-H273</f>
        <v>0.04</v>
      </c>
      <c r="K273" t="s" s="14">
        <v>153</v>
      </c>
      <c r="L273" s="20"/>
      <c r="M273" s="16"/>
      <c r="N273" s="20"/>
      <c r="O273" t="s" s="17">
        <v>24</v>
      </c>
    </row>
    <row r="274" ht="30.45" customHeight="1" hidden="1">
      <c r="A274" t="s" s="4">
        <v>49</v>
      </c>
      <c r="B274" t="s" s="5">
        <v>40</v>
      </c>
      <c r="C274" t="s" s="18">
        <v>544</v>
      </c>
      <c r="D274" t="s" s="7">
        <v>545</v>
      </c>
      <c r="E274" s="8">
        <v>45995</v>
      </c>
      <c r="F274" t="s" s="10">
        <v>554</v>
      </c>
      <c r="G274" t="s" s="10">
        <v>252</v>
      </c>
      <c r="H274" s="19">
        <v>60921.63</v>
      </c>
      <c r="I274" s="12">
        <v>60921.89</v>
      </c>
      <c r="J274" s="15">
        <f>I274-H274</f>
        <v>0.26</v>
      </c>
      <c r="K274" t="s" s="14">
        <v>153</v>
      </c>
      <c r="L274" s="20"/>
      <c r="M274" s="16"/>
      <c r="N274" s="20"/>
      <c r="O274" t="s" s="17">
        <v>24</v>
      </c>
    </row>
    <row r="275" ht="30.45" customHeight="1" hidden="1">
      <c r="A275" t="s" s="21">
        <v>20</v>
      </c>
      <c r="B275" t="s" s="5">
        <v>40</v>
      </c>
      <c r="C275" t="s" s="18">
        <v>544</v>
      </c>
      <c r="D275" t="s" s="7">
        <v>545</v>
      </c>
      <c r="E275" s="8">
        <v>46101</v>
      </c>
      <c r="F275" t="s" s="10">
        <v>555</v>
      </c>
      <c r="G275" t="s" s="10">
        <v>556</v>
      </c>
      <c r="H275" s="19">
        <v>41852.34</v>
      </c>
      <c r="I275" s="12">
        <v>41852.58</v>
      </c>
      <c r="J275" s="15">
        <f>I275-H275</f>
        <v>0.24</v>
      </c>
      <c r="K275" t="s" s="14">
        <v>153</v>
      </c>
      <c r="L275" s="20"/>
      <c r="M275" s="16"/>
      <c r="N275" s="20"/>
      <c r="O275" t="s" s="17">
        <v>24</v>
      </c>
    </row>
    <row r="276" ht="30.45" customHeight="1" hidden="1">
      <c r="A276" t="s" s="17">
        <v>49</v>
      </c>
      <c r="B276" t="s" s="5">
        <v>47</v>
      </c>
      <c r="C276" t="s" s="28">
        <v>544</v>
      </c>
      <c r="D276" t="s" s="7">
        <v>545</v>
      </c>
      <c r="E276" s="25">
        <v>45441</v>
      </c>
      <c r="F276" s="9">
        <v>10595</v>
      </c>
      <c r="G276" t="s" s="10">
        <v>557</v>
      </c>
      <c r="H276" s="15">
        <v>4474.85</v>
      </c>
      <c r="I276" s="12">
        <v>4474.85</v>
      </c>
      <c r="J276" s="15">
        <f>I276-H276</f>
        <v>0</v>
      </c>
      <c r="K276" t="s" s="14">
        <v>153</v>
      </c>
      <c r="L276" s="15"/>
      <c r="M276" s="8">
        <v>45471</v>
      </c>
      <c r="N276" s="20"/>
      <c r="O276" t="s" s="17">
        <v>24</v>
      </c>
    </row>
    <row r="277" ht="30.45" customHeight="1" hidden="1">
      <c r="A277" t="s" s="17">
        <v>49</v>
      </c>
      <c r="B277" t="s" s="5">
        <v>47</v>
      </c>
      <c r="C277" t="s" s="28">
        <v>544</v>
      </c>
      <c r="D277" t="s" s="7">
        <v>545</v>
      </c>
      <c r="E277" s="25">
        <v>45441</v>
      </c>
      <c r="F277" s="9">
        <v>10596</v>
      </c>
      <c r="G277" t="s" s="10">
        <v>557</v>
      </c>
      <c r="H277" s="15">
        <v>8154.99</v>
      </c>
      <c r="I277" s="12">
        <v>8152.65</v>
      </c>
      <c r="J277" s="15">
        <f>I277-H277</f>
        <v>-2.34</v>
      </c>
      <c r="K277" t="s" s="14">
        <v>153</v>
      </c>
      <c r="L277" s="15"/>
      <c r="M277" s="8">
        <v>45471</v>
      </c>
      <c r="N277" s="20"/>
      <c r="O277" t="s" s="17">
        <v>24</v>
      </c>
    </row>
    <row r="278" ht="30.45" customHeight="1" hidden="1">
      <c r="A278" t="s" s="17">
        <v>49</v>
      </c>
      <c r="B278" t="s" s="5">
        <v>47</v>
      </c>
      <c r="C278" t="s" s="28">
        <v>544</v>
      </c>
      <c r="D278" t="s" s="7">
        <v>545</v>
      </c>
      <c r="E278" s="8">
        <v>45553</v>
      </c>
      <c r="F278" t="s" s="10">
        <v>558</v>
      </c>
      <c r="G278" t="s" s="10">
        <v>559</v>
      </c>
      <c r="H278" s="29">
        <v>34984.47</v>
      </c>
      <c r="I278" s="12">
        <v>34984.92</v>
      </c>
      <c r="J278" s="15">
        <f>I278-H278</f>
        <v>0.45</v>
      </c>
      <c r="K278" t="s" s="14">
        <v>24</v>
      </c>
      <c r="L278" s="20"/>
      <c r="M278" s="8"/>
      <c r="N278" s="20"/>
      <c r="O278" t="s" s="17">
        <v>24</v>
      </c>
    </row>
    <row r="279" ht="30.45" customHeight="1" hidden="1">
      <c r="A279" t="s" s="30">
        <v>49</v>
      </c>
      <c r="B279" t="s" s="5">
        <v>47</v>
      </c>
      <c r="C279" t="s" s="28">
        <v>544</v>
      </c>
      <c r="D279" t="s" s="7">
        <v>545</v>
      </c>
      <c r="E279" s="8">
        <v>45701</v>
      </c>
      <c r="F279" t="s" s="10">
        <v>560</v>
      </c>
      <c r="G279" t="s" s="10">
        <v>561</v>
      </c>
      <c r="H279" s="29">
        <v>60350.75</v>
      </c>
      <c r="I279" s="12"/>
      <c r="J279" s="15">
        <f>I279-H279</f>
        <v>-60350.75</v>
      </c>
      <c r="K279" t="s" s="14">
        <v>153</v>
      </c>
      <c r="L279" s="20"/>
      <c r="M279" s="8"/>
      <c r="N279" s="20"/>
      <c r="O279" t="s" s="17">
        <v>24</v>
      </c>
    </row>
    <row r="280" ht="30.45" customHeight="1" hidden="1">
      <c r="A280" t="s" s="30">
        <v>49</v>
      </c>
      <c r="B280" t="s" s="5">
        <v>47</v>
      </c>
      <c r="C280" t="s" s="28">
        <v>544</v>
      </c>
      <c r="D280" t="s" s="7">
        <v>545</v>
      </c>
      <c r="E280" s="8">
        <v>45729</v>
      </c>
      <c r="F280" t="s" s="10">
        <v>562</v>
      </c>
      <c r="G280" t="s" s="10">
        <v>563</v>
      </c>
      <c r="H280" s="29">
        <v>49571.04</v>
      </c>
      <c r="I280" s="12"/>
      <c r="J280" s="15">
        <f>I280-H280</f>
        <v>-49571.04</v>
      </c>
      <c r="K280" t="s" s="14">
        <v>153</v>
      </c>
      <c r="L280" s="20"/>
      <c r="M280" s="8"/>
      <c r="N280" s="20"/>
      <c r="O280" t="s" s="17">
        <v>24</v>
      </c>
    </row>
    <row r="281" ht="30.45" customHeight="1" hidden="1">
      <c r="A281" t="s" s="30">
        <v>49</v>
      </c>
      <c r="B281" t="s" s="5">
        <v>47</v>
      </c>
      <c r="C281" t="s" s="18">
        <v>544</v>
      </c>
      <c r="D281" t="s" s="7">
        <v>545</v>
      </c>
      <c r="E281" s="8">
        <v>45847</v>
      </c>
      <c r="F281" t="s" s="10">
        <v>564</v>
      </c>
      <c r="G281" t="s" s="10">
        <v>565</v>
      </c>
      <c r="H281" s="19">
        <v>34801.16</v>
      </c>
      <c r="I281" s="12">
        <v>34801.11</v>
      </c>
      <c r="J281" s="15">
        <f>I281-H281</f>
        <v>-0.05</v>
      </c>
      <c r="K281" t="s" s="14">
        <v>153</v>
      </c>
      <c r="L281" s="20"/>
      <c r="M281" s="8"/>
      <c r="N281" s="20"/>
      <c r="O281" t="s" s="17">
        <v>24</v>
      </c>
    </row>
    <row r="282" ht="30.45" customHeight="1" hidden="1">
      <c r="A282" t="s" s="30">
        <v>49</v>
      </c>
      <c r="B282" t="s" s="5">
        <v>47</v>
      </c>
      <c r="C282" t="s" s="18">
        <v>544</v>
      </c>
      <c r="D282" t="s" s="7">
        <v>545</v>
      </c>
      <c r="E282" s="8">
        <v>45849</v>
      </c>
      <c r="F282" t="s" s="10">
        <v>566</v>
      </c>
      <c r="G282" t="s" s="10">
        <v>567</v>
      </c>
      <c r="H282" s="19">
        <v>1381.02</v>
      </c>
      <c r="I282" s="12">
        <v>1381</v>
      </c>
      <c r="J282" s="15">
        <f>I282-H282</f>
        <v>-0.02</v>
      </c>
      <c r="K282" t="s" s="14">
        <v>153</v>
      </c>
      <c r="L282" s="20"/>
      <c r="M282" s="8"/>
      <c r="N282" s="20"/>
      <c r="O282" t="s" s="17">
        <v>24</v>
      </c>
    </row>
    <row r="283" ht="30.45" customHeight="1" hidden="1">
      <c r="A283" t="s" s="21">
        <v>77</v>
      </c>
      <c r="B283" t="s" s="5">
        <v>47</v>
      </c>
      <c r="C283" t="s" s="23">
        <v>544</v>
      </c>
      <c r="D283" t="s" s="7">
        <v>545</v>
      </c>
      <c r="E283" s="8">
        <v>46195</v>
      </c>
      <c r="F283" t="s" s="10">
        <v>568</v>
      </c>
      <c r="G283" t="s" s="10">
        <v>569</v>
      </c>
      <c r="H283" s="19">
        <v>74256.37</v>
      </c>
      <c r="I283" s="26"/>
      <c r="J283" s="15">
        <f>I283-H283</f>
        <v>-74256.37</v>
      </c>
      <c r="K283" t="s" s="14">
        <v>153</v>
      </c>
      <c r="L283" s="20"/>
      <c r="M283" s="8"/>
      <c r="N283" s="20"/>
      <c r="O283" t="s" s="17">
        <v>24</v>
      </c>
    </row>
    <row r="284" ht="30.45" customHeight="1" hidden="1">
      <c r="A284" t="s" s="30">
        <v>49</v>
      </c>
      <c r="B284" t="s" s="5">
        <v>47</v>
      </c>
      <c r="C284" t="s" s="28">
        <v>570</v>
      </c>
      <c r="D284" t="s" s="7">
        <v>545</v>
      </c>
      <c r="E284" s="8">
        <v>45719</v>
      </c>
      <c r="F284" t="s" s="10">
        <v>571</v>
      </c>
      <c r="G284" t="s" s="10">
        <v>563</v>
      </c>
      <c r="H284" s="29">
        <v>53174.27</v>
      </c>
      <c r="I284" s="12"/>
      <c r="J284" s="15">
        <f>I284-H284</f>
        <v>-53174.27</v>
      </c>
      <c r="K284" t="s" s="14">
        <v>153</v>
      </c>
      <c r="L284" s="20"/>
      <c r="M284" s="8"/>
      <c r="N284" s="20"/>
      <c r="O284" t="s" s="17">
        <v>24</v>
      </c>
    </row>
    <row r="285" ht="30.45" customHeight="1" hidden="1">
      <c r="A285" t="s" s="30">
        <v>49</v>
      </c>
      <c r="B285" t="s" s="5">
        <v>47</v>
      </c>
      <c r="C285" t="s" s="28">
        <v>572</v>
      </c>
      <c r="D285" t="s" s="7">
        <v>545</v>
      </c>
      <c r="E285" s="8">
        <v>45720</v>
      </c>
      <c r="F285" t="s" s="10">
        <v>573</v>
      </c>
      <c r="G285" t="s" s="10">
        <v>563</v>
      </c>
      <c r="H285" s="29">
        <v>41375.21</v>
      </c>
      <c r="I285" s="12"/>
      <c r="J285" s="15">
        <f>I285-H285</f>
        <v>-41375.21</v>
      </c>
      <c r="K285" t="s" s="14">
        <v>153</v>
      </c>
      <c r="L285" s="20"/>
      <c r="M285" s="8"/>
      <c r="N285" s="20"/>
      <c r="O285" t="s" s="17">
        <v>24</v>
      </c>
    </row>
    <row r="286" ht="30.45" customHeight="1" hidden="1">
      <c r="A286" t="s" s="30">
        <v>49</v>
      </c>
      <c r="B286" t="s" s="5">
        <v>47</v>
      </c>
      <c r="C286" t="s" s="28">
        <v>572</v>
      </c>
      <c r="D286" t="s" s="7">
        <v>545</v>
      </c>
      <c r="E286" s="8">
        <v>45723</v>
      </c>
      <c r="F286" t="s" s="10">
        <v>574</v>
      </c>
      <c r="G286" t="s" s="10">
        <v>563</v>
      </c>
      <c r="H286" s="29">
        <v>42895.86</v>
      </c>
      <c r="I286" s="12"/>
      <c r="J286" s="15">
        <f>I286-H286</f>
        <v>-42895.86</v>
      </c>
      <c r="K286" t="s" s="14">
        <v>153</v>
      </c>
      <c r="L286" s="20"/>
      <c r="M286" s="8"/>
      <c r="N286" s="20"/>
      <c r="O286" t="s" s="17">
        <v>24</v>
      </c>
    </row>
    <row r="287" ht="30.45" customHeight="1" hidden="1">
      <c r="A287" t="s" s="17">
        <v>49</v>
      </c>
      <c r="B287" t="s" s="5">
        <v>47</v>
      </c>
      <c r="C287" t="s" s="28">
        <v>575</v>
      </c>
      <c r="D287" t="s" s="7">
        <v>545</v>
      </c>
      <c r="E287" s="8">
        <v>45540</v>
      </c>
      <c r="F287" t="s" s="10">
        <v>576</v>
      </c>
      <c r="G287" t="s" s="10">
        <v>577</v>
      </c>
      <c r="H287" s="29">
        <v>5851.14</v>
      </c>
      <c r="I287" s="12">
        <v>5851.14</v>
      </c>
      <c r="J287" s="15">
        <f>I287-H287</f>
        <v>0</v>
      </c>
      <c r="K287" t="s" s="14">
        <v>24</v>
      </c>
      <c r="L287" s="20"/>
      <c r="M287" s="8"/>
      <c r="N287" s="20"/>
      <c r="O287" t="s" s="17">
        <v>24</v>
      </c>
    </row>
    <row r="288" ht="30.45" customHeight="1" hidden="1">
      <c r="A288" t="s" s="17">
        <v>39</v>
      </c>
      <c r="B288" t="s" s="5">
        <v>79</v>
      </c>
      <c r="C288" t="s" s="28">
        <v>578</v>
      </c>
      <c r="D288" t="s" s="7">
        <v>579</v>
      </c>
      <c r="E288" s="25">
        <v>45546</v>
      </c>
      <c r="F288" t="s" s="10">
        <v>235</v>
      </c>
      <c r="G288" t="s" s="10">
        <v>580</v>
      </c>
      <c r="H288" s="50">
        <v>5965.824</v>
      </c>
      <c r="I288" s="12">
        <v>5965.824</v>
      </c>
      <c r="J288" s="13">
        <f>I288-H288</f>
        <v>0</v>
      </c>
      <c r="K288" t="s" s="14">
        <v>24</v>
      </c>
      <c r="L288" s="20"/>
      <c r="M288" s="16"/>
      <c r="N288" s="20"/>
      <c r="O288" t="s" s="17">
        <v>24</v>
      </c>
    </row>
    <row r="289" ht="30.45" customHeight="1" hidden="1">
      <c r="A289" t="s" s="30">
        <v>39</v>
      </c>
      <c r="B289" t="s" s="5">
        <v>79</v>
      </c>
      <c r="C289" t="s" s="28">
        <v>578</v>
      </c>
      <c r="D289" t="s" s="7">
        <v>579</v>
      </c>
      <c r="E289" s="25">
        <v>45700</v>
      </c>
      <c r="F289" t="s" s="10">
        <v>581</v>
      </c>
      <c r="G289" t="s" s="10">
        <v>582</v>
      </c>
      <c r="H289" s="50">
        <v>25131</v>
      </c>
      <c r="I289" s="12">
        <v>25131</v>
      </c>
      <c r="J289" s="13">
        <f>I289-H289</f>
        <v>0</v>
      </c>
      <c r="K289" t="s" s="14">
        <v>87</v>
      </c>
      <c r="L289" s="20"/>
      <c r="M289" s="16"/>
      <c r="N289" s="20"/>
      <c r="O289" t="s" s="17">
        <v>24</v>
      </c>
    </row>
    <row r="290" ht="30.45" customHeight="1" hidden="1">
      <c r="A290" t="s" s="30">
        <v>39</v>
      </c>
      <c r="B290" t="s" s="5">
        <v>79</v>
      </c>
      <c r="C290" t="s" s="28">
        <v>578</v>
      </c>
      <c r="D290" t="s" s="7">
        <v>579</v>
      </c>
      <c r="E290" s="25">
        <v>45828</v>
      </c>
      <c r="F290" t="s" s="10">
        <v>583</v>
      </c>
      <c r="G290" t="s" s="10">
        <v>584</v>
      </c>
      <c r="H290" s="35">
        <v>9215</v>
      </c>
      <c r="I290" s="12">
        <v>9215</v>
      </c>
      <c r="J290" s="13">
        <f>I290-H290</f>
        <v>0</v>
      </c>
      <c r="K290" t="s" s="14">
        <v>87</v>
      </c>
      <c r="L290" s="20"/>
      <c r="M290" s="16"/>
      <c r="N290" s="20"/>
      <c r="O290" t="s" s="17">
        <v>24</v>
      </c>
    </row>
    <row r="291" ht="30.45" customHeight="1" hidden="1">
      <c r="A291" t="s" s="17">
        <v>39</v>
      </c>
      <c r="B291" t="s" s="5">
        <v>30</v>
      </c>
      <c r="C291" t="s" s="23">
        <v>578</v>
      </c>
      <c r="D291" t="s" s="7">
        <v>579</v>
      </c>
      <c r="E291" s="8">
        <v>45400</v>
      </c>
      <c r="F291" s="16"/>
      <c r="G291" t="s" s="10">
        <v>585</v>
      </c>
      <c r="H291" s="31">
        <v>15524.89</v>
      </c>
      <c r="I291" s="12">
        <v>15525.54</v>
      </c>
      <c r="J291" s="15">
        <f>I291-H291</f>
        <v>0.65</v>
      </c>
      <c r="K291" t="s" s="14">
        <v>87</v>
      </c>
      <c r="L291" s="20"/>
      <c r="M291" s="8">
        <v>45449</v>
      </c>
      <c r="N291" s="20"/>
      <c r="O291" t="s" s="17">
        <v>24</v>
      </c>
    </row>
    <row r="292" ht="30.45" customHeight="1" hidden="1">
      <c r="A292" t="s" s="21">
        <v>39</v>
      </c>
      <c r="B292" t="s" s="5">
        <v>30</v>
      </c>
      <c r="C292" t="s" s="23">
        <v>578</v>
      </c>
      <c r="D292" t="s" s="7">
        <v>579</v>
      </c>
      <c r="E292" s="8">
        <v>45717</v>
      </c>
      <c r="F292" s="16"/>
      <c r="G292" t="s" s="10">
        <v>586</v>
      </c>
      <c r="H292" s="19">
        <v>14258</v>
      </c>
      <c r="I292" s="12">
        <v>14258</v>
      </c>
      <c r="J292" s="13">
        <f>I292-H292</f>
        <v>0</v>
      </c>
      <c r="K292" t="s" s="14">
        <v>87</v>
      </c>
      <c r="L292" s="20"/>
      <c r="M292" s="16"/>
      <c r="N292" s="20"/>
      <c r="O292" t="s" s="17">
        <v>24</v>
      </c>
    </row>
    <row r="293" ht="30.45" customHeight="1" hidden="1">
      <c r="A293" t="s" s="21">
        <v>39</v>
      </c>
      <c r="B293" t="s" s="5">
        <v>30</v>
      </c>
      <c r="C293" t="s" s="18">
        <v>578</v>
      </c>
      <c r="D293" t="s" s="7">
        <v>579</v>
      </c>
      <c r="E293" s="8">
        <v>45870</v>
      </c>
      <c r="F293" s="10"/>
      <c r="G293" t="s" s="10">
        <v>587</v>
      </c>
      <c r="H293" s="19">
        <v>6096</v>
      </c>
      <c r="I293" s="12">
        <v>6096</v>
      </c>
      <c r="J293" s="13">
        <f>I293-H293</f>
        <v>0</v>
      </c>
      <c r="K293" t="s" s="14">
        <v>87</v>
      </c>
      <c r="L293" s="20"/>
      <c r="M293" s="16"/>
      <c r="N293" s="20"/>
      <c r="O293" t="s" s="17">
        <v>24</v>
      </c>
    </row>
    <row r="294" ht="30.45" customHeight="1" hidden="1">
      <c r="A294" t="s" s="17">
        <v>39</v>
      </c>
      <c r="B294" t="s" s="5">
        <v>61</v>
      </c>
      <c r="C294" t="s" s="23">
        <v>578</v>
      </c>
      <c r="D294" t="s" s="7">
        <v>579</v>
      </c>
      <c r="E294" s="25">
        <v>45393</v>
      </c>
      <c r="F294" t="s" s="10">
        <v>588</v>
      </c>
      <c r="G294" t="s" s="10">
        <v>589</v>
      </c>
      <c r="H294" s="19">
        <v>6517.53</v>
      </c>
      <c r="I294" s="12">
        <v>6516.81</v>
      </c>
      <c r="J294" s="15">
        <f>I294-H294</f>
        <v>-0.72</v>
      </c>
      <c r="K294" t="s" s="14">
        <v>87</v>
      </c>
      <c r="L294" s="15"/>
      <c r="M294" s="8">
        <v>45474</v>
      </c>
      <c r="N294" t="s" s="14">
        <v>590</v>
      </c>
      <c r="O294" t="s" s="17">
        <v>24</v>
      </c>
    </row>
    <row r="295" ht="30.45" customHeight="1" hidden="1">
      <c r="A295" t="s" s="17">
        <v>20</v>
      </c>
      <c r="B295" t="s" s="5">
        <v>30</v>
      </c>
      <c r="C295" t="s" s="18">
        <v>591</v>
      </c>
      <c r="D295" t="s" s="7">
        <v>15</v>
      </c>
      <c r="E295" s="8">
        <v>45411</v>
      </c>
      <c r="F295" s="16"/>
      <c r="G295" t="s" s="10">
        <v>592</v>
      </c>
      <c r="H295" s="19">
        <v>12321</v>
      </c>
      <c r="I295" s="12">
        <v>12321</v>
      </c>
      <c r="J295" s="15">
        <f>I295-H295</f>
        <v>0</v>
      </c>
      <c r="K295" t="s" s="14">
        <v>17</v>
      </c>
      <c r="L295" s="15"/>
      <c r="M295" s="16"/>
      <c r="N295" s="20"/>
      <c r="O295" t="s" s="17">
        <v>24</v>
      </c>
    </row>
    <row r="296" ht="30.45" customHeight="1" hidden="1">
      <c r="A296" t="s" s="17">
        <v>20</v>
      </c>
      <c r="B296" t="s" s="5">
        <v>30</v>
      </c>
      <c r="C296" t="s" s="18">
        <v>591</v>
      </c>
      <c r="D296" t="s" s="7">
        <v>15</v>
      </c>
      <c r="E296" s="8">
        <v>45516</v>
      </c>
      <c r="F296" s="16"/>
      <c r="G296" t="s" s="10">
        <v>593</v>
      </c>
      <c r="H296" s="19">
        <v>60772</v>
      </c>
      <c r="I296" s="12">
        <v>60772</v>
      </c>
      <c r="J296" s="13">
        <f>I296-H296</f>
        <v>0</v>
      </c>
      <c r="K296" t="s" s="14">
        <v>17</v>
      </c>
      <c r="L296" s="20"/>
      <c r="M296" s="16"/>
      <c r="N296" s="20"/>
      <c r="O296" t="s" s="17">
        <v>24</v>
      </c>
    </row>
    <row r="297" ht="30.45" customHeight="1" hidden="1">
      <c r="A297" t="s" s="21">
        <v>20</v>
      </c>
      <c r="B297" t="s" s="5">
        <v>30</v>
      </c>
      <c r="C297" t="s" s="18">
        <v>591</v>
      </c>
      <c r="D297" t="s" s="7">
        <v>15</v>
      </c>
      <c r="E297" s="8">
        <v>46132</v>
      </c>
      <c r="F297" s="10"/>
      <c r="G297" t="s" s="10">
        <v>594</v>
      </c>
      <c r="H297" s="19">
        <v>16010</v>
      </c>
      <c r="I297" s="12">
        <f>H297</f>
        <v>16010</v>
      </c>
      <c r="J297" s="13">
        <f>I297-H297</f>
        <v>0</v>
      </c>
      <c r="K297" t="s" s="14">
        <v>17</v>
      </c>
      <c r="L297" s="20"/>
      <c r="M297" s="16"/>
      <c r="N297" s="20"/>
      <c r="O297" t="s" s="17">
        <v>24</v>
      </c>
    </row>
    <row r="298" ht="30.45" customHeight="1" hidden="1">
      <c r="A298" t="s" s="17">
        <v>20</v>
      </c>
      <c r="B298" t="s" s="5">
        <v>40</v>
      </c>
      <c r="C298" t="s" s="18">
        <v>591</v>
      </c>
      <c r="D298" t="s" s="7">
        <v>15</v>
      </c>
      <c r="E298" s="8">
        <v>45525</v>
      </c>
      <c r="F298" t="s" s="10">
        <v>595</v>
      </c>
      <c r="G298" t="s" s="10">
        <v>596</v>
      </c>
      <c r="H298" s="19">
        <v>36099.5</v>
      </c>
      <c r="I298" s="12">
        <v>36100</v>
      </c>
      <c r="J298" s="15">
        <f>I298-H298</f>
        <v>0.5</v>
      </c>
      <c r="K298" t="s" s="14">
        <v>17</v>
      </c>
      <c r="L298" s="20"/>
      <c r="M298" s="16"/>
      <c r="N298" s="20"/>
      <c r="O298" t="s" s="17">
        <v>24</v>
      </c>
    </row>
    <row r="299" ht="30.45" customHeight="1" hidden="1">
      <c r="A299" t="s" s="17">
        <v>20</v>
      </c>
      <c r="B299" t="s" s="5">
        <v>40</v>
      </c>
      <c r="C299" t="s" s="18">
        <v>591</v>
      </c>
      <c r="D299" t="s" s="7">
        <v>15</v>
      </c>
      <c r="E299" s="8">
        <v>45604</v>
      </c>
      <c r="F299" t="s" s="10">
        <v>597</v>
      </c>
      <c r="G299" t="s" s="10">
        <v>598</v>
      </c>
      <c r="H299" s="19">
        <v>36385.96</v>
      </c>
      <c r="I299" s="12">
        <v>36386</v>
      </c>
      <c r="J299" s="15">
        <f>I299-H299</f>
        <v>0.04</v>
      </c>
      <c r="K299" t="s" s="14">
        <v>17</v>
      </c>
      <c r="L299" s="20"/>
      <c r="M299" s="16"/>
      <c r="N299" s="20"/>
      <c r="O299" t="s" s="17">
        <v>24</v>
      </c>
    </row>
    <row r="300" ht="30.45" customHeight="1" hidden="1">
      <c r="A300" t="s" s="21">
        <v>599</v>
      </c>
      <c r="B300" t="s" s="5">
        <v>47</v>
      </c>
      <c r="C300" t="s" s="18">
        <v>591</v>
      </c>
      <c r="D300" t="s" s="7">
        <v>15</v>
      </c>
      <c r="E300" s="8">
        <v>46001</v>
      </c>
      <c r="F300" t="s" s="10">
        <v>600</v>
      </c>
      <c r="G300" t="s" s="10">
        <v>601</v>
      </c>
      <c r="H300" s="19">
        <v>29840.5</v>
      </c>
      <c r="I300" s="12">
        <v>29841</v>
      </c>
      <c r="J300" s="15">
        <f>I300-H300</f>
        <v>0.5</v>
      </c>
      <c r="K300" t="s" s="14">
        <v>17</v>
      </c>
      <c r="L300" s="20"/>
      <c r="M300" s="8"/>
      <c r="N300" s="20"/>
      <c r="O300" t="s" s="17">
        <v>19</v>
      </c>
    </row>
    <row r="301" ht="30.45" customHeight="1" hidden="1">
      <c r="A301" t="s" s="21">
        <v>20</v>
      </c>
      <c r="B301" t="s" s="5">
        <v>40</v>
      </c>
      <c r="C301" t="s" s="18">
        <v>591</v>
      </c>
      <c r="D301" t="s" s="7">
        <v>15</v>
      </c>
      <c r="E301" s="8">
        <v>46142</v>
      </c>
      <c r="F301" t="s" s="10">
        <v>602</v>
      </c>
      <c r="G301" t="s" s="10">
        <v>603</v>
      </c>
      <c r="H301" s="19">
        <v>54795.13</v>
      </c>
      <c r="I301" s="12">
        <v>54795</v>
      </c>
      <c r="J301" s="15">
        <f>I301-H301</f>
        <v>-0.13</v>
      </c>
      <c r="K301" t="s" s="14">
        <v>17</v>
      </c>
      <c r="L301" s="20"/>
      <c r="M301" s="16"/>
      <c r="N301" s="20"/>
      <c r="O301" t="s" s="17">
        <v>24</v>
      </c>
    </row>
    <row r="302" ht="30.45" customHeight="1" hidden="1">
      <c r="A302" t="s" s="21">
        <v>20</v>
      </c>
      <c r="B302" t="s" s="5">
        <v>40</v>
      </c>
      <c r="C302" t="s" s="18">
        <v>604</v>
      </c>
      <c r="D302" t="s" s="7">
        <v>15</v>
      </c>
      <c r="E302" s="8">
        <v>45875</v>
      </c>
      <c r="F302" t="s" s="10">
        <v>605</v>
      </c>
      <c r="G302" t="s" s="10">
        <v>606</v>
      </c>
      <c r="H302" s="19">
        <v>69358.19</v>
      </c>
      <c r="I302" s="12">
        <v>69358</v>
      </c>
      <c r="J302" s="15">
        <f>I302-H302</f>
        <v>-0.19</v>
      </c>
      <c r="K302" t="s" s="14">
        <v>17</v>
      </c>
      <c r="L302" s="20"/>
      <c r="M302" s="16"/>
      <c r="N302" s="20"/>
      <c r="O302" t="s" s="17">
        <v>24</v>
      </c>
    </row>
    <row r="303" ht="30.45" customHeight="1" hidden="1">
      <c r="A303" t="s" s="17">
        <v>20</v>
      </c>
      <c r="B303" t="s" s="5">
        <v>97</v>
      </c>
      <c r="C303" t="s" s="18">
        <v>607</v>
      </c>
      <c r="D303" t="s" s="7">
        <v>117</v>
      </c>
      <c r="E303" s="25">
        <v>45716</v>
      </c>
      <c r="F303" t="s" s="10">
        <v>608</v>
      </c>
      <c r="G303" t="s" s="10">
        <v>609</v>
      </c>
      <c r="H303" s="19">
        <v>31036.5</v>
      </c>
      <c r="I303" s="12">
        <v>31038</v>
      </c>
      <c r="J303" s="13">
        <f>I303-H303</f>
        <v>1.5</v>
      </c>
      <c r="K303" t="s" s="14">
        <v>24</v>
      </c>
      <c r="L303" s="20"/>
      <c r="M303" s="16"/>
      <c r="N303" s="20"/>
      <c r="O303" t="s" s="17">
        <v>24</v>
      </c>
    </row>
    <row r="304" ht="30.45" customHeight="1" hidden="1">
      <c r="A304" t="s" s="21">
        <v>20</v>
      </c>
      <c r="B304" t="s" s="5">
        <v>97</v>
      </c>
      <c r="C304" t="s" s="18">
        <v>607</v>
      </c>
      <c r="D304" t="s" s="7">
        <v>117</v>
      </c>
      <c r="E304" s="25">
        <v>45877</v>
      </c>
      <c r="F304" t="s" s="10">
        <v>610</v>
      </c>
      <c r="G304" t="s" s="10">
        <v>611</v>
      </c>
      <c r="H304" s="19">
        <v>18180.8</v>
      </c>
      <c r="I304" s="12">
        <v>18180</v>
      </c>
      <c r="J304" s="13">
        <f>I304-H304</f>
        <v>-0.8</v>
      </c>
      <c r="K304" t="s" s="14">
        <v>92</v>
      </c>
      <c r="L304" s="20"/>
      <c r="M304" s="16"/>
      <c r="N304" s="20"/>
      <c r="O304" t="s" s="17">
        <v>24</v>
      </c>
    </row>
    <row r="305" ht="30.45" customHeight="1" hidden="1">
      <c r="A305" t="s" s="17">
        <v>39</v>
      </c>
      <c r="B305" t="s" s="5">
        <v>40</v>
      </c>
      <c r="C305" t="s" s="28">
        <v>612</v>
      </c>
      <c r="D305" t="s" s="7">
        <v>423</v>
      </c>
      <c r="E305" s="25">
        <v>45244</v>
      </c>
      <c r="F305" s="9">
        <v>410</v>
      </c>
      <c r="G305" t="s" s="10">
        <v>613</v>
      </c>
      <c r="H305" s="26">
        <v>33180.5</v>
      </c>
      <c r="I305" s="26"/>
      <c r="J305" s="15">
        <f>I305-H305</f>
        <v>-33180.5</v>
      </c>
      <c r="K305" t="s" s="14">
        <v>306</v>
      </c>
      <c r="L305" s="15"/>
      <c r="M305" s="27">
        <v>45281</v>
      </c>
      <c r="N305" t="s" s="59">
        <v>614</v>
      </c>
      <c r="O305" t="s" s="17">
        <v>24</v>
      </c>
    </row>
    <row r="306" ht="30.45" customHeight="1" hidden="1">
      <c r="A306" t="s" s="17">
        <v>39</v>
      </c>
      <c r="B306" t="s" s="5">
        <v>40</v>
      </c>
      <c r="C306" t="s" s="28">
        <v>612</v>
      </c>
      <c r="D306" t="s" s="7">
        <v>423</v>
      </c>
      <c r="E306" s="25">
        <v>45344</v>
      </c>
      <c r="F306" t="s" s="10">
        <v>615</v>
      </c>
      <c r="G306" t="s" s="10">
        <v>616</v>
      </c>
      <c r="H306" s="42">
        <v>38590.91</v>
      </c>
      <c r="I306" s="29">
        <v>38590.91</v>
      </c>
      <c r="J306" s="15"/>
      <c r="K306" t="s" s="14">
        <v>306</v>
      </c>
      <c r="L306" s="20"/>
      <c r="M306" s="8">
        <v>45381</v>
      </c>
      <c r="N306" s="16"/>
      <c r="O306" t="s" s="17">
        <v>24</v>
      </c>
    </row>
    <row r="307" ht="30.45" customHeight="1" hidden="1">
      <c r="A307" t="s" s="17">
        <v>49</v>
      </c>
      <c r="B307" t="s" s="5">
        <v>40</v>
      </c>
      <c r="C307" t="s" s="28">
        <v>612</v>
      </c>
      <c r="D307" t="s" s="7">
        <v>423</v>
      </c>
      <c r="E307" s="8">
        <v>45589</v>
      </c>
      <c r="F307" t="s" s="10">
        <v>617</v>
      </c>
      <c r="G307" t="s" s="10">
        <v>618</v>
      </c>
      <c r="H307" s="29">
        <v>18794.1912</v>
      </c>
      <c r="I307" s="12">
        <v>18794.25</v>
      </c>
      <c r="J307" s="15">
        <f>I307-H307</f>
        <v>0.0588</v>
      </c>
      <c r="K307" t="s" s="14">
        <v>306</v>
      </c>
      <c r="L307" s="20"/>
      <c r="M307" s="16"/>
      <c r="N307" s="20"/>
      <c r="O307" t="s" s="17">
        <v>24</v>
      </c>
    </row>
    <row r="308" ht="30.45" customHeight="1" hidden="1">
      <c r="A308" t="s" s="17">
        <v>49</v>
      </c>
      <c r="B308" t="s" s="5">
        <v>40</v>
      </c>
      <c r="C308" t="s" s="28">
        <v>612</v>
      </c>
      <c r="D308" t="s" s="7">
        <v>423</v>
      </c>
      <c r="E308" s="8">
        <v>45743</v>
      </c>
      <c r="F308" t="s" s="10">
        <v>619</v>
      </c>
      <c r="G308" t="s" s="10">
        <v>620</v>
      </c>
      <c r="H308" s="29">
        <v>13316.48</v>
      </c>
      <c r="I308" s="12">
        <v>13233.5</v>
      </c>
      <c r="J308" s="15">
        <f>I308-H308</f>
        <v>-82.98</v>
      </c>
      <c r="K308" t="s" s="14">
        <v>306</v>
      </c>
      <c r="L308" s="20"/>
      <c r="M308" s="16"/>
      <c r="N308" s="20"/>
      <c r="O308" t="s" s="17">
        <v>24</v>
      </c>
    </row>
    <row r="309" ht="30.45" customHeight="1" hidden="1">
      <c r="A309" t="s" s="17">
        <v>39</v>
      </c>
      <c r="B309" t="s" s="5">
        <v>40</v>
      </c>
      <c r="C309" t="s" s="28">
        <v>612</v>
      </c>
      <c r="D309" t="s" s="7">
        <v>423</v>
      </c>
      <c r="E309" s="8">
        <v>45902</v>
      </c>
      <c r="F309" t="s" s="10">
        <v>621</v>
      </c>
      <c r="G309" t="s" s="10">
        <v>622</v>
      </c>
      <c r="H309" s="50">
        <v>21819.36</v>
      </c>
      <c r="I309" s="12">
        <v>21819.2</v>
      </c>
      <c r="J309" s="15">
        <f>I309-H309</f>
        <v>-0.16</v>
      </c>
      <c r="K309" t="s" s="14">
        <v>306</v>
      </c>
      <c r="L309" s="20"/>
      <c r="M309" s="16"/>
      <c r="N309" s="20"/>
      <c r="O309" t="s" s="17">
        <v>24</v>
      </c>
    </row>
    <row r="310" ht="30.45" customHeight="1" hidden="1">
      <c r="A310" t="s" s="17">
        <v>20</v>
      </c>
      <c r="B310" t="s" s="5">
        <v>30</v>
      </c>
      <c r="C310" t="s" s="18">
        <v>623</v>
      </c>
      <c r="D310" t="s" s="7">
        <v>545</v>
      </c>
      <c r="E310" s="8">
        <v>45717</v>
      </c>
      <c r="F310" s="16"/>
      <c r="G310" t="s" s="10">
        <v>624</v>
      </c>
      <c r="H310" s="19">
        <v>27315</v>
      </c>
      <c r="I310" s="12">
        <v>27315</v>
      </c>
      <c r="J310" s="13">
        <f>I310-H310</f>
        <v>0</v>
      </c>
      <c r="K310" t="s" s="14">
        <v>153</v>
      </c>
      <c r="L310" s="20"/>
      <c r="M310" s="16"/>
      <c r="N310" s="20"/>
      <c r="O310" t="s" s="17">
        <v>24</v>
      </c>
    </row>
    <row r="311" ht="30.45" customHeight="1" hidden="1">
      <c r="A311" t="s" s="21">
        <v>20</v>
      </c>
      <c r="B311" t="s" s="5">
        <v>30</v>
      </c>
      <c r="C311" t="s" s="18">
        <v>623</v>
      </c>
      <c r="D311" t="s" s="7">
        <v>545</v>
      </c>
      <c r="E311" s="8">
        <v>45870</v>
      </c>
      <c r="F311" s="10"/>
      <c r="G311" t="s" s="10">
        <v>625</v>
      </c>
      <c r="H311" s="19">
        <v>20544</v>
      </c>
      <c r="I311" s="12">
        <v>20543.33</v>
      </c>
      <c r="J311" s="13">
        <f>I311-H311</f>
        <v>-0.67</v>
      </c>
      <c r="K311" t="s" s="14">
        <v>153</v>
      </c>
      <c r="L311" s="20"/>
      <c r="M311" s="16"/>
      <c r="N311" s="20"/>
      <c r="O311" t="s" s="17">
        <v>24</v>
      </c>
    </row>
    <row r="312" ht="30.45" customHeight="1" hidden="1">
      <c r="A312" t="s" s="21">
        <v>20</v>
      </c>
      <c r="B312" t="s" s="5">
        <v>30</v>
      </c>
      <c r="C312" t="s" s="18">
        <v>623</v>
      </c>
      <c r="D312" t="s" s="7">
        <v>545</v>
      </c>
      <c r="E312" s="8">
        <v>46038</v>
      </c>
      <c r="F312" s="10"/>
      <c r="G312" t="s" s="10">
        <v>626</v>
      </c>
      <c r="H312" s="19">
        <v>29467</v>
      </c>
      <c r="I312" s="12">
        <v>29467.64</v>
      </c>
      <c r="J312" s="13">
        <f>I312-H312</f>
        <v>0.64</v>
      </c>
      <c r="K312" t="s" s="14">
        <v>153</v>
      </c>
      <c r="L312" s="20"/>
      <c r="M312" s="16"/>
      <c r="N312" s="20"/>
      <c r="O312" t="s" s="17">
        <v>24</v>
      </c>
    </row>
    <row r="313" ht="30.45" customHeight="1" hidden="1">
      <c r="A313" t="s" s="21">
        <v>20</v>
      </c>
      <c r="B313" t="s" s="5">
        <v>30</v>
      </c>
      <c r="C313" t="s" s="18">
        <v>623</v>
      </c>
      <c r="D313" t="s" s="7">
        <v>545</v>
      </c>
      <c r="E313" s="8">
        <v>46101</v>
      </c>
      <c r="F313" s="10"/>
      <c r="G313" t="s" s="10">
        <v>627</v>
      </c>
      <c r="H313" s="19">
        <v>20695</v>
      </c>
      <c r="I313" s="12">
        <v>20696.2</v>
      </c>
      <c r="J313" s="13">
        <f>I313-H313</f>
        <v>1.2</v>
      </c>
      <c r="K313" t="s" s="14">
        <v>153</v>
      </c>
      <c r="L313" s="20"/>
      <c r="M313" s="16"/>
      <c r="N313" s="20"/>
      <c r="O313" t="s" s="17">
        <v>24</v>
      </c>
    </row>
    <row r="314" ht="30.45" customHeight="1" hidden="1">
      <c r="A314" t="s" s="17">
        <v>20</v>
      </c>
      <c r="B314" t="s" s="5">
        <v>97</v>
      </c>
      <c r="C314" t="s" s="23">
        <v>623</v>
      </c>
      <c r="D314" t="s" s="7">
        <v>545</v>
      </c>
      <c r="E314" s="25">
        <v>45595</v>
      </c>
      <c r="F314" t="s" s="10">
        <v>628</v>
      </c>
      <c r="G314" t="s" s="10">
        <v>629</v>
      </c>
      <c r="H314" s="19">
        <v>58438.4</v>
      </c>
      <c r="I314" s="12">
        <v>58439.4</v>
      </c>
      <c r="J314" s="13">
        <f>I314-H314</f>
        <v>1</v>
      </c>
      <c r="K314" t="s" s="14">
        <v>153</v>
      </c>
      <c r="L314" s="20"/>
      <c r="M314" s="16"/>
      <c r="N314" s="20"/>
      <c r="O314" t="s" s="17">
        <v>24</v>
      </c>
    </row>
    <row r="315" ht="30.45" customHeight="1" hidden="1">
      <c r="A315" t="s" s="21">
        <v>20</v>
      </c>
      <c r="B315" t="s" s="5">
        <v>21</v>
      </c>
      <c r="C315" t="s" s="18">
        <v>630</v>
      </c>
      <c r="D315" t="s" s="7">
        <v>545</v>
      </c>
      <c r="E315" s="8">
        <v>45643</v>
      </c>
      <c r="F315" t="s" s="10">
        <v>631</v>
      </c>
      <c r="G315" t="s" s="10">
        <v>632</v>
      </c>
      <c r="H315" s="24">
        <v>11317</v>
      </c>
      <c r="I315" s="12">
        <v>11317</v>
      </c>
      <c r="J315" s="13">
        <f>I315-H315</f>
        <v>0</v>
      </c>
      <c r="K315" t="s" s="14">
        <v>153</v>
      </c>
      <c r="L315" s="20"/>
      <c r="M315" s="16"/>
      <c r="N315" s="20"/>
      <c r="O315" t="s" s="17">
        <v>24</v>
      </c>
    </row>
    <row r="316" ht="30.45" customHeight="1" hidden="1">
      <c r="A316" t="s" s="30">
        <v>39</v>
      </c>
      <c r="B316" t="s" s="5">
        <v>633</v>
      </c>
      <c r="C316" t="s" s="28">
        <v>630</v>
      </c>
      <c r="D316" t="s" s="7">
        <v>545</v>
      </c>
      <c r="E316" s="8">
        <v>45834</v>
      </c>
      <c r="F316" t="s" s="10">
        <v>634</v>
      </c>
      <c r="G316" t="s" s="10">
        <v>635</v>
      </c>
      <c r="H316" s="29">
        <v>22004.6195</v>
      </c>
      <c r="I316" s="12">
        <v>22004.6195</v>
      </c>
      <c r="J316" s="13">
        <f>I316-H316</f>
        <v>0</v>
      </c>
      <c r="K316" t="s" s="14">
        <v>153</v>
      </c>
      <c r="L316" s="20"/>
      <c r="M316" s="16"/>
      <c r="N316" s="20"/>
      <c r="O316" t="s" s="17">
        <v>24</v>
      </c>
    </row>
    <row r="317" ht="30.45" customHeight="1" hidden="1">
      <c r="A317" t="s" s="30">
        <v>133</v>
      </c>
      <c r="B317" t="s" s="5">
        <v>79</v>
      </c>
      <c r="C317" t="s" s="23">
        <v>630</v>
      </c>
      <c r="D317" t="s" s="7">
        <v>545</v>
      </c>
      <c r="E317" s="25">
        <v>45735</v>
      </c>
      <c r="F317" t="s" s="10">
        <v>526</v>
      </c>
      <c r="G317" t="s" s="10">
        <v>636</v>
      </c>
      <c r="H317" s="19">
        <v>11553</v>
      </c>
      <c r="I317" s="12">
        <v>11553</v>
      </c>
      <c r="J317" s="13">
        <f>I317-H317</f>
        <v>0</v>
      </c>
      <c r="K317" t="s" s="14">
        <v>153</v>
      </c>
      <c r="L317" s="20"/>
      <c r="M317" s="16"/>
      <c r="N317" s="20"/>
      <c r="O317" t="s" s="17">
        <v>19</v>
      </c>
    </row>
    <row r="318" ht="30.45" customHeight="1" hidden="1">
      <c r="A318" t="s" s="17">
        <v>20</v>
      </c>
      <c r="B318" t="s" s="5">
        <v>36</v>
      </c>
      <c r="C318" t="s" s="23">
        <v>630</v>
      </c>
      <c r="D318" t="s" s="7">
        <v>545</v>
      </c>
      <c r="E318" s="8">
        <v>45527</v>
      </c>
      <c r="F318" s="9">
        <v>3630</v>
      </c>
      <c r="G318" t="s" s="10">
        <v>637</v>
      </c>
      <c r="H318" s="19">
        <v>32736</v>
      </c>
      <c r="I318" s="12">
        <v>32736</v>
      </c>
      <c r="J318" s="13">
        <f>I318-H318</f>
        <v>0</v>
      </c>
      <c r="K318" t="s" s="14">
        <v>153</v>
      </c>
      <c r="L318" s="20"/>
      <c r="M318" s="16"/>
      <c r="N318" s="20"/>
      <c r="O318" t="s" s="17">
        <v>24</v>
      </c>
    </row>
    <row r="319" ht="30.45" customHeight="1" hidden="1">
      <c r="A319" t="s" s="21">
        <v>20</v>
      </c>
      <c r="B319" t="s" s="5">
        <v>68</v>
      </c>
      <c r="C319" t="s" s="18">
        <v>630</v>
      </c>
      <c r="D319" t="s" s="7">
        <v>545</v>
      </c>
      <c r="E319" s="25">
        <v>45859</v>
      </c>
      <c r="F319" s="16"/>
      <c r="G319" s="10"/>
      <c r="H319" s="19">
        <v>14400</v>
      </c>
      <c r="I319" s="12">
        <v>14400</v>
      </c>
      <c r="J319" s="15">
        <f>I319-H319</f>
        <v>0</v>
      </c>
      <c r="K319" t="s" s="14">
        <v>153</v>
      </c>
      <c r="L319" s="15"/>
      <c r="M319" s="22"/>
      <c r="N319" s="20"/>
      <c r="O319" t="s" s="17">
        <v>24</v>
      </c>
    </row>
    <row r="320" ht="30.45" customHeight="1" hidden="1">
      <c r="A320" t="s" s="21">
        <v>20</v>
      </c>
      <c r="B320" t="s" s="5">
        <v>68</v>
      </c>
      <c r="C320" t="s" s="18">
        <v>630</v>
      </c>
      <c r="D320" t="s" s="7">
        <v>545</v>
      </c>
      <c r="E320" s="8">
        <v>46108</v>
      </c>
      <c r="F320" s="10"/>
      <c r="G320" s="10"/>
      <c r="H320" s="19">
        <v>11900</v>
      </c>
      <c r="I320" s="12">
        <f>H320</f>
        <v>11900</v>
      </c>
      <c r="J320" s="15">
        <f>I320-H320</f>
        <v>0</v>
      </c>
      <c r="K320" t="s" s="14">
        <v>153</v>
      </c>
      <c r="L320" s="20"/>
      <c r="M320" s="16"/>
      <c r="N320" s="20"/>
      <c r="O320" t="s" s="17">
        <v>24</v>
      </c>
    </row>
    <row r="321" ht="30.45" customHeight="1" hidden="1">
      <c r="A321" t="s" s="47">
        <v>112</v>
      </c>
      <c r="B321" t="s" s="5">
        <v>79</v>
      </c>
      <c r="C321" t="s" s="6">
        <v>630</v>
      </c>
      <c r="D321" t="s" s="7">
        <v>545</v>
      </c>
      <c r="E321" s="8">
        <v>46192</v>
      </c>
      <c r="F321" t="s" s="10">
        <v>135</v>
      </c>
      <c r="G321" t="s" s="10">
        <v>638</v>
      </c>
      <c r="H321" s="15">
        <v>35314.56</v>
      </c>
      <c r="I321" s="15"/>
      <c r="J321" s="13">
        <f>I321-H321</f>
        <v>-35314.56</v>
      </c>
      <c r="K321" t="s" s="14">
        <v>153</v>
      </c>
      <c r="L321" s="20"/>
      <c r="M321" s="16"/>
      <c r="N321" s="20"/>
      <c r="O321" t="s" s="17">
        <v>24</v>
      </c>
    </row>
    <row r="322" ht="30.45" customHeight="1" hidden="1">
      <c r="A322" t="s" s="36">
        <v>501</v>
      </c>
      <c r="B322" t="s" s="5">
        <v>21</v>
      </c>
      <c r="C322" t="s" s="18">
        <v>639</v>
      </c>
      <c r="D322" t="s" s="7">
        <v>640</v>
      </c>
      <c r="E322" s="8">
        <v>45770</v>
      </c>
      <c r="F322" t="s" s="10">
        <v>641</v>
      </c>
      <c r="G322" t="s" s="10">
        <v>642</v>
      </c>
      <c r="H322" s="19">
        <v>10981</v>
      </c>
      <c r="I322" s="12">
        <v>10830.99</v>
      </c>
      <c r="J322" s="13">
        <f>I322-H322</f>
        <v>-150.01</v>
      </c>
      <c r="K322" t="s" s="14">
        <v>17</v>
      </c>
      <c r="L322" s="20"/>
      <c r="M322" s="16"/>
      <c r="N322" t="s" s="47">
        <v>643</v>
      </c>
      <c r="O322" t="s" s="17">
        <v>19</v>
      </c>
    </row>
    <row r="323" ht="30.45" customHeight="1" hidden="1">
      <c r="A323" t="s" s="21">
        <v>20</v>
      </c>
      <c r="B323" t="s" s="5">
        <v>29</v>
      </c>
      <c r="C323" t="s" s="18">
        <v>639</v>
      </c>
      <c r="D323" t="s" s="7">
        <v>640</v>
      </c>
      <c r="E323" s="8">
        <v>45674</v>
      </c>
      <c r="F323" t="s" s="10">
        <v>24</v>
      </c>
      <c r="G323" t="s" s="10">
        <v>644</v>
      </c>
      <c r="H323" s="19">
        <v>3172.5</v>
      </c>
      <c r="I323" s="12">
        <v>3172</v>
      </c>
      <c r="J323" s="13">
        <f>I323-H323</f>
        <v>-0.5</v>
      </c>
      <c r="K323" t="s" s="14">
        <v>17</v>
      </c>
      <c r="L323" s="20"/>
      <c r="M323" s="20"/>
      <c r="N323" s="16"/>
      <c r="O323" t="s" s="17">
        <v>24</v>
      </c>
    </row>
    <row r="324" ht="30.45" customHeight="1" hidden="1">
      <c r="A324" t="s" s="17">
        <v>39</v>
      </c>
      <c r="B324" t="s" s="5">
        <v>30</v>
      </c>
      <c r="C324" t="s" s="18">
        <v>639</v>
      </c>
      <c r="D324" t="s" s="7">
        <v>640</v>
      </c>
      <c r="E324" s="8">
        <v>45411</v>
      </c>
      <c r="F324" s="16"/>
      <c r="G324" t="s" s="10">
        <v>645</v>
      </c>
      <c r="H324" s="19">
        <v>8339</v>
      </c>
      <c r="I324" s="40">
        <v>8337</v>
      </c>
      <c r="J324" s="15">
        <f>I324-H324</f>
        <v>-2</v>
      </c>
      <c r="K324" t="s" s="14">
        <v>467</v>
      </c>
      <c r="L324" s="15"/>
      <c r="M324" s="8">
        <v>45444</v>
      </c>
      <c r="N324" s="20"/>
      <c r="O324" t="s" s="17">
        <v>24</v>
      </c>
    </row>
    <row r="325" ht="30.45" customHeight="1" hidden="1">
      <c r="A325" t="s" s="21">
        <v>49</v>
      </c>
      <c r="B325" t="s" s="5">
        <v>47</v>
      </c>
      <c r="C325" t="s" s="23">
        <v>639</v>
      </c>
      <c r="D325" t="s" s="7">
        <v>640</v>
      </c>
      <c r="E325" s="8">
        <v>45803</v>
      </c>
      <c r="F325" t="s" s="10">
        <v>646</v>
      </c>
      <c r="G325" t="s" s="10">
        <v>647</v>
      </c>
      <c r="H325" s="15">
        <v>2981.58</v>
      </c>
      <c r="I325" s="12">
        <v>2981.58</v>
      </c>
      <c r="J325" s="15">
        <f>I325-H325</f>
        <v>0</v>
      </c>
      <c r="K325" t="s" s="14">
        <v>17</v>
      </c>
      <c r="L325" s="20"/>
      <c r="M325" s="8"/>
      <c r="N325" s="20"/>
      <c r="O325" t="s" s="17">
        <v>24</v>
      </c>
    </row>
    <row r="326" ht="30.45" customHeight="1" hidden="1">
      <c r="A326" t="s" s="21">
        <v>49</v>
      </c>
      <c r="B326" t="s" s="5">
        <v>47</v>
      </c>
      <c r="C326" t="s" s="23">
        <v>639</v>
      </c>
      <c r="D326" t="s" s="7">
        <v>640</v>
      </c>
      <c r="E326" s="8">
        <v>45803</v>
      </c>
      <c r="F326" t="s" s="10">
        <v>648</v>
      </c>
      <c r="G326" t="s" s="10">
        <v>647</v>
      </c>
      <c r="H326" s="15">
        <v>5292.95</v>
      </c>
      <c r="I326" s="12">
        <v>5292.95</v>
      </c>
      <c r="J326" s="15">
        <f>I326-H326</f>
        <v>0</v>
      </c>
      <c r="K326" t="s" s="14">
        <v>17</v>
      </c>
      <c r="L326" s="20"/>
      <c r="M326" s="8"/>
      <c r="N326" s="20"/>
      <c r="O326" t="s" s="17">
        <v>24</v>
      </c>
    </row>
    <row r="327" ht="30.45" customHeight="1" hidden="1">
      <c r="A327" t="s" s="30">
        <v>49</v>
      </c>
      <c r="B327" t="s" s="5">
        <v>47</v>
      </c>
      <c r="C327" t="s" s="28">
        <v>639</v>
      </c>
      <c r="D327" t="s" s="7">
        <v>640</v>
      </c>
      <c r="E327" s="8">
        <v>45891</v>
      </c>
      <c r="F327" t="s" s="10">
        <v>649</v>
      </c>
      <c r="G327" t="s" s="10">
        <v>650</v>
      </c>
      <c r="H327" s="50">
        <v>3107.46</v>
      </c>
      <c r="I327" s="12">
        <v>3107.46</v>
      </c>
      <c r="J327" s="15">
        <f>I327-H327</f>
        <v>0</v>
      </c>
      <c r="K327" t="s" s="14">
        <v>17</v>
      </c>
      <c r="L327" s="20"/>
      <c r="M327" s="8"/>
      <c r="N327" s="20"/>
      <c r="O327" t="s" s="17">
        <v>24</v>
      </c>
    </row>
    <row r="328" ht="30.45" customHeight="1" hidden="1">
      <c r="A328" t="s" s="17">
        <v>39</v>
      </c>
      <c r="B328" t="s" s="5">
        <v>488</v>
      </c>
      <c r="C328" t="s" s="18">
        <v>639</v>
      </c>
      <c r="D328" t="s" s="7">
        <v>640</v>
      </c>
      <c r="E328" s="25">
        <v>45202</v>
      </c>
      <c r="F328" t="s" s="10">
        <v>526</v>
      </c>
      <c r="G328" t="s" s="10">
        <v>651</v>
      </c>
      <c r="H328" s="19">
        <v>9139.799999999999</v>
      </c>
      <c r="I328" s="12">
        <v>9139.799999999999</v>
      </c>
      <c r="J328" s="39"/>
      <c r="K328" t="s" s="14">
        <v>17</v>
      </c>
      <c r="L328" s="15"/>
      <c r="M328" s="58">
        <v>45253</v>
      </c>
      <c r="N328" t="s" s="14">
        <v>652</v>
      </c>
      <c r="O328" t="s" s="17">
        <v>24</v>
      </c>
    </row>
    <row r="329" ht="30.45" customHeight="1" hidden="1">
      <c r="A329" t="s" s="17">
        <v>39</v>
      </c>
      <c r="B329" t="s" s="5">
        <v>488</v>
      </c>
      <c r="C329" t="s" s="18">
        <v>639</v>
      </c>
      <c r="D329" t="s" s="7">
        <v>640</v>
      </c>
      <c r="E329" s="8">
        <v>45405</v>
      </c>
      <c r="F329" s="16"/>
      <c r="G329" t="s" s="10">
        <v>653</v>
      </c>
      <c r="H329" s="19">
        <v>8492.4</v>
      </c>
      <c r="I329" s="12">
        <v>8492.4</v>
      </c>
      <c r="J329" s="15">
        <f>I329-H329</f>
        <v>0</v>
      </c>
      <c r="K329" t="s" s="14">
        <v>467</v>
      </c>
      <c r="L329" s="15"/>
      <c r="M329" s="73"/>
      <c r="N329" s="20"/>
      <c r="O329" t="s" s="17">
        <v>24</v>
      </c>
    </row>
    <row r="330" ht="30.45" customHeight="1">
      <c r="A330" t="s" s="17">
        <v>654</v>
      </c>
      <c r="B330" t="s" s="5">
        <v>61</v>
      </c>
      <c r="C330" t="s" s="6">
        <v>639</v>
      </c>
      <c r="D330" t="s" s="7">
        <v>640</v>
      </c>
      <c r="E330" s="8">
        <v>46206</v>
      </c>
      <c r="F330" t="s" s="10">
        <v>655</v>
      </c>
      <c r="G330" t="s" s="10">
        <v>656</v>
      </c>
      <c r="H330" s="48">
        <v>12394.4</v>
      </c>
      <c r="I330" s="26"/>
      <c r="J330" s="15">
        <f>I330-H330</f>
        <v>-12394.4</v>
      </c>
      <c r="K330" t="s" s="14">
        <v>17</v>
      </c>
      <c r="L330" s="20"/>
      <c r="M330" s="16"/>
      <c r="N330" s="20"/>
      <c r="O330" t="s" s="17">
        <v>24</v>
      </c>
    </row>
    <row r="331" ht="30.45" customHeight="1" hidden="1">
      <c r="A331" t="s" s="17">
        <v>39</v>
      </c>
      <c r="B331" t="s" s="5">
        <v>30</v>
      </c>
      <c r="C331" t="s" s="18">
        <v>657</v>
      </c>
      <c r="D331" t="s" s="7">
        <v>15</v>
      </c>
      <c r="E331" s="8">
        <v>45484</v>
      </c>
      <c r="F331" s="16"/>
      <c r="G331" t="s" s="10">
        <v>24</v>
      </c>
      <c r="H331" s="19">
        <v>5225</v>
      </c>
      <c r="I331" s="12">
        <v>5226</v>
      </c>
      <c r="J331" s="13">
        <f>I331-H331</f>
        <v>1</v>
      </c>
      <c r="K331" t="s" s="14">
        <v>17</v>
      </c>
      <c r="L331" s="20"/>
      <c r="M331" s="16"/>
      <c r="N331" s="20"/>
      <c r="O331" t="s" s="17">
        <v>24</v>
      </c>
    </row>
    <row r="332" ht="30.45" customHeight="1" hidden="1">
      <c r="A332" t="s" s="17">
        <v>39</v>
      </c>
      <c r="B332" t="s" s="5">
        <v>79</v>
      </c>
      <c r="C332" t="s" s="34">
        <v>658</v>
      </c>
      <c r="D332" t="s" s="7">
        <v>81</v>
      </c>
      <c r="E332" s="25">
        <v>45790</v>
      </c>
      <c r="F332" t="s" s="10">
        <v>583</v>
      </c>
      <c r="G332" t="s" s="10">
        <v>659</v>
      </c>
      <c r="H332" s="35">
        <v>35787.84</v>
      </c>
      <c r="I332" s="12">
        <v>35787.85</v>
      </c>
      <c r="J332" s="13">
        <f>I332-H332</f>
        <v>0.01</v>
      </c>
      <c r="K332" t="s" s="14">
        <v>84</v>
      </c>
      <c r="L332" s="20"/>
      <c r="M332" s="16"/>
      <c r="N332" s="20"/>
      <c r="O332" t="s" s="17">
        <v>24</v>
      </c>
    </row>
    <row r="333" ht="30.45" customHeight="1" hidden="1">
      <c r="A333" t="s" s="17">
        <v>39</v>
      </c>
      <c r="B333" t="s" s="5">
        <v>97</v>
      </c>
      <c r="C333" t="s" s="23">
        <v>660</v>
      </c>
      <c r="D333" t="s" s="7">
        <v>319</v>
      </c>
      <c r="E333" s="25">
        <v>45358</v>
      </c>
      <c r="F333" s="9">
        <v>4683</v>
      </c>
      <c r="G333" s="16"/>
      <c r="H333" s="19">
        <v>33265.75</v>
      </c>
      <c r="I333" s="12">
        <v>33265.75</v>
      </c>
      <c r="J333" s="15">
        <f>I333-H333</f>
        <v>0</v>
      </c>
      <c r="K333" t="s" s="14">
        <v>17</v>
      </c>
      <c r="L333" s="15"/>
      <c r="M333" s="8">
        <v>45453</v>
      </c>
      <c r="N333" s="20"/>
      <c r="O333" t="s" s="17">
        <v>24</v>
      </c>
    </row>
    <row r="334" ht="30.45" customHeight="1" hidden="1">
      <c r="A334" t="s" s="21">
        <v>39</v>
      </c>
      <c r="B334" t="s" s="5">
        <v>30</v>
      </c>
      <c r="C334" t="s" s="18">
        <v>661</v>
      </c>
      <c r="D334" t="s" s="7">
        <v>539</v>
      </c>
      <c r="E334" s="8">
        <v>46038</v>
      </c>
      <c r="F334" s="10"/>
      <c r="G334" t="s" s="10">
        <v>540</v>
      </c>
      <c r="H334" s="19">
        <v>4169.44</v>
      </c>
      <c r="I334" s="12">
        <f>H334</f>
        <v>4169.44</v>
      </c>
      <c r="J334" s="13">
        <f>I334-H334</f>
        <v>0</v>
      </c>
      <c r="K334" t="s" s="14">
        <v>87</v>
      </c>
      <c r="L334" s="20"/>
      <c r="M334" s="16"/>
      <c r="N334" s="20"/>
      <c r="O334" t="s" s="17">
        <v>24</v>
      </c>
    </row>
    <row r="335" ht="30.45" customHeight="1" hidden="1">
      <c r="A335" t="s" s="21">
        <v>20</v>
      </c>
      <c r="B335" t="s" s="5">
        <v>30</v>
      </c>
      <c r="C335" t="s" s="18">
        <v>662</v>
      </c>
      <c r="D335" t="s" s="7">
        <v>539</v>
      </c>
      <c r="E335" s="8">
        <v>46101</v>
      </c>
      <c r="F335" s="10"/>
      <c r="G335" t="s" s="10">
        <v>663</v>
      </c>
      <c r="H335" s="19">
        <v>49084</v>
      </c>
      <c r="I335" s="12">
        <f>H335</f>
        <v>49084</v>
      </c>
      <c r="J335" s="13">
        <f>I335-H335</f>
        <v>0</v>
      </c>
      <c r="K335" t="s" s="14">
        <v>87</v>
      </c>
      <c r="L335" s="20"/>
      <c r="M335" s="16"/>
      <c r="N335" s="20"/>
      <c r="O335" t="s" s="17">
        <v>24</v>
      </c>
    </row>
    <row r="336" ht="30.45" customHeight="1" hidden="1">
      <c r="A336" t="s" s="17">
        <v>39</v>
      </c>
      <c r="B336" t="s" s="5">
        <v>40</v>
      </c>
      <c r="C336" t="s" s="18">
        <v>662</v>
      </c>
      <c r="D336" t="s" s="7">
        <v>539</v>
      </c>
      <c r="E336" s="25">
        <v>45365</v>
      </c>
      <c r="F336" t="s" s="10">
        <v>664</v>
      </c>
      <c r="G336" t="s" s="10">
        <v>665</v>
      </c>
      <c r="H336" s="26">
        <v>9965.6</v>
      </c>
      <c r="I336" s="12">
        <v>9965.6</v>
      </c>
      <c r="J336" s="15"/>
      <c r="K336" t="s" s="14">
        <v>87</v>
      </c>
      <c r="L336" s="15"/>
      <c r="M336" s="8">
        <v>45402</v>
      </c>
      <c r="N336" s="16"/>
      <c r="O336" t="s" s="17">
        <v>24</v>
      </c>
    </row>
    <row r="337" ht="30.45" customHeight="1" hidden="1">
      <c r="A337" t="s" s="21">
        <v>20</v>
      </c>
      <c r="B337" t="s" s="5">
        <v>40</v>
      </c>
      <c r="C337" t="s" s="18">
        <v>666</v>
      </c>
      <c r="D337" t="s" s="7">
        <v>539</v>
      </c>
      <c r="E337" s="8">
        <v>46142</v>
      </c>
      <c r="F337" t="s" s="10">
        <v>667</v>
      </c>
      <c r="G337" t="s" s="10">
        <v>668</v>
      </c>
      <c r="H337" s="19">
        <v>18300.09</v>
      </c>
      <c r="I337" s="12">
        <f>H337</f>
        <v>18300.09</v>
      </c>
      <c r="J337" s="15">
        <f>I337-H337</f>
        <v>0</v>
      </c>
      <c r="K337" t="s" s="14">
        <v>87</v>
      </c>
      <c r="L337" s="20"/>
      <c r="M337" s="16"/>
      <c r="N337" s="20"/>
      <c r="O337" t="s" s="17">
        <v>24</v>
      </c>
    </row>
    <row r="338" ht="30.45" customHeight="1" hidden="1">
      <c r="A338" t="s" s="21">
        <v>20</v>
      </c>
      <c r="B338" t="s" s="5">
        <v>21</v>
      </c>
      <c r="C338" t="s" s="18">
        <v>666</v>
      </c>
      <c r="D338" t="s" s="7">
        <v>539</v>
      </c>
      <c r="E338" s="8">
        <v>45808</v>
      </c>
      <c r="F338" t="s" s="10">
        <v>669</v>
      </c>
      <c r="G338" t="s" s="10">
        <v>670</v>
      </c>
      <c r="H338" s="19">
        <v>6076.24</v>
      </c>
      <c r="I338" s="12">
        <v>6076.24</v>
      </c>
      <c r="J338" s="13">
        <f>I338-H338</f>
        <v>0</v>
      </c>
      <c r="K338" t="s" s="14">
        <v>87</v>
      </c>
      <c r="L338" s="20"/>
      <c r="M338" s="16"/>
      <c r="N338" s="20"/>
      <c r="O338" t="s" s="17">
        <v>24</v>
      </c>
    </row>
    <row r="339" ht="30.45" customHeight="1" hidden="1">
      <c r="A339" t="s" s="17">
        <v>20</v>
      </c>
      <c r="B339" t="s" s="5">
        <v>30</v>
      </c>
      <c r="C339" t="s" s="18">
        <v>666</v>
      </c>
      <c r="D339" t="s" s="7">
        <v>539</v>
      </c>
      <c r="E339" s="8">
        <v>45411</v>
      </c>
      <c r="F339" s="16"/>
      <c r="G339" t="s" s="10">
        <v>671</v>
      </c>
      <c r="H339" s="19">
        <v>12374</v>
      </c>
      <c r="I339" s="12">
        <v>12375</v>
      </c>
      <c r="J339" s="15">
        <f>I339-H339</f>
        <v>1</v>
      </c>
      <c r="K339" t="s" s="14">
        <v>87</v>
      </c>
      <c r="L339" s="15"/>
      <c r="M339" s="16"/>
      <c r="N339" s="20"/>
      <c r="O339" t="s" s="17">
        <v>24</v>
      </c>
    </row>
    <row r="340" ht="30.45" customHeight="1" hidden="1">
      <c r="A340" t="s" s="21">
        <v>20</v>
      </c>
      <c r="B340" t="s" s="5">
        <v>30</v>
      </c>
      <c r="C340" t="s" s="18">
        <v>666</v>
      </c>
      <c r="D340" t="s" s="7">
        <v>539</v>
      </c>
      <c r="E340" s="8">
        <v>45674</v>
      </c>
      <c r="F340" s="16"/>
      <c r="G340" t="s" s="10">
        <v>672</v>
      </c>
      <c r="H340" s="19">
        <v>33187</v>
      </c>
      <c r="I340" s="12">
        <v>33187</v>
      </c>
      <c r="J340" s="13">
        <f>I340-H340</f>
        <v>0</v>
      </c>
      <c r="K340" t="s" s="14">
        <v>87</v>
      </c>
      <c r="L340" s="20"/>
      <c r="M340" s="16"/>
      <c r="N340" s="20"/>
      <c r="O340" t="s" s="17">
        <v>24</v>
      </c>
    </row>
    <row r="341" ht="30.45" customHeight="1" hidden="1">
      <c r="A341" t="s" s="21">
        <v>20</v>
      </c>
      <c r="B341" t="s" s="5">
        <v>30</v>
      </c>
      <c r="C341" t="s" s="18">
        <v>666</v>
      </c>
      <c r="D341" t="s" s="7">
        <v>539</v>
      </c>
      <c r="E341" s="8">
        <v>45821</v>
      </c>
      <c r="F341" s="16"/>
      <c r="G341" t="s" s="10">
        <v>673</v>
      </c>
      <c r="H341" s="19">
        <v>25545</v>
      </c>
      <c r="I341" s="12">
        <v>25545</v>
      </c>
      <c r="J341" s="13">
        <f>I341-H341</f>
        <v>0</v>
      </c>
      <c r="K341" t="s" s="14">
        <v>87</v>
      </c>
      <c r="L341" s="20"/>
      <c r="M341" s="16"/>
      <c r="N341" s="20"/>
      <c r="O341" t="s" s="17">
        <v>24</v>
      </c>
    </row>
    <row r="342" ht="30.45" customHeight="1" hidden="1">
      <c r="A342" t="s" s="4">
        <v>39</v>
      </c>
      <c r="B342" t="s" s="5">
        <v>30</v>
      </c>
      <c r="C342" t="s" s="18">
        <v>666</v>
      </c>
      <c r="D342" t="s" s="7">
        <v>539</v>
      </c>
      <c r="E342" s="8">
        <v>45911</v>
      </c>
      <c r="F342" s="10"/>
      <c r="G342" t="s" s="10">
        <v>674</v>
      </c>
      <c r="H342" s="19">
        <v>34398</v>
      </c>
      <c r="I342" s="12">
        <v>34398</v>
      </c>
      <c r="J342" s="13">
        <f>I342-H342</f>
        <v>0</v>
      </c>
      <c r="K342" t="s" s="14">
        <v>87</v>
      </c>
      <c r="L342" s="20"/>
      <c r="M342" s="16"/>
      <c r="N342" s="20"/>
      <c r="O342" t="s" s="17">
        <v>24</v>
      </c>
    </row>
    <row r="343" ht="30.45" customHeight="1" hidden="1">
      <c r="A343" t="s" s="21">
        <v>39</v>
      </c>
      <c r="B343" t="s" s="5">
        <v>30</v>
      </c>
      <c r="C343" t="s" s="18">
        <v>666</v>
      </c>
      <c r="D343" t="s" s="7">
        <v>539</v>
      </c>
      <c r="E343" s="8">
        <v>46023</v>
      </c>
      <c r="F343" s="10"/>
      <c r="G343" t="s" s="10">
        <v>675</v>
      </c>
      <c r="H343" s="19">
        <v>39028</v>
      </c>
      <c r="I343" s="12">
        <f>H343</f>
        <v>39028</v>
      </c>
      <c r="J343" s="13">
        <f>I343-H343</f>
        <v>0</v>
      </c>
      <c r="K343" t="s" s="14">
        <v>87</v>
      </c>
      <c r="L343" s="20"/>
      <c r="M343" s="16"/>
      <c r="N343" s="20"/>
      <c r="O343" t="s" s="17">
        <v>24</v>
      </c>
    </row>
    <row r="344" ht="30.45" customHeight="1" hidden="1">
      <c r="A344" t="s" s="21">
        <v>49</v>
      </c>
      <c r="B344" t="s" s="5">
        <v>40</v>
      </c>
      <c r="C344" t="s" s="18">
        <v>666</v>
      </c>
      <c r="D344" t="s" s="7">
        <v>539</v>
      </c>
      <c r="E344" s="8">
        <v>45924</v>
      </c>
      <c r="F344" t="s" s="10">
        <v>676</v>
      </c>
      <c r="G344" t="s" s="10">
        <v>677</v>
      </c>
      <c r="H344" s="19">
        <v>16437.37</v>
      </c>
      <c r="I344" s="12">
        <v>16437.37</v>
      </c>
      <c r="J344" s="15">
        <f>I344-H344</f>
        <v>0</v>
      </c>
      <c r="K344" t="s" s="14">
        <v>87</v>
      </c>
      <c r="L344" s="20"/>
      <c r="M344" s="16"/>
      <c r="N344" s="20"/>
      <c r="O344" t="s" s="17">
        <v>24</v>
      </c>
    </row>
    <row r="345" ht="30.45" customHeight="1" hidden="1">
      <c r="A345" s="32"/>
      <c r="B345" t="s" s="5">
        <v>40</v>
      </c>
      <c r="C345" t="s" s="33">
        <v>666</v>
      </c>
      <c r="D345" t="s" s="7">
        <v>539</v>
      </c>
      <c r="E345" s="8"/>
      <c r="F345" s="10"/>
      <c r="G345" t="s" s="10">
        <v>678</v>
      </c>
      <c r="H345" s="15"/>
      <c r="I345" s="26"/>
      <c r="J345" s="15">
        <f>I345-H345</f>
        <v>0</v>
      </c>
      <c r="K345" t="s" s="14">
        <v>24</v>
      </c>
      <c r="L345" s="20"/>
      <c r="M345" s="16"/>
      <c r="N345" s="20"/>
      <c r="O345" t="s" s="17">
        <v>24</v>
      </c>
    </row>
    <row r="346" ht="30.45" customHeight="1" hidden="1">
      <c r="A346" t="s" s="47">
        <v>12</v>
      </c>
      <c r="B346" t="s" s="5">
        <v>79</v>
      </c>
      <c r="C346" t="s" s="28">
        <v>679</v>
      </c>
      <c r="D346" t="s" s="7">
        <v>451</v>
      </c>
      <c r="E346" s="25">
        <v>45717</v>
      </c>
      <c r="F346" t="s" s="10">
        <v>82</v>
      </c>
      <c r="G346" t="s" s="10">
        <v>680</v>
      </c>
      <c r="H346" s="38">
        <v>15434</v>
      </c>
      <c r="I346" s="12">
        <v>18854</v>
      </c>
      <c r="J346" s="13">
        <f>I346-H346</f>
        <v>3420</v>
      </c>
      <c r="K346" t="s" s="14">
        <v>84</v>
      </c>
      <c r="L346" s="20"/>
      <c r="M346" s="16"/>
      <c r="N346" t="s" s="47">
        <v>681</v>
      </c>
      <c r="O346" t="s" s="17">
        <v>19</v>
      </c>
    </row>
    <row r="347" ht="30.45" customHeight="1" hidden="1">
      <c r="A347" t="s" s="21">
        <v>20</v>
      </c>
      <c r="B347" t="s" s="5">
        <v>21</v>
      </c>
      <c r="C347" t="s" s="18">
        <v>682</v>
      </c>
      <c r="D347" t="s" s="7">
        <v>683</v>
      </c>
      <c r="E347" s="8">
        <v>46065</v>
      </c>
      <c r="F347" t="s" s="10">
        <v>684</v>
      </c>
      <c r="G347" t="s" s="10">
        <v>332</v>
      </c>
      <c r="H347" s="19">
        <v>31653.1</v>
      </c>
      <c r="I347" s="12">
        <f>H347</f>
        <v>31653.1</v>
      </c>
      <c r="J347" s="13">
        <f>I347-H347</f>
        <v>0</v>
      </c>
      <c r="K347" t="s" s="14">
        <v>467</v>
      </c>
      <c r="L347" s="20"/>
      <c r="M347" s="16"/>
      <c r="N347" s="22"/>
      <c r="O347" t="s" s="17">
        <v>24</v>
      </c>
    </row>
    <row r="348" ht="30.45" customHeight="1" hidden="1">
      <c r="A348" t="s" s="21">
        <v>20</v>
      </c>
      <c r="B348" t="s" s="5">
        <v>21</v>
      </c>
      <c r="C348" t="s" s="18">
        <v>685</v>
      </c>
      <c r="D348" t="s" s="7">
        <v>686</v>
      </c>
      <c r="E348" s="8">
        <v>45989</v>
      </c>
      <c r="F348" t="s" s="10">
        <v>687</v>
      </c>
      <c r="G348" t="s" s="10">
        <v>688</v>
      </c>
      <c r="H348" s="19">
        <v>7909.25</v>
      </c>
      <c r="I348" s="12">
        <v>8000</v>
      </c>
      <c r="J348" s="13">
        <f>I348-H348</f>
        <v>90.75</v>
      </c>
      <c r="K348" t="s" s="14">
        <v>84</v>
      </c>
      <c r="L348" s="20"/>
      <c r="M348" s="16"/>
      <c r="N348" s="74"/>
      <c r="O348" t="s" s="17">
        <v>24</v>
      </c>
    </row>
    <row r="349" ht="30.45" customHeight="1" hidden="1">
      <c r="A349" t="s" s="21">
        <v>20</v>
      </c>
      <c r="B349" t="s" s="5">
        <v>21</v>
      </c>
      <c r="C349" t="s" s="18">
        <v>685</v>
      </c>
      <c r="D349" t="s" s="7">
        <v>689</v>
      </c>
      <c r="E349" s="8">
        <v>46065</v>
      </c>
      <c r="F349" t="s" s="10">
        <v>690</v>
      </c>
      <c r="G349" t="s" s="10">
        <v>691</v>
      </c>
      <c r="H349" s="19">
        <v>37582.4</v>
      </c>
      <c r="I349" s="12">
        <f>H349</f>
        <v>37582.4</v>
      </c>
      <c r="J349" s="13">
        <f>I349-H349</f>
        <v>0</v>
      </c>
      <c r="K349" t="s" s="14">
        <v>84</v>
      </c>
      <c r="L349" s="20"/>
      <c r="M349" s="16"/>
      <c r="N349" s="22"/>
      <c r="O349" t="s" s="17">
        <v>24</v>
      </c>
    </row>
    <row r="350" ht="30.45" customHeight="1" hidden="1">
      <c r="A350" t="s" s="17">
        <v>39</v>
      </c>
      <c r="B350" t="s" s="5">
        <v>36</v>
      </c>
      <c r="C350" t="s" s="18">
        <v>685</v>
      </c>
      <c r="D350" t="s" s="7">
        <v>686</v>
      </c>
      <c r="E350" s="25">
        <v>45198</v>
      </c>
      <c r="F350" s="9">
        <v>3342</v>
      </c>
      <c r="G350" s="9">
        <v>1544</v>
      </c>
      <c r="H350" s="19">
        <v>35170.05</v>
      </c>
      <c r="I350" s="12">
        <v>35170.05</v>
      </c>
      <c r="J350" s="15"/>
      <c r="K350" t="s" s="14">
        <v>386</v>
      </c>
      <c r="L350" s="15"/>
      <c r="M350" s="43">
        <v>45264</v>
      </c>
      <c r="N350" s="20"/>
      <c r="O350" t="s" s="17">
        <v>24</v>
      </c>
    </row>
    <row r="351" ht="30.45" customHeight="1" hidden="1">
      <c r="A351" t="s" s="17">
        <v>20</v>
      </c>
      <c r="B351" t="s" s="5">
        <v>47</v>
      </c>
      <c r="C351" t="s" s="18">
        <v>685</v>
      </c>
      <c r="D351" t="s" s="7">
        <v>689</v>
      </c>
      <c r="E351" s="8">
        <v>45803</v>
      </c>
      <c r="F351" t="s" s="10">
        <v>692</v>
      </c>
      <c r="G351" t="s" s="10">
        <v>693</v>
      </c>
      <c r="H351" s="62">
        <v>452.48</v>
      </c>
      <c r="I351" s="12">
        <v>464</v>
      </c>
      <c r="J351" s="15">
        <f>I351-H351</f>
        <v>11.52</v>
      </c>
      <c r="K351" t="s" s="14">
        <v>386</v>
      </c>
      <c r="L351" s="20"/>
      <c r="M351" s="8"/>
      <c r="N351" s="20"/>
      <c r="O351" t="s" s="17">
        <v>24</v>
      </c>
    </row>
    <row r="352" ht="30.45" customHeight="1" hidden="1">
      <c r="A352" t="s" s="21">
        <v>20</v>
      </c>
      <c r="B352" t="s" s="5">
        <v>61</v>
      </c>
      <c r="C352" t="s" s="18">
        <v>685</v>
      </c>
      <c r="D352" t="s" s="7">
        <v>686</v>
      </c>
      <c r="E352" s="8">
        <v>46052</v>
      </c>
      <c r="F352" t="s" s="10">
        <v>694</v>
      </c>
      <c r="G352" t="s" s="10">
        <v>695</v>
      </c>
      <c r="H352" s="31">
        <v>13493.5</v>
      </c>
      <c r="I352" s="12">
        <f>H352</f>
        <v>13493.5</v>
      </c>
      <c r="J352" s="15">
        <f>I352-H352</f>
        <v>0</v>
      </c>
      <c r="K352" t="s" s="14">
        <v>84</v>
      </c>
      <c r="L352" s="20"/>
      <c r="M352" s="16"/>
      <c r="N352" s="20"/>
      <c r="O352" t="s" s="17">
        <v>24</v>
      </c>
    </row>
    <row r="353" ht="30.45" customHeight="1" hidden="1">
      <c r="A353" t="s" s="75">
        <v>696</v>
      </c>
      <c r="B353" t="s" s="5">
        <v>47</v>
      </c>
      <c r="C353" t="s" s="76">
        <v>697</v>
      </c>
      <c r="D353" t="s" s="7">
        <v>698</v>
      </c>
      <c r="E353" s="8">
        <v>46157</v>
      </c>
      <c r="F353" t="s" s="10">
        <v>699</v>
      </c>
      <c r="G353" t="s" s="10">
        <v>700</v>
      </c>
      <c r="H353" s="19">
        <v>13868.7</v>
      </c>
      <c r="I353" s="26"/>
      <c r="J353" s="15">
        <f>I353-H353</f>
        <v>-13868.7</v>
      </c>
      <c r="K353" t="s" s="14">
        <v>306</v>
      </c>
      <c r="L353" s="20"/>
      <c r="M353" s="8"/>
      <c r="N353" s="20"/>
      <c r="O353" t="s" s="17">
        <v>19</v>
      </c>
    </row>
    <row r="354" ht="30.45" customHeight="1" hidden="1">
      <c r="A354" t="s" s="17">
        <v>39</v>
      </c>
      <c r="B354" t="s" s="5">
        <v>40</v>
      </c>
      <c r="C354" t="s" s="76">
        <v>701</v>
      </c>
      <c r="D354" t="s" s="7">
        <v>698</v>
      </c>
      <c r="E354" s="8">
        <v>45743</v>
      </c>
      <c r="F354" t="s" s="10">
        <v>702</v>
      </c>
      <c r="G354" t="s" s="10">
        <v>703</v>
      </c>
      <c r="H354" s="24">
        <v>14622.2</v>
      </c>
      <c r="I354" s="26"/>
      <c r="J354" s="15">
        <f>I354-H354</f>
        <v>-14622.2</v>
      </c>
      <c r="K354" t="s" s="14">
        <v>306</v>
      </c>
      <c r="L354" s="20"/>
      <c r="M354" s="16"/>
      <c r="N354" t="s" s="21">
        <v>704</v>
      </c>
      <c r="O354" t="s" s="17">
        <v>24</v>
      </c>
    </row>
    <row r="355" ht="30.45" customHeight="1" hidden="1">
      <c r="A355" t="s" s="21">
        <v>49</v>
      </c>
      <c r="B355" t="s" s="5">
        <v>47</v>
      </c>
      <c r="C355" t="s" s="18">
        <v>705</v>
      </c>
      <c r="D355" t="s" s="7">
        <v>706</v>
      </c>
      <c r="E355" t="s" s="10">
        <v>707</v>
      </c>
      <c r="F355" t="s" s="10">
        <v>708</v>
      </c>
      <c r="G355" t="s" s="10">
        <v>709</v>
      </c>
      <c r="H355" s="19">
        <v>46162.9</v>
      </c>
      <c r="I355" s="12">
        <f>H355</f>
        <v>46162.9</v>
      </c>
      <c r="J355" s="15">
        <f>I355-H355</f>
        <v>0</v>
      </c>
      <c r="K355" t="s" s="14">
        <v>84</v>
      </c>
      <c r="L355" s="20"/>
      <c r="M355" s="8"/>
      <c r="N355" s="20"/>
      <c r="O355" t="s" s="17">
        <v>24</v>
      </c>
    </row>
    <row r="356" ht="30.45" customHeight="1" hidden="1">
      <c r="A356" t="s" s="21">
        <v>20</v>
      </c>
      <c r="B356" t="s" s="5">
        <v>349</v>
      </c>
      <c r="C356" t="s" s="18">
        <v>710</v>
      </c>
      <c r="D356" t="s" s="7">
        <v>465</v>
      </c>
      <c r="E356" s="8">
        <v>46118</v>
      </c>
      <c r="F356" t="s" s="10">
        <v>711</v>
      </c>
      <c r="G356" t="s" s="10">
        <v>712</v>
      </c>
      <c r="H356" s="19">
        <v>3408.06</v>
      </c>
      <c r="I356" s="12">
        <f>H356</f>
        <v>3408.06</v>
      </c>
      <c r="J356" s="13">
        <f>I356-H356</f>
        <v>0</v>
      </c>
      <c r="K356" t="s" s="14">
        <v>467</v>
      </c>
      <c r="L356" s="20"/>
      <c r="M356" s="16"/>
      <c r="N356" s="20"/>
      <c r="O356" t="s" s="17">
        <v>24</v>
      </c>
    </row>
    <row r="357" ht="30.45" customHeight="1" hidden="1">
      <c r="A357" t="s" s="17">
        <v>39</v>
      </c>
      <c r="B357" t="s" s="5">
        <v>79</v>
      </c>
      <c r="C357" t="s" s="28">
        <v>710</v>
      </c>
      <c r="D357" t="s" s="7">
        <v>468</v>
      </c>
      <c r="E357" s="25">
        <v>45238</v>
      </c>
      <c r="F357" s="16"/>
      <c r="G357" s="16"/>
      <c r="H357" s="26">
        <v>1608.7</v>
      </c>
      <c r="I357" s="29">
        <v>1608.27</v>
      </c>
      <c r="J357" s="15">
        <f>I357-H357</f>
        <v>-0.43</v>
      </c>
      <c r="K357" t="s" s="14">
        <v>467</v>
      </c>
      <c r="L357" s="39"/>
      <c r="M357" s="16"/>
      <c r="N357" s="16"/>
      <c r="O357" t="s" s="17">
        <v>24</v>
      </c>
    </row>
    <row r="358" ht="30.45" customHeight="1" hidden="1">
      <c r="A358" t="s" s="17">
        <v>39</v>
      </c>
      <c r="B358" t="s" s="5">
        <v>79</v>
      </c>
      <c r="C358" t="s" s="18">
        <v>710</v>
      </c>
      <c r="D358" t="s" s="7">
        <v>468</v>
      </c>
      <c r="E358" s="25">
        <v>45303</v>
      </c>
      <c r="F358" s="9">
        <v>2</v>
      </c>
      <c r="G358" s="9">
        <v>1829</v>
      </c>
      <c r="H358" s="19">
        <v>19094</v>
      </c>
      <c r="I358" s="12">
        <v>19094</v>
      </c>
      <c r="J358" s="15">
        <f>I358-H358</f>
        <v>0</v>
      </c>
      <c r="K358" t="s" s="14">
        <v>467</v>
      </c>
      <c r="L358" s="15"/>
      <c r="M358" s="77">
        <v>45400</v>
      </c>
      <c r="N358" s="20"/>
      <c r="O358" t="s" s="17">
        <v>24</v>
      </c>
    </row>
    <row r="359" ht="30.45" customHeight="1" hidden="1">
      <c r="A359" t="s" s="17">
        <v>20</v>
      </c>
      <c r="B359" t="s" s="5">
        <v>30</v>
      </c>
      <c r="C359" t="s" s="23">
        <v>710</v>
      </c>
      <c r="D359" t="s" s="7">
        <v>468</v>
      </c>
      <c r="E359" s="8">
        <v>45484</v>
      </c>
      <c r="F359" s="16"/>
      <c r="G359" t="s" s="10">
        <v>713</v>
      </c>
      <c r="H359" s="19">
        <v>16938</v>
      </c>
      <c r="I359" s="12">
        <v>16938</v>
      </c>
      <c r="J359" s="13">
        <f>I359-H359</f>
        <v>0</v>
      </c>
      <c r="K359" t="s" s="14">
        <v>467</v>
      </c>
      <c r="L359" s="20"/>
      <c r="M359" s="16"/>
      <c r="N359" s="20"/>
      <c r="O359" t="s" s="17">
        <v>24</v>
      </c>
    </row>
    <row r="360" ht="30.45" customHeight="1" hidden="1">
      <c r="A360" t="s" s="17">
        <v>20</v>
      </c>
      <c r="B360" t="s" s="5">
        <v>30</v>
      </c>
      <c r="C360" t="s" s="18">
        <v>710</v>
      </c>
      <c r="D360" t="s" s="7">
        <v>468</v>
      </c>
      <c r="E360" s="8">
        <v>45579</v>
      </c>
      <c r="F360" s="16"/>
      <c r="G360" t="s" s="10">
        <v>714</v>
      </c>
      <c r="H360" s="19">
        <v>19780</v>
      </c>
      <c r="I360" s="12">
        <v>19780</v>
      </c>
      <c r="J360" s="13">
        <f>I360-H360</f>
        <v>0</v>
      </c>
      <c r="K360" t="s" s="14">
        <v>467</v>
      </c>
      <c r="L360" s="20"/>
      <c r="M360" s="16"/>
      <c r="N360" s="20"/>
      <c r="O360" t="s" s="17">
        <v>24</v>
      </c>
    </row>
    <row r="361" ht="30.45" customHeight="1" hidden="1">
      <c r="A361" t="s" s="21">
        <v>20</v>
      </c>
      <c r="B361" t="s" s="5">
        <v>30</v>
      </c>
      <c r="C361" t="s" s="18">
        <v>710</v>
      </c>
      <c r="D361" t="s" s="7">
        <v>468</v>
      </c>
      <c r="E361" s="8">
        <v>45751</v>
      </c>
      <c r="F361" s="16"/>
      <c r="G361" t="s" s="10">
        <v>715</v>
      </c>
      <c r="H361" s="19">
        <v>26565</v>
      </c>
      <c r="I361" s="12">
        <v>26565</v>
      </c>
      <c r="J361" s="13">
        <f>I361-H361</f>
        <v>0</v>
      </c>
      <c r="K361" t="s" s="14">
        <v>467</v>
      </c>
      <c r="L361" s="20"/>
      <c r="M361" s="16"/>
      <c r="N361" s="20"/>
      <c r="O361" t="s" s="17">
        <v>24</v>
      </c>
    </row>
    <row r="362" ht="30.45" customHeight="1" hidden="1">
      <c r="A362" t="s" s="21">
        <v>20</v>
      </c>
      <c r="B362" t="s" s="5">
        <v>30</v>
      </c>
      <c r="C362" t="s" s="18">
        <v>710</v>
      </c>
      <c r="D362" t="s" s="7">
        <v>468</v>
      </c>
      <c r="E362" s="8">
        <v>45911</v>
      </c>
      <c r="F362" s="10"/>
      <c r="G362" t="s" s="10">
        <v>716</v>
      </c>
      <c r="H362" s="19">
        <v>68828</v>
      </c>
      <c r="I362" s="12">
        <f>H362</f>
        <v>68828</v>
      </c>
      <c r="J362" s="13">
        <f>I362-H362</f>
        <v>0</v>
      </c>
      <c r="K362" t="s" s="14">
        <v>467</v>
      </c>
      <c r="L362" s="20"/>
      <c r="M362" s="16"/>
      <c r="N362" s="20"/>
      <c r="O362" t="s" s="17">
        <v>24</v>
      </c>
    </row>
    <row r="363" ht="30.45" customHeight="1" hidden="1">
      <c r="A363" t="s" s="17">
        <v>39</v>
      </c>
      <c r="B363" t="s" s="5">
        <v>36</v>
      </c>
      <c r="C363" t="s" s="18">
        <v>710</v>
      </c>
      <c r="D363" t="s" s="7">
        <v>468</v>
      </c>
      <c r="E363" s="8">
        <v>45428</v>
      </c>
      <c r="F363" t="s" s="10">
        <v>717</v>
      </c>
      <c r="G363" t="s" s="10">
        <v>718</v>
      </c>
      <c r="H363" s="26">
        <v>48127.8</v>
      </c>
      <c r="I363" s="40">
        <v>48127.8</v>
      </c>
      <c r="J363" s="15">
        <f>I363-H363</f>
        <v>0</v>
      </c>
      <c r="K363" t="s" s="14">
        <v>467</v>
      </c>
      <c r="L363" s="15"/>
      <c r="M363" s="8">
        <v>45465</v>
      </c>
      <c r="N363" s="20"/>
      <c r="O363" t="s" s="17">
        <v>24</v>
      </c>
    </row>
    <row r="364" ht="30.45" customHeight="1" hidden="1">
      <c r="A364" t="s" s="17">
        <v>20</v>
      </c>
      <c r="B364" t="s" s="5">
        <v>97</v>
      </c>
      <c r="C364" t="s" s="18">
        <v>710</v>
      </c>
      <c r="D364" t="s" s="7">
        <v>468</v>
      </c>
      <c r="E364" s="25">
        <v>45576</v>
      </c>
      <c r="F364" t="s" s="10">
        <v>719</v>
      </c>
      <c r="G364" t="s" s="10">
        <v>720</v>
      </c>
      <c r="H364" s="19">
        <v>31032</v>
      </c>
      <c r="I364" s="12">
        <v>31032</v>
      </c>
      <c r="J364" s="13">
        <f>I364-H364</f>
        <v>0</v>
      </c>
      <c r="K364" t="s" s="14">
        <v>467</v>
      </c>
      <c r="L364" s="20"/>
      <c r="M364" s="16"/>
      <c r="N364" s="20"/>
      <c r="O364" t="s" s="17">
        <v>24</v>
      </c>
    </row>
    <row r="365" ht="30.45" customHeight="1" hidden="1">
      <c r="A365" t="s" s="17">
        <v>20</v>
      </c>
      <c r="B365" t="s" s="5">
        <v>97</v>
      </c>
      <c r="C365" t="s" s="23">
        <v>710</v>
      </c>
      <c r="D365" t="s" s="7">
        <v>468</v>
      </c>
      <c r="E365" s="25">
        <v>45616</v>
      </c>
      <c r="F365" t="s" s="10">
        <v>721</v>
      </c>
      <c r="G365" t="s" s="10">
        <v>722</v>
      </c>
      <c r="H365" s="19">
        <v>39595.6</v>
      </c>
      <c r="I365" s="12">
        <v>39595.6</v>
      </c>
      <c r="J365" s="13">
        <f>I365-H365</f>
        <v>0</v>
      </c>
      <c r="K365" t="s" s="14">
        <v>467</v>
      </c>
      <c r="L365" s="20"/>
      <c r="M365" s="16"/>
      <c r="N365" s="20"/>
      <c r="O365" t="s" s="17">
        <v>24</v>
      </c>
    </row>
    <row r="366" ht="30.45" customHeight="1" hidden="1">
      <c r="A366" t="s" s="17">
        <v>20</v>
      </c>
      <c r="B366" t="s" s="5">
        <v>97</v>
      </c>
      <c r="C366" t="s" s="18">
        <v>710</v>
      </c>
      <c r="D366" t="s" s="7">
        <v>468</v>
      </c>
      <c r="E366" s="25">
        <v>45694</v>
      </c>
      <c r="F366" t="s" s="10">
        <v>723</v>
      </c>
      <c r="G366" t="s" s="10">
        <v>724</v>
      </c>
      <c r="H366" s="19">
        <v>17376.8</v>
      </c>
      <c r="I366" s="12">
        <v>17376.8</v>
      </c>
      <c r="J366" s="13">
        <f>I366-H366</f>
        <v>0</v>
      </c>
      <c r="K366" t="s" s="14">
        <v>467</v>
      </c>
      <c r="L366" s="20"/>
      <c r="M366" s="16"/>
      <c r="N366" s="20"/>
      <c r="O366" t="s" s="17">
        <v>24</v>
      </c>
    </row>
    <row r="367" ht="30.45" customHeight="1" hidden="1">
      <c r="A367" t="s" s="21">
        <v>20</v>
      </c>
      <c r="B367" t="s" s="5">
        <v>97</v>
      </c>
      <c r="C367" t="s" s="18">
        <v>710</v>
      </c>
      <c r="D367" t="s" s="7">
        <v>468</v>
      </c>
      <c r="E367" s="25">
        <v>45912</v>
      </c>
      <c r="F367" t="s" s="10">
        <v>725</v>
      </c>
      <c r="G367" t="s" s="10">
        <v>726</v>
      </c>
      <c r="H367" s="19">
        <v>73890</v>
      </c>
      <c r="I367" s="12">
        <v>73886</v>
      </c>
      <c r="J367" s="13">
        <f>I367-H367</f>
        <v>-4</v>
      </c>
      <c r="K367" t="s" s="14">
        <v>467</v>
      </c>
      <c r="L367" s="20"/>
      <c r="M367" s="16"/>
      <c r="N367" s="20"/>
      <c r="O367" t="s" s="17">
        <v>24</v>
      </c>
    </row>
    <row r="368" ht="30.45" customHeight="1" hidden="1">
      <c r="A368" t="s" s="21">
        <v>20</v>
      </c>
      <c r="B368" t="s" s="5">
        <v>97</v>
      </c>
      <c r="C368" t="s" s="18">
        <v>710</v>
      </c>
      <c r="D368" t="s" s="7">
        <v>468</v>
      </c>
      <c r="E368" s="8">
        <v>46094</v>
      </c>
      <c r="F368" t="s" s="10">
        <v>727</v>
      </c>
      <c r="G368" t="s" s="10">
        <v>728</v>
      </c>
      <c r="H368" s="19">
        <v>36861</v>
      </c>
      <c r="I368" s="12">
        <f>H368</f>
        <v>36861</v>
      </c>
      <c r="J368" s="13">
        <f>I368-H368</f>
        <v>0</v>
      </c>
      <c r="K368" t="s" s="14">
        <v>467</v>
      </c>
      <c r="L368" s="20"/>
      <c r="M368" s="16"/>
      <c r="N368" s="20"/>
      <c r="O368" t="s" s="17">
        <v>24</v>
      </c>
    </row>
    <row r="369" ht="30.45" customHeight="1" hidden="1">
      <c r="A369" t="s" s="21">
        <v>20</v>
      </c>
      <c r="B369" t="s" s="5">
        <v>61</v>
      </c>
      <c r="C369" t="s" s="18">
        <v>710</v>
      </c>
      <c r="D369" t="s" s="7">
        <v>468</v>
      </c>
      <c r="E369" s="25">
        <v>45878</v>
      </c>
      <c r="F369" t="s" s="10">
        <v>729</v>
      </c>
      <c r="G369" t="s" s="10">
        <v>730</v>
      </c>
      <c r="H369" s="31">
        <v>10255</v>
      </c>
      <c r="I369" s="12">
        <v>10255</v>
      </c>
      <c r="J369" s="15">
        <f>I369-H369</f>
        <v>0</v>
      </c>
      <c r="K369" t="s" s="14">
        <v>467</v>
      </c>
      <c r="L369" s="15"/>
      <c r="M369" s="16"/>
      <c r="N369" s="20"/>
      <c r="O369" t="s" s="17">
        <v>24</v>
      </c>
    </row>
    <row r="370" ht="30.45" customHeight="1" hidden="1">
      <c r="A370" t="s" s="21">
        <v>20</v>
      </c>
      <c r="B370" t="s" s="5">
        <v>61</v>
      </c>
      <c r="C370" t="s" s="18">
        <v>710</v>
      </c>
      <c r="D370" t="s" s="7">
        <v>468</v>
      </c>
      <c r="E370" s="25">
        <v>45920</v>
      </c>
      <c r="F370" t="s" s="10">
        <v>731</v>
      </c>
      <c r="G370" s="10"/>
      <c r="H370" s="31">
        <v>10605</v>
      </c>
      <c r="I370" s="12">
        <v>10605</v>
      </c>
      <c r="J370" s="15">
        <f>I370-H370</f>
        <v>0</v>
      </c>
      <c r="K370" t="s" s="14">
        <v>467</v>
      </c>
      <c r="L370" s="15"/>
      <c r="M370" s="16"/>
      <c r="N370" s="20"/>
      <c r="O370" t="s" s="17">
        <v>24</v>
      </c>
    </row>
    <row r="371" ht="30.45" customHeight="1" hidden="1">
      <c r="A371" t="s" s="17">
        <v>732</v>
      </c>
      <c r="B371" t="s" s="5">
        <v>633</v>
      </c>
      <c r="C371" t="s" s="28">
        <v>710</v>
      </c>
      <c r="D371" t="s" s="7">
        <v>468</v>
      </c>
      <c r="E371" s="8">
        <v>46170</v>
      </c>
      <c r="F371" t="s" s="10">
        <v>733</v>
      </c>
      <c r="G371" t="s" s="10">
        <v>734</v>
      </c>
      <c r="H371" s="29">
        <v>21819.52</v>
      </c>
      <c r="I371" s="12">
        <v>21819.51</v>
      </c>
      <c r="J371" s="13">
        <f>I371-H371</f>
        <v>-0.01</v>
      </c>
      <c r="K371" t="s" s="14">
        <v>467</v>
      </c>
      <c r="L371" s="20"/>
      <c r="M371" s="16"/>
      <c r="N371" s="20"/>
      <c r="O371" t="s" s="17">
        <v>24</v>
      </c>
    </row>
    <row r="372" ht="30.45" customHeight="1" hidden="1">
      <c r="A372" t="s" s="47">
        <v>12</v>
      </c>
      <c r="B372" t="s" s="5">
        <v>33</v>
      </c>
      <c r="C372" t="s" s="28">
        <v>735</v>
      </c>
      <c r="D372" t="s" s="7">
        <v>194</v>
      </c>
      <c r="E372" s="8">
        <v>45912</v>
      </c>
      <c r="F372" t="s" s="10">
        <v>736</v>
      </c>
      <c r="G372" t="s" s="10">
        <v>737</v>
      </c>
      <c r="H372" s="50">
        <v>6966.54</v>
      </c>
      <c r="I372" s="12">
        <v>8173</v>
      </c>
      <c r="J372" s="15">
        <f>I372-H372</f>
        <v>1206.46</v>
      </c>
      <c r="K372" t="s" s="14">
        <v>87</v>
      </c>
      <c r="L372" s="15"/>
      <c r="M372" s="16"/>
      <c r="N372" s="20"/>
      <c r="O372" t="s" s="17">
        <v>19</v>
      </c>
    </row>
    <row r="373" ht="30.45" customHeight="1" hidden="1">
      <c r="A373" t="s" s="21">
        <v>39</v>
      </c>
      <c r="B373" t="s" s="5">
        <v>88</v>
      </c>
      <c r="C373" t="s" s="18">
        <v>735</v>
      </c>
      <c r="D373" t="s" s="7">
        <v>194</v>
      </c>
      <c r="E373" s="25">
        <v>46095</v>
      </c>
      <c r="F373" s="10"/>
      <c r="G373" t="s" s="10">
        <v>738</v>
      </c>
      <c r="H373" s="19">
        <v>32411.968</v>
      </c>
      <c r="I373" s="12">
        <v>32411.968</v>
      </c>
      <c r="J373" s="15">
        <f>I373-H373</f>
        <v>0</v>
      </c>
      <c r="K373" t="s" s="14">
        <v>87</v>
      </c>
      <c r="L373" s="20"/>
      <c r="M373" s="16"/>
      <c r="N373" s="20"/>
      <c r="O373" t="s" s="17">
        <v>24</v>
      </c>
    </row>
    <row r="374" ht="30.45" customHeight="1" hidden="1">
      <c r="A374" t="s" s="47">
        <v>112</v>
      </c>
      <c r="B374" t="s" s="5">
        <v>30</v>
      </c>
      <c r="C374" t="s" s="23">
        <v>735</v>
      </c>
      <c r="D374" t="s" s="7">
        <v>194</v>
      </c>
      <c r="E374" s="8">
        <v>46199</v>
      </c>
      <c r="F374" s="10"/>
      <c r="G374" t="s" s="10">
        <v>739</v>
      </c>
      <c r="H374" s="19">
        <v>65934</v>
      </c>
      <c r="I374" s="26"/>
      <c r="J374" s="13">
        <f>I374-H374</f>
        <v>-65934</v>
      </c>
      <c r="K374" t="s" s="14">
        <v>87</v>
      </c>
      <c r="L374" s="20"/>
      <c r="M374" s="16"/>
      <c r="N374" s="20"/>
      <c r="O374" t="s" s="17">
        <v>24</v>
      </c>
    </row>
    <row r="375" ht="30.45" customHeight="1" hidden="1">
      <c r="A375" t="s" s="21">
        <v>39</v>
      </c>
      <c r="B375" t="s" s="5">
        <v>30</v>
      </c>
      <c r="C375" t="s" s="18">
        <v>740</v>
      </c>
      <c r="D375" t="s" s="7">
        <v>246</v>
      </c>
      <c r="E375" s="8">
        <v>45617</v>
      </c>
      <c r="F375" s="16"/>
      <c r="G375" t="s" s="10">
        <v>741</v>
      </c>
      <c r="H375" s="19">
        <v>18415</v>
      </c>
      <c r="I375" s="12">
        <v>18415</v>
      </c>
      <c r="J375" s="13">
        <f>I375-H375</f>
        <v>0</v>
      </c>
      <c r="K375" t="s" s="14">
        <v>153</v>
      </c>
      <c r="L375" s="20"/>
      <c r="M375" s="16"/>
      <c r="N375" s="20"/>
      <c r="O375" t="s" s="17">
        <v>24</v>
      </c>
    </row>
    <row r="376" ht="30.45" customHeight="1" hidden="1">
      <c r="A376" t="s" s="17">
        <v>39</v>
      </c>
      <c r="B376" t="s" s="5">
        <v>30</v>
      </c>
      <c r="C376" t="s" s="18">
        <v>740</v>
      </c>
      <c r="D376" t="s" s="7">
        <v>246</v>
      </c>
      <c r="E376" t="s" s="10">
        <v>506</v>
      </c>
      <c r="F376" s="10"/>
      <c r="G376" t="s" s="10">
        <v>742</v>
      </c>
      <c r="H376" s="50">
        <v>9783</v>
      </c>
      <c r="I376" s="12">
        <v>9783</v>
      </c>
      <c r="J376" s="13">
        <f>I376-H376</f>
        <v>0</v>
      </c>
      <c r="K376" t="s" s="14">
        <v>153</v>
      </c>
      <c r="L376" s="20"/>
      <c r="M376" s="16"/>
      <c r="N376" s="20"/>
      <c r="O376" t="s" s="17">
        <v>24</v>
      </c>
    </row>
    <row r="377" ht="30.45" customHeight="1" hidden="1">
      <c r="A377" t="s" s="17">
        <v>39</v>
      </c>
      <c r="B377" t="s" s="5">
        <v>40</v>
      </c>
      <c r="C377" t="s" s="18">
        <v>740</v>
      </c>
      <c r="D377" t="s" s="7">
        <v>246</v>
      </c>
      <c r="E377" s="41">
        <v>45226</v>
      </c>
      <c r="F377" s="9">
        <v>394</v>
      </c>
      <c r="G377" t="s" s="10">
        <v>743</v>
      </c>
      <c r="H377" s="26">
        <v>15935.164</v>
      </c>
      <c r="I377" s="12">
        <v>15934.4</v>
      </c>
      <c r="J377" s="15">
        <f>I377-H377</f>
        <v>-0.764</v>
      </c>
      <c r="K377" t="s" s="14">
        <v>153</v>
      </c>
      <c r="L377" s="15"/>
      <c r="M377" t="s" s="14">
        <v>142</v>
      </c>
      <c r="N377" s="20"/>
      <c r="O377" t="s" s="17">
        <v>24</v>
      </c>
    </row>
    <row r="378" ht="30.45" customHeight="1" hidden="1">
      <c r="A378" t="s" s="17">
        <v>39</v>
      </c>
      <c r="B378" t="s" s="5">
        <v>40</v>
      </c>
      <c r="C378" t="s" s="18">
        <v>740</v>
      </c>
      <c r="D378" t="s" s="7">
        <v>246</v>
      </c>
      <c r="E378" s="8">
        <v>45553</v>
      </c>
      <c r="F378" t="s" s="10">
        <v>744</v>
      </c>
      <c r="G378" t="s" s="10">
        <v>745</v>
      </c>
      <c r="H378" s="15">
        <v>9697.809999999999</v>
      </c>
      <c r="I378" s="12">
        <v>9696.75</v>
      </c>
      <c r="J378" s="15">
        <f>I378-H378</f>
        <v>-1.06</v>
      </c>
      <c r="K378" t="s" s="14">
        <v>153</v>
      </c>
      <c r="L378" s="20"/>
      <c r="M378" s="16"/>
      <c r="N378" s="20"/>
      <c r="O378" t="s" s="17">
        <v>24</v>
      </c>
    </row>
    <row r="379" ht="30.45" customHeight="1" hidden="1">
      <c r="A379" t="s" s="17">
        <v>654</v>
      </c>
      <c r="B379" t="s" s="5">
        <v>30</v>
      </c>
      <c r="C379" t="s" s="23">
        <v>740</v>
      </c>
      <c r="D379" t="s" s="7">
        <v>246</v>
      </c>
      <c r="E379" s="8">
        <v>46210</v>
      </c>
      <c r="F379" s="10"/>
      <c r="G379" t="s" s="10">
        <v>746</v>
      </c>
      <c r="H379" s="19">
        <v>10197.8</v>
      </c>
      <c r="I379" s="26"/>
      <c r="J379" s="13">
        <f>I379-H379</f>
        <v>-10197.8</v>
      </c>
      <c r="K379" t="s" s="14">
        <v>153</v>
      </c>
      <c r="L379" s="20"/>
      <c r="M379" s="16"/>
      <c r="N379" s="20"/>
      <c r="O379" t="s" s="17">
        <v>24</v>
      </c>
    </row>
    <row r="380" ht="30.45" customHeight="1" hidden="1">
      <c r="A380" s="32"/>
      <c r="B380" t="s" s="5">
        <v>40</v>
      </c>
      <c r="C380" t="s" s="33">
        <v>740</v>
      </c>
      <c r="D380" t="s" s="7">
        <v>246</v>
      </c>
      <c r="E380" s="8"/>
      <c r="F380" s="10"/>
      <c r="G380" t="s" s="10">
        <v>747</v>
      </c>
      <c r="H380" s="15"/>
      <c r="I380" s="26"/>
      <c r="J380" s="15">
        <f>I380-H380</f>
        <v>0</v>
      </c>
      <c r="K380" t="s" s="14">
        <v>24</v>
      </c>
      <c r="L380" s="20"/>
      <c r="M380" s="16"/>
      <c r="N380" s="20"/>
      <c r="O380" t="s" s="17">
        <v>24</v>
      </c>
    </row>
    <row r="381" ht="30.45" customHeight="1" hidden="1">
      <c r="A381" t="s" s="75">
        <v>20</v>
      </c>
      <c r="B381" t="s" s="5">
        <v>97</v>
      </c>
      <c r="C381" t="s" s="18">
        <v>748</v>
      </c>
      <c r="D381" t="s" s="7">
        <v>749</v>
      </c>
      <c r="E381" s="25">
        <v>46009</v>
      </c>
      <c r="F381" t="s" s="10">
        <v>750</v>
      </c>
      <c r="G381" t="s" s="10">
        <v>751</v>
      </c>
      <c r="H381" s="19">
        <v>80469.8</v>
      </c>
      <c r="I381" s="12">
        <f>H381</f>
        <v>80469.8</v>
      </c>
      <c r="J381" s="13">
        <f>I381-H381</f>
        <v>0</v>
      </c>
      <c r="K381" t="s" s="14">
        <v>306</v>
      </c>
      <c r="L381" s="20"/>
      <c r="M381" s="16"/>
      <c r="N381" s="20"/>
      <c r="O381" t="s" s="17">
        <v>24</v>
      </c>
    </row>
    <row r="382" ht="30.45" customHeight="1" hidden="1">
      <c r="A382" t="s" s="17">
        <v>39</v>
      </c>
      <c r="B382" t="s" s="5">
        <v>40</v>
      </c>
      <c r="C382" t="s" s="18">
        <v>752</v>
      </c>
      <c r="D382" t="s" s="7">
        <v>423</v>
      </c>
      <c r="E382" s="41">
        <v>45218</v>
      </c>
      <c r="F382" s="9">
        <v>386</v>
      </c>
      <c r="G382" t="s" s="10">
        <v>753</v>
      </c>
      <c r="H382" s="26">
        <v>25320.34</v>
      </c>
      <c r="I382" s="26"/>
      <c r="J382" s="15">
        <f>I382-H382</f>
        <v>-25320.34</v>
      </c>
      <c r="K382" t="s" s="14">
        <v>306</v>
      </c>
      <c r="L382" s="15"/>
      <c r="M382" s="27">
        <v>45254</v>
      </c>
      <c r="N382" s="16"/>
      <c r="O382" t="s" s="17">
        <v>24</v>
      </c>
    </row>
    <row r="383" ht="30.45" customHeight="1" hidden="1">
      <c r="A383" t="s" s="17">
        <v>39</v>
      </c>
      <c r="B383" t="s" s="5">
        <v>40</v>
      </c>
      <c r="C383" t="s" s="6">
        <v>752</v>
      </c>
      <c r="D383" t="s" s="7">
        <v>423</v>
      </c>
      <c r="E383" s="8">
        <v>45483</v>
      </c>
      <c r="F383" t="s" s="10">
        <v>754</v>
      </c>
      <c r="G383" t="s" s="10">
        <v>755</v>
      </c>
      <c r="H383" s="29">
        <v>31598.5312</v>
      </c>
      <c r="I383" s="12">
        <v>31597.8812</v>
      </c>
      <c r="J383" s="15">
        <f>I383-H383</f>
        <v>-0.65</v>
      </c>
      <c r="K383" t="s" s="14">
        <v>306</v>
      </c>
      <c r="L383" s="20"/>
      <c r="M383" s="8">
        <v>45519</v>
      </c>
      <c r="N383" s="20"/>
      <c r="O383" t="s" s="17">
        <v>24</v>
      </c>
    </row>
    <row r="384" ht="30.45" customHeight="1" hidden="1">
      <c r="A384" t="s" s="47">
        <v>39</v>
      </c>
      <c r="B384" t="s" s="5">
        <v>40</v>
      </c>
      <c r="C384" t="s" s="28">
        <v>752</v>
      </c>
      <c r="D384" t="s" s="7">
        <v>423</v>
      </c>
      <c r="E384" s="8">
        <v>45589</v>
      </c>
      <c r="F384" t="s" s="10">
        <v>756</v>
      </c>
      <c r="G384" t="s" s="10">
        <v>757</v>
      </c>
      <c r="H384" s="29">
        <v>32836.89</v>
      </c>
      <c r="I384" s="12">
        <v>31546.89</v>
      </c>
      <c r="J384" s="62">
        <f>I384-H384</f>
        <v>-1290</v>
      </c>
      <c r="K384" t="s" s="14">
        <v>306</v>
      </c>
      <c r="L384" s="20"/>
      <c r="M384" s="16"/>
      <c r="N384" t="s" s="21">
        <v>758</v>
      </c>
      <c r="O384" t="s" s="17">
        <v>24</v>
      </c>
    </row>
    <row r="385" ht="30.45" customHeight="1" hidden="1">
      <c r="A385" t="s" s="17">
        <v>49</v>
      </c>
      <c r="B385" t="s" s="5">
        <v>40</v>
      </c>
      <c r="C385" t="s" s="28">
        <v>752</v>
      </c>
      <c r="D385" t="s" s="7">
        <v>423</v>
      </c>
      <c r="E385" s="8">
        <v>45743</v>
      </c>
      <c r="F385" t="s" s="10">
        <v>759</v>
      </c>
      <c r="G385" t="s" s="10">
        <v>760</v>
      </c>
      <c r="H385" s="29">
        <v>31218.997</v>
      </c>
      <c r="I385" s="12">
        <v>30816.32</v>
      </c>
      <c r="J385" s="15">
        <f>I385-H385</f>
        <v>-402.677</v>
      </c>
      <c r="K385" t="s" s="14">
        <v>306</v>
      </c>
      <c r="L385" s="20"/>
      <c r="M385" s="16"/>
      <c r="N385" t="s" s="21">
        <v>761</v>
      </c>
      <c r="O385" t="s" s="17">
        <v>24</v>
      </c>
    </row>
    <row r="386" ht="30.45" customHeight="1" hidden="1">
      <c r="A386" t="s" s="21">
        <v>20</v>
      </c>
      <c r="B386" t="s" s="5">
        <v>40</v>
      </c>
      <c r="C386" t="s" s="18">
        <v>752</v>
      </c>
      <c r="D386" t="s" s="7">
        <v>423</v>
      </c>
      <c r="E386" s="8">
        <v>46083</v>
      </c>
      <c r="F386" t="s" s="10">
        <v>762</v>
      </c>
      <c r="G386" t="s" s="10">
        <v>763</v>
      </c>
      <c r="H386" s="19">
        <v>45170.1</v>
      </c>
      <c r="I386" s="12">
        <f>H386</f>
        <v>45170.1</v>
      </c>
      <c r="J386" s="15">
        <f>I386-H386</f>
        <v>0</v>
      </c>
      <c r="K386" t="s" s="14">
        <v>306</v>
      </c>
      <c r="L386" s="20"/>
      <c r="M386" s="16"/>
      <c r="N386" s="20"/>
      <c r="O386" t="s" s="17">
        <v>24</v>
      </c>
    </row>
    <row r="387" ht="30.45" customHeight="1" hidden="1">
      <c r="A387" t="s" s="21">
        <v>20</v>
      </c>
      <c r="B387" t="s" s="5">
        <v>40</v>
      </c>
      <c r="C387" t="s" s="18">
        <v>764</v>
      </c>
      <c r="D387" t="s" s="7">
        <v>423</v>
      </c>
      <c r="E387" s="8">
        <v>45946</v>
      </c>
      <c r="F387" t="s" s="10">
        <v>765</v>
      </c>
      <c r="G387" t="s" s="10">
        <v>766</v>
      </c>
      <c r="H387" s="19">
        <v>24581.6</v>
      </c>
      <c r="I387" s="12">
        <f>H387</f>
        <v>24581.6</v>
      </c>
      <c r="J387" s="15">
        <f>I387-H387</f>
        <v>0</v>
      </c>
      <c r="K387" t="s" s="14">
        <v>306</v>
      </c>
      <c r="L387" s="20"/>
      <c r="M387" s="16"/>
      <c r="N387" s="20"/>
      <c r="O387" t="s" s="17">
        <v>24</v>
      </c>
    </row>
    <row r="388" ht="30.45" customHeight="1" hidden="1">
      <c r="A388" t="s" s="21">
        <v>20</v>
      </c>
      <c r="B388" t="s" s="5">
        <v>79</v>
      </c>
      <c r="C388" t="s" s="18">
        <v>767</v>
      </c>
      <c r="D388" t="s" s="7">
        <v>468</v>
      </c>
      <c r="E388" s="25">
        <v>45762</v>
      </c>
      <c r="F388" t="s" s="10">
        <v>135</v>
      </c>
      <c r="G388" t="s" s="10">
        <v>768</v>
      </c>
      <c r="H388" s="19">
        <v>42543.15</v>
      </c>
      <c r="I388" s="12">
        <v>42545</v>
      </c>
      <c r="J388" s="13">
        <f>I388-H388</f>
        <v>1.85</v>
      </c>
      <c r="K388" t="s" s="14">
        <v>467</v>
      </c>
      <c r="L388" s="20"/>
      <c r="M388" s="16"/>
      <c r="N388" s="20"/>
      <c r="O388" t="s" s="17">
        <v>24</v>
      </c>
    </row>
    <row r="389" ht="30.45" customHeight="1" hidden="1">
      <c r="A389" t="s" s="17">
        <v>39</v>
      </c>
      <c r="B389" t="s" s="5">
        <v>79</v>
      </c>
      <c r="C389" t="s" s="18">
        <v>769</v>
      </c>
      <c r="D389" t="s" s="7">
        <v>206</v>
      </c>
      <c r="E389" s="25">
        <v>45205</v>
      </c>
      <c r="F389" s="9"/>
      <c r="G389" s="10"/>
      <c r="H389" s="26">
        <v>7648</v>
      </c>
      <c r="I389" s="12">
        <v>7648</v>
      </c>
      <c r="J389" s="15"/>
      <c r="K389" t="s" s="14">
        <v>209</v>
      </c>
      <c r="L389" s="15"/>
      <c r="M389" s="16"/>
      <c r="N389" s="16"/>
      <c r="O389" t="s" s="17">
        <v>24</v>
      </c>
    </row>
    <row r="390" ht="30.45" customHeight="1" hidden="1">
      <c r="A390" t="s" s="17">
        <v>39</v>
      </c>
      <c r="B390" t="s" s="5">
        <v>88</v>
      </c>
      <c r="C390" t="s" s="28">
        <v>770</v>
      </c>
      <c r="D390" t="s" s="7">
        <v>379</v>
      </c>
      <c r="E390" s="8">
        <v>45359</v>
      </c>
      <c r="F390" s="10"/>
      <c r="G390" t="s" s="10">
        <v>771</v>
      </c>
      <c r="H390" s="26">
        <v>48790.5</v>
      </c>
      <c r="I390" s="50">
        <v>48790.5</v>
      </c>
      <c r="J390" s="15">
        <f>I390-H390</f>
        <v>0</v>
      </c>
      <c r="K390" t="s" s="14">
        <v>92</v>
      </c>
      <c r="L390" s="15"/>
      <c r="M390" s="8">
        <v>45423</v>
      </c>
      <c r="N390" t="s" s="10">
        <v>772</v>
      </c>
      <c r="O390" t="s" s="17">
        <v>24</v>
      </c>
    </row>
    <row r="391" ht="30.45" customHeight="1" hidden="1">
      <c r="A391" t="s" s="17">
        <v>39</v>
      </c>
      <c r="B391" t="s" s="5">
        <v>40</v>
      </c>
      <c r="C391" t="s" s="28">
        <v>773</v>
      </c>
      <c r="D391" t="s" s="7">
        <v>774</v>
      </c>
      <c r="E391" s="25">
        <v>45344</v>
      </c>
      <c r="F391" t="s" s="10">
        <v>775</v>
      </c>
      <c r="G391" t="s" s="10">
        <v>776</v>
      </c>
      <c r="H391" s="42">
        <v>20241.3176</v>
      </c>
      <c r="I391" s="12">
        <v>20241.3176</v>
      </c>
      <c r="J391" s="15"/>
      <c r="K391" t="s" s="14">
        <v>306</v>
      </c>
      <c r="L391" s="20"/>
      <c r="M391" s="8">
        <v>45381</v>
      </c>
      <c r="N391" s="16"/>
      <c r="O391" t="s" s="17">
        <v>24</v>
      </c>
    </row>
    <row r="392" ht="30.45" customHeight="1" hidden="1">
      <c r="A392" t="s" s="17">
        <v>39</v>
      </c>
      <c r="B392" t="s" s="5">
        <v>40</v>
      </c>
      <c r="C392" t="s" s="6">
        <v>773</v>
      </c>
      <c r="D392" t="s" s="7">
        <v>774</v>
      </c>
      <c r="E392" s="8">
        <v>45483</v>
      </c>
      <c r="F392" t="s" s="10">
        <v>777</v>
      </c>
      <c r="G392" t="s" s="10">
        <v>159</v>
      </c>
      <c r="H392" s="29">
        <v>21252.3504</v>
      </c>
      <c r="I392" s="12">
        <v>21251.71</v>
      </c>
      <c r="J392" s="15">
        <f>I392-H392</f>
        <v>-0.6404</v>
      </c>
      <c r="K392" t="s" s="14">
        <v>306</v>
      </c>
      <c r="L392" s="20"/>
      <c r="M392" s="8">
        <v>45519</v>
      </c>
      <c r="N392" s="20"/>
      <c r="O392" t="s" s="17">
        <v>24</v>
      </c>
    </row>
    <row r="393" ht="30.45" customHeight="1" hidden="1">
      <c r="A393" t="s" s="17">
        <v>49</v>
      </c>
      <c r="B393" t="s" s="5">
        <v>40</v>
      </c>
      <c r="C393" t="s" s="28">
        <v>773</v>
      </c>
      <c r="D393" t="s" s="7">
        <v>774</v>
      </c>
      <c r="E393" s="8">
        <v>45743</v>
      </c>
      <c r="F393" t="s" s="10">
        <v>778</v>
      </c>
      <c r="G393" t="s" s="10">
        <v>779</v>
      </c>
      <c r="H393" s="29">
        <v>35457.78</v>
      </c>
      <c r="I393" s="12">
        <v>35457.78</v>
      </c>
      <c r="J393" s="15">
        <f>I393-H393</f>
        <v>0</v>
      </c>
      <c r="K393" t="s" s="14">
        <v>306</v>
      </c>
      <c r="L393" s="20"/>
      <c r="M393" s="16"/>
      <c r="N393" s="20"/>
      <c r="O393" t="s" s="17">
        <v>24</v>
      </c>
    </row>
    <row r="394" ht="30.45" customHeight="1" hidden="1">
      <c r="A394" t="s" s="17">
        <v>20</v>
      </c>
      <c r="B394" t="s" s="5">
        <v>40</v>
      </c>
      <c r="C394" t="s" s="18">
        <v>773</v>
      </c>
      <c r="D394" t="s" s="7">
        <v>774</v>
      </c>
      <c r="E394" s="8">
        <v>45902</v>
      </c>
      <c r="F394" t="s" s="10">
        <v>780</v>
      </c>
      <c r="G394" t="s" s="10">
        <v>781</v>
      </c>
      <c r="H394" s="19">
        <v>30633.35</v>
      </c>
      <c r="I394" s="12">
        <v>30633.35</v>
      </c>
      <c r="J394" s="15">
        <f>I394-H394</f>
        <v>0</v>
      </c>
      <c r="K394" t="s" s="14">
        <v>306</v>
      </c>
      <c r="L394" s="20"/>
      <c r="M394" s="16"/>
      <c r="N394" s="20"/>
      <c r="O394" t="s" s="17">
        <v>24</v>
      </c>
    </row>
    <row r="395" ht="30.45" customHeight="1" hidden="1">
      <c r="A395" t="s" s="21">
        <v>20</v>
      </c>
      <c r="B395" t="s" s="5">
        <v>40</v>
      </c>
      <c r="C395" t="s" s="18">
        <v>773</v>
      </c>
      <c r="D395" t="s" s="7">
        <v>774</v>
      </c>
      <c r="E395" s="8">
        <v>46083</v>
      </c>
      <c r="F395" t="s" s="10">
        <v>782</v>
      </c>
      <c r="G395" t="s" s="10">
        <v>783</v>
      </c>
      <c r="H395" s="19">
        <v>40174.6</v>
      </c>
      <c r="I395" s="12">
        <v>40174</v>
      </c>
      <c r="J395" s="15">
        <f>I395-H395</f>
        <v>-0.6</v>
      </c>
      <c r="K395" t="s" s="14">
        <v>306</v>
      </c>
      <c r="L395" s="20"/>
      <c r="M395" s="16"/>
      <c r="N395" s="20"/>
      <c r="O395" t="s" s="17">
        <v>24</v>
      </c>
    </row>
    <row r="396" ht="30.45" customHeight="1" hidden="1">
      <c r="A396" t="s" s="17">
        <v>39</v>
      </c>
      <c r="B396" t="s" s="5">
        <v>40</v>
      </c>
      <c r="C396" t="s" s="23">
        <v>784</v>
      </c>
      <c r="D396" t="s" s="7">
        <v>423</v>
      </c>
      <c r="E396" s="8">
        <v>45526</v>
      </c>
      <c r="F396" t="s" s="10">
        <v>785</v>
      </c>
      <c r="G396" t="s" s="10">
        <v>786</v>
      </c>
      <c r="H396" s="15">
        <v>34466.53</v>
      </c>
      <c r="I396" s="12">
        <v>34466.53</v>
      </c>
      <c r="J396" s="15">
        <f>I396-H396</f>
        <v>0</v>
      </c>
      <c r="K396" t="s" s="14">
        <v>306</v>
      </c>
      <c r="L396" s="20"/>
      <c r="M396" s="16"/>
      <c r="N396" s="20"/>
      <c r="O396" t="s" s="17">
        <v>24</v>
      </c>
    </row>
    <row r="397" ht="30.45" customHeight="1" hidden="1">
      <c r="A397" t="s" s="17">
        <v>49</v>
      </c>
      <c r="B397" t="s" s="5">
        <v>40</v>
      </c>
      <c r="C397" t="s" s="28">
        <v>784</v>
      </c>
      <c r="D397" t="s" s="7">
        <v>423</v>
      </c>
      <c r="E397" s="8">
        <v>45743</v>
      </c>
      <c r="F397" t="s" s="10">
        <v>787</v>
      </c>
      <c r="G397" t="s" s="10">
        <v>788</v>
      </c>
      <c r="H397" s="29">
        <v>22369.05</v>
      </c>
      <c r="I397" s="12">
        <v>22339.04</v>
      </c>
      <c r="J397" s="15">
        <f>I397-H397</f>
        <v>-30.01</v>
      </c>
      <c r="K397" t="s" s="14">
        <v>306</v>
      </c>
      <c r="L397" s="20"/>
      <c r="M397" s="16"/>
      <c r="N397" s="20"/>
      <c r="O397" t="s" s="17">
        <v>24</v>
      </c>
    </row>
    <row r="398" ht="30.45" customHeight="1" hidden="1">
      <c r="A398" t="s" s="17">
        <v>696</v>
      </c>
      <c r="B398" t="s" s="5">
        <v>47</v>
      </c>
      <c r="C398" t="s" s="23">
        <v>784</v>
      </c>
      <c r="D398" t="s" s="7">
        <v>423</v>
      </c>
      <c r="E398" s="8">
        <v>46209</v>
      </c>
      <c r="F398" t="s" s="10">
        <v>789</v>
      </c>
      <c r="G398" t="s" s="10">
        <v>790</v>
      </c>
      <c r="H398" s="19">
        <v>45082.28</v>
      </c>
      <c r="I398" s="26"/>
      <c r="J398" s="15">
        <f>I398-H398</f>
        <v>-45082.28</v>
      </c>
      <c r="K398" t="s" s="14">
        <v>306</v>
      </c>
      <c r="L398" s="20"/>
      <c r="M398" s="8"/>
      <c r="N398" s="20"/>
      <c r="O398" t="s" s="17">
        <v>24</v>
      </c>
    </row>
    <row r="399" ht="30.45" customHeight="1" hidden="1">
      <c r="A399" t="s" s="17">
        <v>20</v>
      </c>
      <c r="B399" t="s" s="5">
        <v>633</v>
      </c>
      <c r="C399" t="s" s="18">
        <v>791</v>
      </c>
      <c r="D399" t="s" s="7">
        <v>390</v>
      </c>
      <c r="E399" s="25">
        <v>45251</v>
      </c>
      <c r="F399" s="9"/>
      <c r="G399" s="10"/>
      <c r="H399" s="15">
        <v>1920.28</v>
      </c>
      <c r="I399" s="12">
        <v>1920.28</v>
      </c>
      <c r="J399" s="15"/>
      <c r="K399" t="s" s="14">
        <v>92</v>
      </c>
      <c r="L399" s="15"/>
      <c r="M399" s="16"/>
      <c r="N399" t="s" s="10">
        <v>792</v>
      </c>
      <c r="O399" t="s" s="17">
        <v>24</v>
      </c>
    </row>
    <row r="400" ht="30.45" customHeight="1" hidden="1">
      <c r="A400" t="s" s="17">
        <v>20</v>
      </c>
      <c r="B400" t="s" s="5">
        <v>633</v>
      </c>
      <c r="C400" t="s" s="18">
        <v>791</v>
      </c>
      <c r="D400" t="s" s="7">
        <v>390</v>
      </c>
      <c r="E400" s="25">
        <v>45266</v>
      </c>
      <c r="F400" s="9"/>
      <c r="G400" s="10"/>
      <c r="H400" s="15">
        <v>1870.59</v>
      </c>
      <c r="I400" s="12">
        <v>1870.59</v>
      </c>
      <c r="J400" s="15"/>
      <c r="K400" t="s" s="14">
        <v>92</v>
      </c>
      <c r="L400" s="15"/>
      <c r="M400" s="16"/>
      <c r="N400" t="s" s="10">
        <v>792</v>
      </c>
      <c r="O400" t="s" s="17">
        <v>24</v>
      </c>
    </row>
    <row r="401" ht="30.45" customHeight="1" hidden="1">
      <c r="A401" t="s" s="17">
        <v>49</v>
      </c>
      <c r="B401" t="s" s="5">
        <v>633</v>
      </c>
      <c r="C401" t="s" s="18">
        <v>791</v>
      </c>
      <c r="D401" t="s" s="7">
        <v>390</v>
      </c>
      <c r="E401" s="8">
        <v>46064</v>
      </c>
      <c r="F401" t="s" s="10">
        <v>793</v>
      </c>
      <c r="G401" t="s" s="10">
        <v>794</v>
      </c>
      <c r="H401" s="42">
        <v>20636.9</v>
      </c>
      <c r="I401" s="12">
        <v>20636.89</v>
      </c>
      <c r="J401" s="13">
        <f>I401-H401</f>
        <v>-0.01</v>
      </c>
      <c r="K401" t="s" s="14">
        <v>92</v>
      </c>
      <c r="L401" s="20"/>
      <c r="M401" s="16"/>
      <c r="N401" s="20"/>
      <c r="O401" t="s" s="17">
        <v>24</v>
      </c>
    </row>
    <row r="402" ht="30.45" customHeight="1" hidden="1">
      <c r="A402" t="s" s="21">
        <v>20</v>
      </c>
      <c r="B402" t="s" s="5">
        <v>30</v>
      </c>
      <c r="C402" t="s" s="18">
        <v>791</v>
      </c>
      <c r="D402" t="s" s="7">
        <v>390</v>
      </c>
      <c r="E402" t="s" s="10">
        <v>795</v>
      </c>
      <c r="F402" s="16"/>
      <c r="G402" t="s" s="10">
        <v>796</v>
      </c>
      <c r="H402" s="19">
        <v>18992</v>
      </c>
      <c r="I402" s="12">
        <v>18992</v>
      </c>
      <c r="J402" s="13">
        <f>I402-H402</f>
        <v>0</v>
      </c>
      <c r="K402" t="s" s="14">
        <v>92</v>
      </c>
      <c r="L402" s="20"/>
      <c r="M402" s="16"/>
      <c r="N402" s="20"/>
      <c r="O402" t="s" s="17">
        <v>24</v>
      </c>
    </row>
    <row r="403" ht="30.45" customHeight="1">
      <c r="A403" t="s" s="36">
        <v>797</v>
      </c>
      <c r="B403" t="s" s="5">
        <v>61</v>
      </c>
      <c r="C403" t="s" s="18">
        <v>791</v>
      </c>
      <c r="D403" t="s" s="7">
        <v>390</v>
      </c>
      <c r="E403" s="25">
        <v>45989</v>
      </c>
      <c r="F403" t="s" s="10">
        <v>798</v>
      </c>
      <c r="G403" t="s" s="10">
        <v>799</v>
      </c>
      <c r="H403" s="31">
        <v>35966.91</v>
      </c>
      <c r="I403" s="12">
        <v>35966.9</v>
      </c>
      <c r="J403" s="15">
        <f>I403-H403</f>
        <v>-0.01</v>
      </c>
      <c r="K403" t="s" s="14">
        <v>92</v>
      </c>
      <c r="L403" s="15"/>
      <c r="M403" s="16"/>
      <c r="N403" s="20"/>
      <c r="O403" t="s" s="17">
        <v>24</v>
      </c>
    </row>
    <row r="404" ht="30.45" customHeight="1" hidden="1">
      <c r="A404" t="s" s="21">
        <v>20</v>
      </c>
      <c r="B404" t="s" s="5">
        <v>36</v>
      </c>
      <c r="C404" t="s" s="18">
        <v>791</v>
      </c>
      <c r="D404" t="s" s="7">
        <v>390</v>
      </c>
      <c r="E404" s="8">
        <v>46129</v>
      </c>
      <c r="F404" s="9">
        <v>4059</v>
      </c>
      <c r="G404" t="s" s="10">
        <v>800</v>
      </c>
      <c r="H404" s="31">
        <v>25401.31</v>
      </c>
      <c r="I404" s="12">
        <v>25401.04</v>
      </c>
      <c r="J404" s="15">
        <f>I404-H404</f>
        <v>-0.27</v>
      </c>
      <c r="K404" t="s" s="14">
        <v>92</v>
      </c>
      <c r="L404" s="20"/>
      <c r="M404" s="16"/>
      <c r="N404" s="20"/>
      <c r="O404" t="s" s="17">
        <v>24</v>
      </c>
    </row>
    <row r="405" ht="30.45" customHeight="1" hidden="1">
      <c r="A405" t="s" s="17">
        <v>49</v>
      </c>
      <c r="B405" t="s" s="5">
        <v>40</v>
      </c>
      <c r="C405" t="s" s="18">
        <v>791</v>
      </c>
      <c r="D405" t="s" s="7">
        <v>390</v>
      </c>
      <c r="E405" s="25">
        <v>45274</v>
      </c>
      <c r="F405" s="9">
        <v>429</v>
      </c>
      <c r="G405" t="s" s="10">
        <v>801</v>
      </c>
      <c r="H405" s="26">
        <v>46419.59</v>
      </c>
      <c r="I405" s="12">
        <v>46419.58</v>
      </c>
      <c r="J405" s="15">
        <f>I405-H405</f>
        <v>-0.01</v>
      </c>
      <c r="K405" t="s" s="14">
        <v>92</v>
      </c>
      <c r="L405" s="15"/>
      <c r="M405" s="8">
        <v>45311</v>
      </c>
      <c r="N405" s="16"/>
      <c r="O405" t="s" s="17">
        <v>24</v>
      </c>
    </row>
    <row r="406" ht="30.45" customHeight="1" hidden="1">
      <c r="A406" t="s" s="17">
        <v>49</v>
      </c>
      <c r="B406" t="s" s="5">
        <v>40</v>
      </c>
      <c r="C406" t="s" s="18">
        <v>791</v>
      </c>
      <c r="D406" t="s" s="7">
        <v>390</v>
      </c>
      <c r="E406" s="25">
        <v>45365</v>
      </c>
      <c r="F406" t="s" s="10">
        <v>802</v>
      </c>
      <c r="G406" t="s" s="10">
        <v>803</v>
      </c>
      <c r="H406" s="26">
        <v>24419.72</v>
      </c>
      <c r="I406" s="12">
        <v>24419.72</v>
      </c>
      <c r="J406" s="15">
        <f>I406-H406</f>
        <v>0</v>
      </c>
      <c r="K406" t="s" s="14">
        <v>92</v>
      </c>
      <c r="L406" s="20"/>
      <c r="M406" s="8">
        <v>45402</v>
      </c>
      <c r="N406" s="16"/>
      <c r="O406" t="s" s="17">
        <v>24</v>
      </c>
    </row>
    <row r="407" ht="30.45" customHeight="1" hidden="1">
      <c r="A407" t="s" s="17">
        <v>20</v>
      </c>
      <c r="B407" t="s" s="5">
        <v>40</v>
      </c>
      <c r="C407" t="s" s="18">
        <v>791</v>
      </c>
      <c r="D407" t="s" s="7">
        <v>390</v>
      </c>
      <c r="E407" s="8">
        <v>45449</v>
      </c>
      <c r="F407" t="s" s="10">
        <v>804</v>
      </c>
      <c r="G407" t="s" s="10">
        <v>805</v>
      </c>
      <c r="H407" s="15">
        <v>21714.12</v>
      </c>
      <c r="I407" s="12">
        <v>21714.12</v>
      </c>
      <c r="J407" s="15">
        <f>I407-H407</f>
        <v>0</v>
      </c>
      <c r="K407" t="s" s="14">
        <v>92</v>
      </c>
      <c r="L407" s="15"/>
      <c r="M407" s="8">
        <v>45484</v>
      </c>
      <c r="N407" s="20"/>
      <c r="O407" t="s" s="17">
        <v>24</v>
      </c>
    </row>
    <row r="408" ht="30.45" customHeight="1" hidden="1">
      <c r="A408" t="s" s="17">
        <v>49</v>
      </c>
      <c r="B408" t="s" s="5">
        <v>40</v>
      </c>
      <c r="C408" t="s" s="6">
        <v>791</v>
      </c>
      <c r="D408" t="s" s="7">
        <v>390</v>
      </c>
      <c r="E408" s="8">
        <v>45483</v>
      </c>
      <c r="F408" t="s" s="10">
        <v>806</v>
      </c>
      <c r="G408" t="s" s="10">
        <v>807</v>
      </c>
      <c r="H408" s="29">
        <v>34340.37</v>
      </c>
      <c r="I408" s="12">
        <v>34340.37</v>
      </c>
      <c r="J408" s="15">
        <f>I408-H408</f>
        <v>0</v>
      </c>
      <c r="K408" t="s" s="14">
        <v>92</v>
      </c>
      <c r="L408" s="20"/>
      <c r="M408" s="8">
        <v>45519</v>
      </c>
      <c r="N408" s="20"/>
      <c r="O408" t="s" s="17">
        <v>24</v>
      </c>
    </row>
    <row r="409" ht="30.45" customHeight="1" hidden="1">
      <c r="A409" t="s" s="17">
        <v>49</v>
      </c>
      <c r="B409" t="s" s="5">
        <v>40</v>
      </c>
      <c r="C409" t="s" s="18">
        <v>791</v>
      </c>
      <c r="D409" t="s" s="7">
        <v>390</v>
      </c>
      <c r="E409" s="8">
        <v>45553</v>
      </c>
      <c r="F409" t="s" s="10">
        <v>808</v>
      </c>
      <c r="G409" t="s" s="10">
        <v>809</v>
      </c>
      <c r="H409" s="15">
        <v>33820.89</v>
      </c>
      <c r="I409" s="12">
        <v>33820.89</v>
      </c>
      <c r="J409" s="15">
        <f>I409-H409</f>
        <v>0</v>
      </c>
      <c r="K409" t="s" s="14">
        <v>92</v>
      </c>
      <c r="L409" s="20"/>
      <c r="M409" s="16"/>
      <c r="N409" s="20"/>
      <c r="O409" t="s" s="17">
        <v>24</v>
      </c>
    </row>
    <row r="410" ht="30.45" customHeight="1" hidden="1">
      <c r="A410" t="s" s="30">
        <v>49</v>
      </c>
      <c r="B410" t="s" s="5">
        <v>40</v>
      </c>
      <c r="C410" t="s" s="28">
        <v>791</v>
      </c>
      <c r="D410" t="s" s="7">
        <v>390</v>
      </c>
      <c r="E410" s="8">
        <v>45638</v>
      </c>
      <c r="F410" t="s" s="10">
        <v>810</v>
      </c>
      <c r="G410" t="s" s="10">
        <v>811</v>
      </c>
      <c r="H410" s="29">
        <v>32843.6</v>
      </c>
      <c r="I410" s="12">
        <v>32843.6</v>
      </c>
      <c r="J410" s="15">
        <f>I410-H410</f>
        <v>0</v>
      </c>
      <c r="K410" t="s" s="14">
        <v>92</v>
      </c>
      <c r="L410" s="20"/>
      <c r="M410" s="16"/>
      <c r="N410" s="20"/>
      <c r="O410" t="s" s="17">
        <v>24</v>
      </c>
    </row>
    <row r="411" ht="30.45" customHeight="1" hidden="1">
      <c r="A411" t="s" s="17">
        <v>49</v>
      </c>
      <c r="B411" t="s" s="5">
        <v>40</v>
      </c>
      <c r="C411" t="s" s="18">
        <v>791</v>
      </c>
      <c r="D411" t="s" s="7">
        <v>390</v>
      </c>
      <c r="E411" s="8">
        <v>45707</v>
      </c>
      <c r="F411" t="s" s="10">
        <v>812</v>
      </c>
      <c r="G411" t="s" s="10">
        <v>813</v>
      </c>
      <c r="H411" s="39">
        <v>34011.96</v>
      </c>
      <c r="I411" s="12">
        <v>34011.95</v>
      </c>
      <c r="J411" s="15">
        <f>I411-H411</f>
        <v>-0.01</v>
      </c>
      <c r="K411" t="s" s="14">
        <v>92</v>
      </c>
      <c r="L411" s="20"/>
      <c r="M411" s="16"/>
      <c r="N411" s="20"/>
      <c r="O411" t="s" s="17">
        <v>24</v>
      </c>
    </row>
    <row r="412" ht="30.45" customHeight="1" hidden="1">
      <c r="A412" t="s" s="21">
        <v>49</v>
      </c>
      <c r="B412" t="s" s="5">
        <v>40</v>
      </c>
      <c r="C412" t="s" s="18">
        <v>791</v>
      </c>
      <c r="D412" t="s" s="7">
        <v>390</v>
      </c>
      <c r="E412" s="8">
        <v>45924</v>
      </c>
      <c r="F412" t="s" s="10">
        <v>814</v>
      </c>
      <c r="G412" t="s" s="10">
        <v>815</v>
      </c>
      <c r="H412" s="19">
        <v>39581.21</v>
      </c>
      <c r="I412" s="12">
        <v>39581.21</v>
      </c>
      <c r="J412" s="15">
        <f>I412-H412</f>
        <v>0</v>
      </c>
      <c r="K412" t="s" s="14">
        <v>92</v>
      </c>
      <c r="L412" s="20"/>
      <c r="M412" s="16"/>
      <c r="N412" s="20"/>
      <c r="O412" t="s" s="17">
        <v>24</v>
      </c>
    </row>
    <row r="413" ht="30.45" customHeight="1" hidden="1">
      <c r="A413" t="s" s="21">
        <v>20</v>
      </c>
      <c r="B413" t="s" s="5">
        <v>40</v>
      </c>
      <c r="C413" t="s" s="18">
        <v>791</v>
      </c>
      <c r="D413" t="s" s="7">
        <v>390</v>
      </c>
      <c r="E413" s="8">
        <v>45946</v>
      </c>
      <c r="F413" t="s" s="10">
        <v>816</v>
      </c>
      <c r="G413" t="s" s="10">
        <v>817</v>
      </c>
      <c r="H413" s="19">
        <v>64371.02</v>
      </c>
      <c r="I413" s="12">
        <v>64371.02</v>
      </c>
      <c r="J413" s="15">
        <f>I413-H413</f>
        <v>0</v>
      </c>
      <c r="K413" t="s" s="14">
        <v>92</v>
      </c>
      <c r="L413" s="20"/>
      <c r="M413" s="16"/>
      <c r="N413" s="20"/>
      <c r="O413" t="s" s="17">
        <v>24</v>
      </c>
    </row>
    <row r="414" ht="30.45" customHeight="1" hidden="1">
      <c r="A414" t="s" s="21">
        <v>20</v>
      </c>
      <c r="B414" t="s" s="5">
        <v>40</v>
      </c>
      <c r="C414" t="s" s="18">
        <v>791</v>
      </c>
      <c r="D414" t="s" s="7">
        <v>390</v>
      </c>
      <c r="E414" s="8">
        <v>46101</v>
      </c>
      <c r="F414" t="s" s="10">
        <v>818</v>
      </c>
      <c r="G414" t="s" s="10">
        <v>819</v>
      </c>
      <c r="H414" s="19">
        <v>33584.14</v>
      </c>
      <c r="I414" s="12">
        <f>H414</f>
        <v>33584.14</v>
      </c>
      <c r="J414" s="15">
        <f>I414-H414</f>
        <v>0</v>
      </c>
      <c r="K414" t="s" s="14">
        <v>24</v>
      </c>
      <c r="L414" s="20"/>
      <c r="M414" s="16"/>
      <c r="N414" s="20"/>
      <c r="O414" t="s" s="17">
        <v>24</v>
      </c>
    </row>
    <row r="415" ht="30.45" customHeight="1" hidden="1">
      <c r="A415" t="s" s="17">
        <v>49</v>
      </c>
      <c r="B415" t="s" s="5">
        <v>47</v>
      </c>
      <c r="C415" t="s" s="28">
        <v>791</v>
      </c>
      <c r="D415" t="s" s="7">
        <v>390</v>
      </c>
      <c r="E415" s="8">
        <v>45488</v>
      </c>
      <c r="F415" t="s" s="10">
        <v>820</v>
      </c>
      <c r="G415" t="s" s="10">
        <v>821</v>
      </c>
      <c r="H415" s="15">
        <v>37348.5</v>
      </c>
      <c r="I415" s="12">
        <v>37348.5</v>
      </c>
      <c r="J415" s="15">
        <f>I415-H415</f>
        <v>0</v>
      </c>
      <c r="K415" t="s" s="14">
        <v>92</v>
      </c>
      <c r="L415" s="20"/>
      <c r="M415" s="8"/>
      <c r="N415" s="20"/>
      <c r="O415" t="s" s="17">
        <v>24</v>
      </c>
    </row>
    <row r="416" ht="30.45" customHeight="1" hidden="1">
      <c r="A416" t="s" s="21">
        <v>49</v>
      </c>
      <c r="B416" t="s" s="5">
        <v>47</v>
      </c>
      <c r="C416" t="s" s="18">
        <v>791</v>
      </c>
      <c r="D416" t="s" s="7">
        <v>390</v>
      </c>
      <c r="E416" s="8">
        <v>45784</v>
      </c>
      <c r="F416" t="s" s="10">
        <v>822</v>
      </c>
      <c r="G416" t="s" s="10">
        <v>823</v>
      </c>
      <c r="H416" s="15">
        <v>7418.57</v>
      </c>
      <c r="I416" s="12">
        <v>7418.59</v>
      </c>
      <c r="J416" s="15">
        <f>I416-H416</f>
        <v>0.02</v>
      </c>
      <c r="K416" t="s" s="14">
        <v>92</v>
      </c>
      <c r="L416" s="20"/>
      <c r="M416" s="8"/>
      <c r="N416" s="20"/>
      <c r="O416" t="s" s="17">
        <v>24</v>
      </c>
    </row>
    <row r="417" ht="30.45" customHeight="1" hidden="1">
      <c r="A417" t="s" s="21">
        <v>49</v>
      </c>
      <c r="B417" t="s" s="5">
        <v>47</v>
      </c>
      <c r="C417" t="s" s="18">
        <v>791</v>
      </c>
      <c r="D417" t="s" s="7">
        <v>390</v>
      </c>
      <c r="E417" s="8">
        <v>45891</v>
      </c>
      <c r="F417" t="s" s="10">
        <v>824</v>
      </c>
      <c r="G417" t="s" s="10">
        <v>825</v>
      </c>
      <c r="H417" s="19">
        <v>1428.37</v>
      </c>
      <c r="I417" s="12">
        <v>1428.37</v>
      </c>
      <c r="J417" s="15">
        <f>I417-H417</f>
        <v>0</v>
      </c>
      <c r="K417" t="s" s="14">
        <v>92</v>
      </c>
      <c r="L417" s="20"/>
      <c r="M417" s="8"/>
      <c r="N417" s="20"/>
      <c r="O417" t="s" s="17">
        <v>24</v>
      </c>
    </row>
    <row r="418" ht="30.45" customHeight="1" hidden="1">
      <c r="A418" t="s" s="21">
        <v>599</v>
      </c>
      <c r="B418" t="s" s="5">
        <v>47</v>
      </c>
      <c r="C418" t="s" s="18">
        <v>791</v>
      </c>
      <c r="D418" t="s" s="7">
        <v>390</v>
      </c>
      <c r="E418" s="8">
        <v>46001</v>
      </c>
      <c r="F418" t="s" s="10">
        <v>826</v>
      </c>
      <c r="G418" t="s" s="10">
        <v>337</v>
      </c>
      <c r="H418" s="19">
        <v>28161.36</v>
      </c>
      <c r="I418" s="12">
        <v>28161.36</v>
      </c>
      <c r="J418" s="15">
        <f>I418-H418</f>
        <v>0</v>
      </c>
      <c r="K418" t="s" s="14">
        <v>92</v>
      </c>
      <c r="L418" s="20"/>
      <c r="M418" s="8"/>
      <c r="N418" s="20"/>
      <c r="O418" t="s" s="17">
        <v>19</v>
      </c>
    </row>
    <row r="419" ht="30.45" customHeight="1" hidden="1">
      <c r="A419" t="s" s="4">
        <v>39</v>
      </c>
      <c r="B419" t="s" s="5">
        <v>420</v>
      </c>
      <c r="C419" t="s" s="64">
        <v>791</v>
      </c>
      <c r="D419" t="s" s="7">
        <v>390</v>
      </c>
      <c r="E419" s="25">
        <v>45940</v>
      </c>
      <c r="F419" s="16"/>
      <c r="G419" s="16"/>
      <c r="H419" s="19">
        <v>6500</v>
      </c>
      <c r="I419" s="12">
        <v>6500</v>
      </c>
      <c r="J419" s="15">
        <f>I419-H419</f>
        <v>0</v>
      </c>
      <c r="K419" t="s" s="14">
        <v>92</v>
      </c>
      <c r="L419" s="15"/>
      <c r="M419" s="16"/>
      <c r="N419" s="20"/>
      <c r="O419" t="s" s="17">
        <v>24</v>
      </c>
    </row>
    <row r="420" ht="30.45" customHeight="1" hidden="1">
      <c r="A420" t="s" s="21">
        <v>20</v>
      </c>
      <c r="B420" t="s" s="5">
        <v>97</v>
      </c>
      <c r="C420" t="s" s="23">
        <v>791</v>
      </c>
      <c r="D420" t="s" s="7">
        <v>390</v>
      </c>
      <c r="E420" s="25">
        <v>45678</v>
      </c>
      <c r="F420" t="s" s="10">
        <v>827</v>
      </c>
      <c r="G420" t="s" s="10">
        <v>828</v>
      </c>
      <c r="H420" s="19">
        <v>68412.8</v>
      </c>
      <c r="I420" s="12">
        <v>68412.8</v>
      </c>
      <c r="J420" s="13">
        <f>I420-H420</f>
        <v>0</v>
      </c>
      <c r="K420" t="s" s="14">
        <v>92</v>
      </c>
      <c r="L420" s="20"/>
      <c r="M420" s="16"/>
      <c r="N420" s="20"/>
      <c r="O420" t="s" s="17">
        <v>24</v>
      </c>
    </row>
    <row r="421" ht="30.45" customHeight="1" hidden="1">
      <c r="A421" t="s" s="17">
        <v>20</v>
      </c>
      <c r="B421" t="s" s="5">
        <v>97</v>
      </c>
      <c r="C421" t="s" s="18">
        <v>791</v>
      </c>
      <c r="D421" t="s" s="7">
        <v>390</v>
      </c>
      <c r="E421" s="25">
        <v>45721</v>
      </c>
      <c r="F421" t="s" s="10">
        <v>829</v>
      </c>
      <c r="G421" t="s" s="10">
        <v>830</v>
      </c>
      <c r="H421" s="19">
        <v>71429.899999999994</v>
      </c>
      <c r="I421" s="12">
        <v>71429.899999999994</v>
      </c>
      <c r="J421" s="13">
        <f>I421-H421</f>
        <v>0</v>
      </c>
      <c r="K421" t="s" s="14">
        <v>24</v>
      </c>
      <c r="L421" s="20"/>
      <c r="M421" s="16"/>
      <c r="N421" s="20"/>
      <c r="O421" t="s" s="17">
        <v>24</v>
      </c>
    </row>
    <row r="422" ht="30.45" customHeight="1" hidden="1">
      <c r="A422" t="s" s="21">
        <v>20</v>
      </c>
      <c r="B422" t="s" s="5">
        <v>97</v>
      </c>
      <c r="C422" t="s" s="18">
        <v>791</v>
      </c>
      <c r="D422" t="s" s="7">
        <v>390</v>
      </c>
      <c r="E422" s="25">
        <v>45777</v>
      </c>
      <c r="F422" t="s" s="10">
        <v>831</v>
      </c>
      <c r="G422" t="s" s="10">
        <v>832</v>
      </c>
      <c r="H422" s="19">
        <v>29019.6</v>
      </c>
      <c r="I422" s="12">
        <v>29019.6</v>
      </c>
      <c r="J422" s="13">
        <f>I422-H422</f>
        <v>0</v>
      </c>
      <c r="K422" t="s" s="14">
        <v>92</v>
      </c>
      <c r="L422" s="20"/>
      <c r="M422" s="16"/>
      <c r="N422" s="20"/>
      <c r="O422" t="s" s="17">
        <v>24</v>
      </c>
    </row>
    <row r="423" ht="30.45" customHeight="1" hidden="1">
      <c r="A423" t="s" s="21">
        <v>20</v>
      </c>
      <c r="B423" t="s" s="5">
        <v>97</v>
      </c>
      <c r="C423" t="s" s="18">
        <v>791</v>
      </c>
      <c r="D423" t="s" s="7">
        <v>390</v>
      </c>
      <c r="E423" s="25">
        <v>45912</v>
      </c>
      <c r="F423" t="s" s="10">
        <v>833</v>
      </c>
      <c r="G423" t="s" s="10">
        <v>834</v>
      </c>
      <c r="H423" s="19">
        <v>82527.600000000006</v>
      </c>
      <c r="I423" s="12">
        <v>82527.600000000006</v>
      </c>
      <c r="J423" s="13">
        <f>I423-H423</f>
        <v>0</v>
      </c>
      <c r="K423" t="s" s="14">
        <v>92</v>
      </c>
      <c r="L423" s="20"/>
      <c r="M423" s="16"/>
      <c r="N423" s="20"/>
      <c r="O423" t="s" s="17">
        <v>24</v>
      </c>
    </row>
    <row r="424" ht="30.45" customHeight="1" hidden="1">
      <c r="A424" t="s" s="21">
        <v>20</v>
      </c>
      <c r="B424" t="s" s="5">
        <v>97</v>
      </c>
      <c r="C424" t="s" s="18">
        <v>791</v>
      </c>
      <c r="D424" t="s" s="7">
        <v>390</v>
      </c>
      <c r="E424" s="25">
        <v>45919</v>
      </c>
      <c r="F424" t="s" s="10">
        <v>835</v>
      </c>
      <c r="G424" t="s" s="10">
        <v>836</v>
      </c>
      <c r="H424" s="19">
        <v>81722</v>
      </c>
      <c r="I424" s="12">
        <v>81722</v>
      </c>
      <c r="J424" s="13">
        <f>I424-H424</f>
        <v>0</v>
      </c>
      <c r="K424" t="s" s="14">
        <v>92</v>
      </c>
      <c r="L424" s="20"/>
      <c r="M424" s="16"/>
      <c r="N424" s="20"/>
      <c r="O424" t="s" s="17">
        <v>24</v>
      </c>
    </row>
    <row r="425" ht="30.45" customHeight="1" hidden="1">
      <c r="A425" t="s" s="21">
        <v>20</v>
      </c>
      <c r="B425" t="s" s="5">
        <v>61</v>
      </c>
      <c r="C425" t="s" s="23">
        <v>791</v>
      </c>
      <c r="D425" t="s" s="7">
        <v>390</v>
      </c>
      <c r="E425" s="25">
        <v>45668</v>
      </c>
      <c r="F425" t="s" s="10">
        <v>837</v>
      </c>
      <c r="G425" t="s" s="10">
        <v>838</v>
      </c>
      <c r="H425" s="45">
        <v>48335.2</v>
      </c>
      <c r="I425" s="12">
        <v>48335.2</v>
      </c>
      <c r="J425" s="15">
        <f>I425-H425</f>
        <v>0</v>
      </c>
      <c r="K425" t="s" s="14">
        <v>92</v>
      </c>
      <c r="L425" s="15"/>
      <c r="M425" s="16"/>
      <c r="N425" s="20"/>
      <c r="O425" t="s" s="17">
        <v>24</v>
      </c>
    </row>
    <row r="426" ht="30.45" customHeight="1" hidden="1">
      <c r="A426" t="s" s="21">
        <v>20</v>
      </c>
      <c r="B426" t="s" s="5">
        <v>61</v>
      </c>
      <c r="C426" t="s" s="18">
        <v>791</v>
      </c>
      <c r="D426" t="s" s="7">
        <v>390</v>
      </c>
      <c r="E426" s="8">
        <v>46114</v>
      </c>
      <c r="F426" s="10"/>
      <c r="G426" s="10"/>
      <c r="H426" s="31">
        <v>22906.25</v>
      </c>
      <c r="I426" s="12">
        <v>22906.24</v>
      </c>
      <c r="J426" s="15">
        <f>I426-H426</f>
        <v>-0.01</v>
      </c>
      <c r="K426" t="s" s="14">
        <v>92</v>
      </c>
      <c r="L426" s="20"/>
      <c r="M426" s="16"/>
      <c r="N426" s="20"/>
      <c r="O426" t="s" s="17">
        <v>24</v>
      </c>
    </row>
    <row r="427" ht="30.45" customHeight="1" hidden="1">
      <c r="A427" t="s" s="21">
        <v>49</v>
      </c>
      <c r="B427" t="s" s="5">
        <v>47</v>
      </c>
      <c r="C427" t="s" s="18">
        <v>791</v>
      </c>
      <c r="D427" t="s" s="7">
        <v>390</v>
      </c>
      <c r="E427" s="8">
        <v>46157</v>
      </c>
      <c r="F427" t="s" s="10">
        <v>839</v>
      </c>
      <c r="G427" t="s" s="10">
        <v>840</v>
      </c>
      <c r="H427" s="19">
        <v>4468.82</v>
      </c>
      <c r="I427" s="12">
        <v>4468.84</v>
      </c>
      <c r="J427" s="15">
        <f>I427-H427</f>
        <v>0.02</v>
      </c>
      <c r="K427" t="s" s="14">
        <v>92</v>
      </c>
      <c r="L427" s="20"/>
      <c r="M427" s="8"/>
      <c r="N427" s="20"/>
      <c r="O427" t="s" s="17">
        <v>24</v>
      </c>
    </row>
    <row r="428" ht="30.45" customHeight="1" hidden="1">
      <c r="A428" t="s" s="17">
        <v>732</v>
      </c>
      <c r="B428" t="s" s="5">
        <v>633</v>
      </c>
      <c r="C428" t="s" s="28">
        <v>791</v>
      </c>
      <c r="D428" t="s" s="7">
        <v>390</v>
      </c>
      <c r="E428" s="8">
        <v>46170</v>
      </c>
      <c r="F428" t="s" s="10">
        <v>841</v>
      </c>
      <c r="G428" t="s" s="10">
        <v>842</v>
      </c>
      <c r="H428" s="50">
        <v>12812.86</v>
      </c>
      <c r="I428" s="12">
        <f>H428</f>
        <v>12812.86</v>
      </c>
      <c r="J428" s="13">
        <f>I428-H428</f>
        <v>0</v>
      </c>
      <c r="K428" t="s" s="14">
        <v>92</v>
      </c>
      <c r="L428" s="20"/>
      <c r="M428" s="16"/>
      <c r="N428" s="20"/>
      <c r="O428" t="s" s="17">
        <v>24</v>
      </c>
    </row>
    <row r="429" ht="30.45" customHeight="1" hidden="1">
      <c r="A429" t="s" s="75">
        <v>49</v>
      </c>
      <c r="B429" t="s" s="5">
        <v>633</v>
      </c>
      <c r="C429" t="s" s="18">
        <v>843</v>
      </c>
      <c r="D429" t="s" s="7">
        <v>383</v>
      </c>
      <c r="E429" s="8">
        <v>46086</v>
      </c>
      <c r="F429" t="s" s="10">
        <v>844</v>
      </c>
      <c r="G429" t="s" s="10">
        <v>845</v>
      </c>
      <c r="H429" s="19">
        <v>18015.34</v>
      </c>
      <c r="I429" s="12">
        <f>H429</f>
        <v>18015.34</v>
      </c>
      <c r="J429" s="13">
        <f>I429-H429</f>
        <v>0</v>
      </c>
      <c r="K429" t="s" s="14">
        <v>84</v>
      </c>
      <c r="L429" s="20"/>
      <c r="M429" s="16"/>
      <c r="N429" s="20"/>
      <c r="O429" t="s" s="17">
        <v>24</v>
      </c>
    </row>
    <row r="430" ht="30.45" customHeight="1" hidden="1">
      <c r="A430" t="s" s="17">
        <v>49</v>
      </c>
      <c r="B430" t="s" s="5">
        <v>36</v>
      </c>
      <c r="C430" t="s" s="28">
        <v>843</v>
      </c>
      <c r="D430" t="s" s="7">
        <v>383</v>
      </c>
      <c r="E430" s="25">
        <v>45393</v>
      </c>
      <c r="F430" s="9">
        <v>3507</v>
      </c>
      <c r="G430" s="9">
        <v>2007</v>
      </c>
      <c r="H430" s="15">
        <v>62202.54</v>
      </c>
      <c r="I430" s="50">
        <v>62202.54</v>
      </c>
      <c r="J430" s="39"/>
      <c r="K430" t="s" s="14">
        <v>386</v>
      </c>
      <c r="L430" s="39"/>
      <c r="M430" s="22"/>
      <c r="N430" t="s" s="14">
        <v>535</v>
      </c>
      <c r="O430" t="s" s="17">
        <v>24</v>
      </c>
    </row>
    <row r="431" ht="30.45" customHeight="1" hidden="1">
      <c r="A431" t="s" s="17">
        <v>12</v>
      </c>
      <c r="B431" t="s" s="5">
        <v>97</v>
      </c>
      <c r="C431" t="s" s="6">
        <v>843</v>
      </c>
      <c r="D431" t="s" s="7">
        <v>383</v>
      </c>
      <c r="E431" s="25">
        <v>45226</v>
      </c>
      <c r="F431" s="9"/>
      <c r="G431" s="10"/>
      <c r="H431" s="44"/>
      <c r="I431" s="26"/>
      <c r="J431" s="15">
        <f>I431-H431</f>
        <v>0</v>
      </c>
      <c r="K431" t="s" s="14">
        <v>386</v>
      </c>
      <c r="L431" s="15"/>
      <c r="M431" s="16"/>
      <c r="N431" t="s" s="63">
        <v>846</v>
      </c>
      <c r="O431" t="s" s="17">
        <v>19</v>
      </c>
    </row>
    <row r="432" ht="30.45" customHeight="1" hidden="1">
      <c r="A432" t="s" s="21">
        <v>501</v>
      </c>
      <c r="B432" t="s" s="5">
        <v>40</v>
      </c>
      <c r="C432" t="s" s="23">
        <v>847</v>
      </c>
      <c r="D432" t="s" s="7">
        <v>151</v>
      </c>
      <c r="E432" s="8">
        <v>46142</v>
      </c>
      <c r="F432" t="s" s="10">
        <v>848</v>
      </c>
      <c r="G432" t="s" s="10">
        <v>849</v>
      </c>
      <c r="H432" s="19">
        <v>9572.77</v>
      </c>
      <c r="I432" s="12">
        <v>7000</v>
      </c>
      <c r="J432" s="15">
        <f>I432-H432</f>
        <v>-2572.77</v>
      </c>
      <c r="K432" t="s" s="14">
        <v>153</v>
      </c>
      <c r="L432" s="20"/>
      <c r="M432" s="16"/>
      <c r="N432" s="20"/>
      <c r="O432" t="s" s="17">
        <v>24</v>
      </c>
    </row>
    <row r="433" ht="30.45" customHeight="1" hidden="1">
      <c r="A433" t="s" s="21">
        <v>20</v>
      </c>
      <c r="B433" t="s" s="5">
        <v>21</v>
      </c>
      <c r="C433" t="s" s="18">
        <v>847</v>
      </c>
      <c r="D433" t="s" s="7">
        <v>151</v>
      </c>
      <c r="E433" s="8">
        <v>45643</v>
      </c>
      <c r="F433" t="s" s="10">
        <v>850</v>
      </c>
      <c r="G433" t="s" s="10">
        <v>851</v>
      </c>
      <c r="H433" s="24">
        <v>38432.3</v>
      </c>
      <c r="I433" s="12">
        <v>38432</v>
      </c>
      <c r="J433" s="13">
        <f>I433-H433</f>
        <v>-0.3</v>
      </c>
      <c r="K433" t="s" s="14">
        <v>153</v>
      </c>
      <c r="L433" s="20"/>
      <c r="M433" s="16"/>
      <c r="N433" s="20"/>
      <c r="O433" t="s" s="17">
        <v>24</v>
      </c>
    </row>
    <row r="434" ht="30.45" customHeight="1" hidden="1">
      <c r="A434" t="s" s="21">
        <v>133</v>
      </c>
      <c r="B434" t="s" s="5">
        <v>79</v>
      </c>
      <c r="C434" t="s" s="52">
        <v>847</v>
      </c>
      <c r="D434" t="s" s="7">
        <v>151</v>
      </c>
      <c r="E434" s="25">
        <v>45863</v>
      </c>
      <c r="F434" t="s" s="10">
        <v>416</v>
      </c>
      <c r="G434" t="s" s="10">
        <v>852</v>
      </c>
      <c r="H434" s="39">
        <v>32698.8</v>
      </c>
      <c r="I434" s="12">
        <v>28000</v>
      </c>
      <c r="J434" s="13">
        <f>I434-H434</f>
        <v>-4698.8</v>
      </c>
      <c r="K434" t="s" s="14">
        <v>153</v>
      </c>
      <c r="L434" s="20"/>
      <c r="M434" s="16"/>
      <c r="N434" s="20"/>
      <c r="O434" t="s" s="17">
        <v>19</v>
      </c>
    </row>
    <row r="435" ht="30.45" customHeight="1" hidden="1">
      <c r="A435" t="s" s="17">
        <v>49</v>
      </c>
      <c r="B435" t="s" s="5">
        <v>40</v>
      </c>
      <c r="C435" t="s" s="18">
        <v>847</v>
      </c>
      <c r="D435" t="s" s="7">
        <v>151</v>
      </c>
      <c r="E435" s="41">
        <v>45226</v>
      </c>
      <c r="F435" s="9">
        <v>398</v>
      </c>
      <c r="G435" t="s" s="10">
        <v>853</v>
      </c>
      <c r="H435" s="26">
        <v>25835.98</v>
      </c>
      <c r="I435" s="12">
        <v>60920</v>
      </c>
      <c r="J435" s="15">
        <f>I435-H435</f>
        <v>35084.02</v>
      </c>
      <c r="K435" t="s" s="14">
        <v>153</v>
      </c>
      <c r="L435" s="15"/>
      <c r="M435" s="8">
        <v>45263</v>
      </c>
      <c r="N435" s="20"/>
      <c r="O435" t="s" s="17">
        <v>24</v>
      </c>
    </row>
    <row r="436" ht="30.45" customHeight="1" hidden="1">
      <c r="A436" t="s" s="17">
        <v>39</v>
      </c>
      <c r="B436" t="s" s="5">
        <v>40</v>
      </c>
      <c r="C436" t="s" s="18">
        <v>847</v>
      </c>
      <c r="D436" t="s" s="7">
        <v>151</v>
      </c>
      <c r="E436" s="25">
        <v>45244</v>
      </c>
      <c r="F436" s="9">
        <v>403</v>
      </c>
      <c r="G436" t="s" s="10">
        <v>854</v>
      </c>
      <c r="H436" s="26">
        <v>35085.65</v>
      </c>
      <c r="I436" s="78">
        <v>35084.02</v>
      </c>
      <c r="J436" s="15">
        <f>I436-H436</f>
        <v>-1.63</v>
      </c>
      <c r="K436" t="s" s="14">
        <v>153</v>
      </c>
      <c r="L436" s="15"/>
      <c r="M436" s="27">
        <v>45281</v>
      </c>
      <c r="N436" t="s" s="10">
        <v>855</v>
      </c>
      <c r="O436" t="s" s="17">
        <v>24</v>
      </c>
    </row>
    <row r="437" ht="30.45" customHeight="1" hidden="1">
      <c r="A437" t="s" s="17">
        <v>20</v>
      </c>
      <c r="B437" t="s" s="5">
        <v>40</v>
      </c>
      <c r="C437" t="s" s="18">
        <v>847</v>
      </c>
      <c r="D437" t="s" s="7">
        <v>151</v>
      </c>
      <c r="E437" s="25">
        <v>45274</v>
      </c>
      <c r="F437" s="9">
        <v>435</v>
      </c>
      <c r="G437" t="s" s="10">
        <v>856</v>
      </c>
      <c r="H437" s="26">
        <v>31421.36</v>
      </c>
      <c r="I437" s="12">
        <v>31421</v>
      </c>
      <c r="J437" s="15">
        <f>I437-H437</f>
        <v>-0.36</v>
      </c>
      <c r="K437" t="s" s="14">
        <v>153</v>
      </c>
      <c r="L437" s="15"/>
      <c r="M437" s="43">
        <v>45311</v>
      </c>
      <c r="N437" s="16"/>
      <c r="O437" t="s" s="17">
        <v>24</v>
      </c>
    </row>
    <row r="438" ht="30.45" customHeight="1" hidden="1">
      <c r="A438" t="s" s="17">
        <v>49</v>
      </c>
      <c r="B438" t="s" s="5">
        <v>40</v>
      </c>
      <c r="C438" t="s" s="18">
        <v>847</v>
      </c>
      <c r="D438" t="s" s="7">
        <v>151</v>
      </c>
      <c r="E438" s="25">
        <v>45342</v>
      </c>
      <c r="F438" t="s" s="10">
        <v>857</v>
      </c>
      <c r="G438" t="s" s="10">
        <v>858</v>
      </c>
      <c r="H438" s="26">
        <v>13411.43</v>
      </c>
      <c r="I438" s="12">
        <v>12422</v>
      </c>
      <c r="J438" s="15">
        <f>I438-H438</f>
        <v>-989.4299999999999</v>
      </c>
      <c r="K438" t="s" s="14">
        <v>153</v>
      </c>
      <c r="L438" s="15"/>
      <c r="M438" s="43">
        <v>45379</v>
      </c>
      <c r="N438" s="16"/>
      <c r="O438" t="s" s="17">
        <v>24</v>
      </c>
    </row>
    <row r="439" ht="30.45" customHeight="1" hidden="1">
      <c r="A439" t="s" s="17">
        <v>49</v>
      </c>
      <c r="B439" t="s" s="5">
        <v>40</v>
      </c>
      <c r="C439" t="s" s="18">
        <v>847</v>
      </c>
      <c r="D439" t="s" s="7">
        <v>151</v>
      </c>
      <c r="E439" s="25">
        <v>45365</v>
      </c>
      <c r="F439" t="s" s="10">
        <v>859</v>
      </c>
      <c r="G439" t="s" s="10">
        <v>860</v>
      </c>
      <c r="H439" s="26">
        <v>36277.44</v>
      </c>
      <c r="I439" s="12">
        <v>37266</v>
      </c>
      <c r="J439" s="15">
        <f>I439-H439</f>
        <v>988.5599999999999</v>
      </c>
      <c r="K439" t="s" s="14">
        <v>153</v>
      </c>
      <c r="L439" s="15"/>
      <c r="M439" s="8">
        <v>45402</v>
      </c>
      <c r="N439" s="16"/>
      <c r="O439" t="s" s="17">
        <v>24</v>
      </c>
    </row>
    <row r="440" ht="30.45" customHeight="1" hidden="1">
      <c r="A440" t="s" s="30">
        <v>49</v>
      </c>
      <c r="B440" t="s" s="5">
        <v>40</v>
      </c>
      <c r="C440" t="s" s="18">
        <v>847</v>
      </c>
      <c r="D440" t="s" s="7">
        <v>151</v>
      </c>
      <c r="E440" s="8">
        <v>45798</v>
      </c>
      <c r="F440" t="s" s="10">
        <v>861</v>
      </c>
      <c r="G440" t="s" s="10">
        <v>862</v>
      </c>
      <c r="H440" s="15">
        <v>16904.95</v>
      </c>
      <c r="I440" s="12">
        <v>16900</v>
      </c>
      <c r="J440" s="15">
        <f>I440-H440</f>
        <v>-4.95</v>
      </c>
      <c r="K440" t="s" s="14">
        <v>153</v>
      </c>
      <c r="L440" s="20"/>
      <c r="M440" s="16"/>
      <c r="N440" s="20"/>
      <c r="O440" t="s" s="17">
        <v>24</v>
      </c>
    </row>
    <row r="441" ht="30.45" customHeight="1" hidden="1">
      <c r="A441" t="s" s="21">
        <v>20</v>
      </c>
      <c r="B441" t="s" s="5">
        <v>40</v>
      </c>
      <c r="C441" t="s" s="18">
        <v>847</v>
      </c>
      <c r="D441" t="s" s="7">
        <v>151</v>
      </c>
      <c r="E441" s="8">
        <v>45875</v>
      </c>
      <c r="F441" t="s" s="10">
        <v>863</v>
      </c>
      <c r="G441" t="s" s="10">
        <v>864</v>
      </c>
      <c r="H441" s="19">
        <v>11362.54</v>
      </c>
      <c r="I441" s="12">
        <v>11361</v>
      </c>
      <c r="J441" s="15">
        <f>I441-H441</f>
        <v>-1.54</v>
      </c>
      <c r="K441" t="s" s="14">
        <v>153</v>
      </c>
      <c r="L441" s="20"/>
      <c r="M441" s="16"/>
      <c r="N441" s="20"/>
      <c r="O441" t="s" s="17">
        <v>24</v>
      </c>
    </row>
    <row r="442" ht="30.45" customHeight="1" hidden="1">
      <c r="A442" t="s" s="21">
        <v>49</v>
      </c>
      <c r="B442" t="s" s="5">
        <v>40</v>
      </c>
      <c r="C442" t="s" s="18">
        <v>847</v>
      </c>
      <c r="D442" t="s" s="7">
        <v>151</v>
      </c>
      <c r="E442" s="8">
        <v>45924</v>
      </c>
      <c r="F442" t="s" s="10">
        <v>865</v>
      </c>
      <c r="G442" t="s" s="10">
        <v>866</v>
      </c>
      <c r="H442" s="19">
        <v>21868.2</v>
      </c>
      <c r="I442" s="12">
        <v>21868</v>
      </c>
      <c r="J442" s="15">
        <f>I442-H442</f>
        <v>-0.2</v>
      </c>
      <c r="K442" t="s" s="14">
        <v>153</v>
      </c>
      <c r="L442" s="20"/>
      <c r="M442" s="16"/>
      <c r="N442" s="20"/>
      <c r="O442" t="s" s="17">
        <v>24</v>
      </c>
    </row>
    <row r="443" ht="30.45" customHeight="1" hidden="1">
      <c r="A443" t="s" s="21">
        <v>49</v>
      </c>
      <c r="B443" t="s" s="5">
        <v>40</v>
      </c>
      <c r="C443" t="s" s="18">
        <v>847</v>
      </c>
      <c r="D443" t="s" s="7">
        <v>151</v>
      </c>
      <c r="E443" s="8">
        <v>45946</v>
      </c>
      <c r="F443" t="s" s="10">
        <v>867</v>
      </c>
      <c r="G443" t="s" s="10">
        <v>868</v>
      </c>
      <c r="H443" s="19">
        <v>17644.54</v>
      </c>
      <c r="I443" s="12">
        <v>17642.7</v>
      </c>
      <c r="J443" s="15">
        <f>I443-H443</f>
        <v>-1.84</v>
      </c>
      <c r="K443" t="s" s="14">
        <v>153</v>
      </c>
      <c r="L443" s="20"/>
      <c r="M443" s="16"/>
      <c r="N443" s="20"/>
      <c r="O443" t="s" s="17">
        <v>24</v>
      </c>
    </row>
    <row r="444" ht="30.45" customHeight="1" hidden="1">
      <c r="A444" t="s" s="47">
        <v>49</v>
      </c>
      <c r="B444" t="s" s="5">
        <v>40</v>
      </c>
      <c r="C444" t="s" s="18">
        <v>847</v>
      </c>
      <c r="D444" t="s" s="7">
        <v>151</v>
      </c>
      <c r="E444" s="8">
        <v>45995</v>
      </c>
      <c r="F444" t="s" s="10">
        <v>869</v>
      </c>
      <c r="G444" t="s" s="10">
        <v>870</v>
      </c>
      <c r="H444" s="19">
        <v>26409.3</v>
      </c>
      <c r="I444" s="12">
        <f>H444</f>
        <v>26409.3</v>
      </c>
      <c r="J444" s="15">
        <f>I444-H444</f>
        <v>0</v>
      </c>
      <c r="K444" t="s" s="14">
        <v>153</v>
      </c>
      <c r="L444" s="20"/>
      <c r="M444" s="16"/>
      <c r="N444" s="20"/>
      <c r="O444" t="s" s="17">
        <v>24</v>
      </c>
    </row>
    <row r="445" ht="30.45" customHeight="1" hidden="1">
      <c r="A445" t="s" s="17">
        <v>133</v>
      </c>
      <c r="B445" t="s" s="5">
        <v>420</v>
      </c>
      <c r="C445" t="s" s="79">
        <v>847</v>
      </c>
      <c r="D445" t="s" s="7">
        <v>246</v>
      </c>
      <c r="E445" s="25">
        <v>45531</v>
      </c>
      <c r="F445" s="16"/>
      <c r="G445" s="16"/>
      <c r="H445" s="19">
        <v>14400</v>
      </c>
      <c r="I445" s="12">
        <v>14400</v>
      </c>
      <c r="J445" s="15">
        <f>I445-H445</f>
        <v>0</v>
      </c>
      <c r="K445" t="s" s="14">
        <v>153</v>
      </c>
      <c r="L445" s="22"/>
      <c r="M445" s="22"/>
      <c r="N445" s="22"/>
      <c r="O445" t="s" s="17">
        <v>19</v>
      </c>
    </row>
    <row r="446" ht="30.45" customHeight="1" hidden="1">
      <c r="A446" t="s" s="17">
        <v>12</v>
      </c>
      <c r="B446" t="s" s="5">
        <v>97</v>
      </c>
      <c r="C446" t="s" s="64">
        <v>847</v>
      </c>
      <c r="D446" t="s" s="7">
        <v>151</v>
      </c>
      <c r="E446" s="25">
        <v>45303</v>
      </c>
      <c r="F446" s="9">
        <v>4643</v>
      </c>
      <c r="G446" t="s" s="10">
        <v>871</v>
      </c>
      <c r="H446" s="80">
        <v>59974.8</v>
      </c>
      <c r="I446" s="12">
        <v>59972</v>
      </c>
      <c r="J446" s="15">
        <f>I446-H446</f>
        <v>-2.8</v>
      </c>
      <c r="K446" t="s" s="14">
        <v>153</v>
      </c>
      <c r="L446" s="15"/>
      <c r="M446" s="43">
        <v>45342</v>
      </c>
      <c r="N446" t="s" s="11">
        <v>872</v>
      </c>
      <c r="O446" t="s" s="17">
        <v>19</v>
      </c>
    </row>
    <row r="447" ht="30.45" customHeight="1" hidden="1">
      <c r="A447" t="s" s="17">
        <v>20</v>
      </c>
      <c r="B447" t="s" s="5">
        <v>97</v>
      </c>
      <c r="C447" t="s" s="23">
        <v>847</v>
      </c>
      <c r="D447" t="s" s="7">
        <v>151</v>
      </c>
      <c r="E447" s="25">
        <v>45463</v>
      </c>
      <c r="F447" t="s" s="10">
        <v>873</v>
      </c>
      <c r="G447" t="s" s="10">
        <v>874</v>
      </c>
      <c r="H447" s="31">
        <v>35722.1</v>
      </c>
      <c r="I447" s="12">
        <v>35722</v>
      </c>
      <c r="J447" s="15">
        <f>I447-H447</f>
        <v>-0.1</v>
      </c>
      <c r="K447" t="s" s="14">
        <v>153</v>
      </c>
      <c r="L447" s="15"/>
      <c r="M447" s="16"/>
      <c r="N447" s="20"/>
      <c r="O447" t="s" s="17">
        <v>24</v>
      </c>
    </row>
    <row r="448" ht="30.45" customHeight="1" hidden="1">
      <c r="A448" t="s" s="47">
        <v>133</v>
      </c>
      <c r="B448" t="s" s="5">
        <v>61</v>
      </c>
      <c r="C448" t="s" s="23">
        <v>847</v>
      </c>
      <c r="D448" t="s" s="7">
        <v>151</v>
      </c>
      <c r="E448" s="25">
        <v>45216</v>
      </c>
      <c r="F448" t="s" s="10">
        <v>875</v>
      </c>
      <c r="G448" t="s" s="10">
        <v>876</v>
      </c>
      <c r="H448" s="19">
        <v>16557.75</v>
      </c>
      <c r="I448" s="12">
        <v>16557</v>
      </c>
      <c r="J448" t="s" s="4">
        <v>484</v>
      </c>
      <c r="K448" t="s" s="14">
        <v>153</v>
      </c>
      <c r="L448" s="15">
        <f>I448-H448</f>
        <v>-0.75</v>
      </c>
      <c r="M448" s="58">
        <v>45254</v>
      </c>
      <c r="N448" s="20"/>
      <c r="O448" t="s" s="17">
        <v>19</v>
      </c>
    </row>
    <row r="449" ht="30.45" customHeight="1" hidden="1">
      <c r="A449" t="s" s="21">
        <v>501</v>
      </c>
      <c r="B449" t="s" s="5">
        <v>68</v>
      </c>
      <c r="C449" t="s" s="23">
        <v>847</v>
      </c>
      <c r="D449" t="s" s="7">
        <v>151</v>
      </c>
      <c r="E449" s="8">
        <v>46125</v>
      </c>
      <c r="F449" s="10"/>
      <c r="G449" s="10"/>
      <c r="H449" s="19">
        <v>12150</v>
      </c>
      <c r="I449" s="12">
        <v>9000</v>
      </c>
      <c r="J449" s="15">
        <f>I449-H449</f>
        <v>-3150</v>
      </c>
      <c r="K449" t="s" s="14">
        <v>153</v>
      </c>
      <c r="L449" s="20"/>
      <c r="M449" s="8"/>
      <c r="N449" s="20"/>
      <c r="O449" t="s" s="17">
        <v>24</v>
      </c>
    </row>
    <row r="450" ht="30.45" customHeight="1" hidden="1">
      <c r="A450" s="32"/>
      <c r="B450" t="s" s="5">
        <v>40</v>
      </c>
      <c r="C450" t="s" s="33">
        <v>847</v>
      </c>
      <c r="D450" t="s" s="7">
        <v>151</v>
      </c>
      <c r="E450" s="8"/>
      <c r="F450" s="10"/>
      <c r="G450" s="10"/>
      <c r="H450" s="15"/>
      <c r="I450" s="26"/>
      <c r="J450" s="15">
        <f>I450-H450</f>
        <v>0</v>
      </c>
      <c r="K450" t="s" s="14">
        <v>24</v>
      </c>
      <c r="L450" s="20"/>
      <c r="M450" s="16"/>
      <c r="N450" s="20"/>
      <c r="O450" t="s" s="17">
        <v>24</v>
      </c>
    </row>
    <row r="451" ht="30.45" customHeight="1" hidden="1">
      <c r="A451" t="s" s="17">
        <v>39</v>
      </c>
      <c r="B451" t="s" s="5">
        <v>79</v>
      </c>
      <c r="C451" t="s" s="18">
        <v>877</v>
      </c>
      <c r="D451" t="s" s="7">
        <v>319</v>
      </c>
      <c r="E451" s="25">
        <v>45476</v>
      </c>
      <c r="F451" t="s" s="10">
        <v>581</v>
      </c>
      <c r="G451" t="s" s="10">
        <v>878</v>
      </c>
      <c r="H451" s="19">
        <v>10401.6</v>
      </c>
      <c r="I451" s="12">
        <v>10401.6</v>
      </c>
      <c r="J451" s="15">
        <f>I451-H451</f>
        <v>0</v>
      </c>
      <c r="K451" t="s" s="14">
        <v>17</v>
      </c>
      <c r="L451" s="20"/>
      <c r="M451" s="16"/>
      <c r="N451" t="s" s="81">
        <v>328</v>
      </c>
      <c r="O451" t="s" s="17">
        <v>24</v>
      </c>
    </row>
    <row r="452" ht="30.45" customHeight="1" hidden="1">
      <c r="A452" t="s" s="4">
        <v>39</v>
      </c>
      <c r="B452" t="s" s="5">
        <v>30</v>
      </c>
      <c r="C452" t="s" s="18">
        <v>879</v>
      </c>
      <c r="D452" t="s" s="7">
        <v>206</v>
      </c>
      <c r="E452" s="8">
        <v>45911</v>
      </c>
      <c r="F452" s="10"/>
      <c r="G452" t="s" s="10">
        <v>880</v>
      </c>
      <c r="H452" s="19">
        <v>9719</v>
      </c>
      <c r="I452" s="12">
        <v>9719</v>
      </c>
      <c r="J452" s="13">
        <f>I452-H452</f>
        <v>0</v>
      </c>
      <c r="K452" t="s" s="14">
        <v>209</v>
      </c>
      <c r="L452" s="20"/>
      <c r="M452" s="16"/>
      <c r="N452" s="20"/>
      <c r="O452" t="s" s="17">
        <v>24</v>
      </c>
    </row>
    <row r="453" ht="30.45" customHeight="1" hidden="1">
      <c r="A453" t="s" s="17">
        <v>39</v>
      </c>
      <c r="B453" t="s" s="5">
        <v>68</v>
      </c>
      <c r="C453" t="s" s="64">
        <v>881</v>
      </c>
      <c r="D453" t="s" s="7">
        <v>319</v>
      </c>
      <c r="E453" s="25">
        <v>45317</v>
      </c>
      <c r="F453" s="16"/>
      <c r="G453" s="16"/>
      <c r="H453" s="19">
        <v>5827.2</v>
      </c>
      <c r="I453" s="12">
        <v>5827.2</v>
      </c>
      <c r="J453" s="15"/>
      <c r="K453" t="s" s="14">
        <v>17</v>
      </c>
      <c r="L453" s="15"/>
      <c r="M453" s="43">
        <v>45350</v>
      </c>
      <c r="N453" t="s" s="65">
        <v>882</v>
      </c>
      <c r="O453" t="s" s="17">
        <v>24</v>
      </c>
    </row>
    <row r="454" ht="30.45" customHeight="1" hidden="1">
      <c r="A454" t="s" s="4">
        <v>133</v>
      </c>
      <c r="B454" t="s" s="5">
        <v>68</v>
      </c>
      <c r="C454" t="s" s="23">
        <v>881</v>
      </c>
      <c r="D454" t="s" s="7">
        <v>319</v>
      </c>
      <c r="E454" s="25">
        <v>45565</v>
      </c>
      <c r="F454" s="16"/>
      <c r="G454" s="10"/>
      <c r="H454" s="19">
        <v>20000</v>
      </c>
      <c r="I454" s="12">
        <v>20000</v>
      </c>
      <c r="J454" s="15">
        <f>I454-H454</f>
        <v>0</v>
      </c>
      <c r="K454" t="s" s="14">
        <v>17</v>
      </c>
      <c r="L454" s="15"/>
      <c r="M454" s="22"/>
      <c r="N454" s="20"/>
      <c r="O454" t="s" s="17">
        <v>19</v>
      </c>
    </row>
    <row r="455" ht="30.45" customHeight="1" hidden="1">
      <c r="A455" t="s" s="47">
        <v>133</v>
      </c>
      <c r="B455" t="s" s="5">
        <v>633</v>
      </c>
      <c r="C455" t="s" s="18">
        <v>883</v>
      </c>
      <c r="D455" t="s" s="7">
        <v>884</v>
      </c>
      <c r="E455" s="8">
        <v>45563</v>
      </c>
      <c r="F455" t="s" s="10">
        <v>885</v>
      </c>
      <c r="G455" t="s" s="10">
        <v>886</v>
      </c>
      <c r="H455" s="19">
        <v>16555.98</v>
      </c>
      <c r="I455" s="12">
        <v>16143.94</v>
      </c>
      <c r="J455" s="15">
        <f>I455-H455</f>
        <v>-412.04</v>
      </c>
      <c r="K455" t="s" s="14">
        <v>887</v>
      </c>
      <c r="L455" s="20"/>
      <c r="M455" s="8"/>
      <c r="N455" s="20"/>
      <c r="O455" t="s" s="17">
        <v>19</v>
      </c>
    </row>
    <row r="456" ht="30.45" customHeight="1" hidden="1">
      <c r="A456" t="s" s="17">
        <v>49</v>
      </c>
      <c r="B456" t="s" s="5">
        <v>633</v>
      </c>
      <c r="C456" t="s" s="28">
        <v>883</v>
      </c>
      <c r="D456" t="s" s="7">
        <v>888</v>
      </c>
      <c r="E456" s="8">
        <v>45834</v>
      </c>
      <c r="F456" t="s" s="10">
        <v>889</v>
      </c>
      <c r="G456" t="s" s="10">
        <v>890</v>
      </c>
      <c r="H456" s="29">
        <v>14476.21</v>
      </c>
      <c r="I456" s="12">
        <v>14466.21</v>
      </c>
      <c r="J456" s="13">
        <f>I456-H456</f>
        <v>-10</v>
      </c>
      <c r="K456" t="s" s="14">
        <v>887</v>
      </c>
      <c r="L456" s="20"/>
      <c r="M456" s="16"/>
      <c r="N456" s="20"/>
      <c r="O456" t="s" s="17">
        <v>24</v>
      </c>
    </row>
    <row r="457" ht="30.45" customHeight="1" hidden="1">
      <c r="A457" t="s" s="17">
        <v>39</v>
      </c>
      <c r="B457" t="s" s="5">
        <v>40</v>
      </c>
      <c r="C457" t="s" s="18">
        <v>883</v>
      </c>
      <c r="D457" t="s" s="7">
        <v>884</v>
      </c>
      <c r="E457" s="25">
        <v>45205</v>
      </c>
      <c r="F457" s="9">
        <v>366</v>
      </c>
      <c r="G457" t="s" s="10">
        <v>891</v>
      </c>
      <c r="H457" s="26">
        <v>24840.44</v>
      </c>
      <c r="I457" s="26"/>
      <c r="J457" s="15"/>
      <c r="K457" t="s" s="14">
        <v>887</v>
      </c>
      <c r="L457" s="15"/>
      <c r="M457" s="27">
        <v>45241</v>
      </c>
      <c r="N457" s="16"/>
      <c r="O457" t="s" s="17">
        <v>24</v>
      </c>
    </row>
    <row r="458" ht="30.45" customHeight="1" hidden="1">
      <c r="A458" t="s" s="17">
        <v>39</v>
      </c>
      <c r="B458" t="s" s="5">
        <v>40</v>
      </c>
      <c r="C458" t="s" s="18">
        <v>883</v>
      </c>
      <c r="D458" t="s" s="7">
        <v>884</v>
      </c>
      <c r="E458" s="8">
        <v>45553</v>
      </c>
      <c r="F458" t="s" s="10">
        <v>892</v>
      </c>
      <c r="G458" t="s" s="10">
        <v>893</v>
      </c>
      <c r="H458" s="15">
        <v>7237.96</v>
      </c>
      <c r="I458" s="12">
        <v>7650</v>
      </c>
      <c r="J458" s="15">
        <f>I458-H458</f>
        <v>412.04</v>
      </c>
      <c r="K458" t="s" s="14">
        <v>887</v>
      </c>
      <c r="L458" s="20"/>
      <c r="M458" s="16"/>
      <c r="N458" s="20"/>
      <c r="O458" t="s" s="17">
        <v>24</v>
      </c>
    </row>
    <row r="459" ht="30.45" customHeight="1" hidden="1">
      <c r="A459" t="s" s="17">
        <v>20</v>
      </c>
      <c r="B459" t="s" s="5">
        <v>40</v>
      </c>
      <c r="C459" t="s" s="18">
        <v>883</v>
      </c>
      <c r="D459" t="s" s="7">
        <v>884</v>
      </c>
      <c r="E459" s="8">
        <v>45589</v>
      </c>
      <c r="F459" t="s" s="10">
        <v>894</v>
      </c>
      <c r="G459" t="s" s="10">
        <v>895</v>
      </c>
      <c r="H459" s="24">
        <v>10772.13</v>
      </c>
      <c r="I459" s="12">
        <v>10772.13</v>
      </c>
      <c r="J459" s="15">
        <f>I459-H459</f>
        <v>0</v>
      </c>
      <c r="K459" t="s" s="14">
        <v>887</v>
      </c>
      <c r="L459" s="20"/>
      <c r="M459" s="16"/>
      <c r="N459" s="20"/>
      <c r="O459" t="s" s="17">
        <v>24</v>
      </c>
    </row>
    <row r="460" ht="30.45" customHeight="1" hidden="1">
      <c r="A460" t="s" s="21">
        <v>20</v>
      </c>
      <c r="B460" t="s" s="5">
        <v>40</v>
      </c>
      <c r="C460" t="s" s="18">
        <v>883</v>
      </c>
      <c r="D460" t="s" s="7">
        <v>888</v>
      </c>
      <c r="E460" s="8">
        <v>46083</v>
      </c>
      <c r="F460" t="s" s="10">
        <v>896</v>
      </c>
      <c r="G460" t="s" s="10">
        <v>897</v>
      </c>
      <c r="H460" s="19">
        <v>29338.25</v>
      </c>
      <c r="I460" s="12">
        <v>29338.26</v>
      </c>
      <c r="J460" s="15">
        <f>I460-H460</f>
        <v>0.01</v>
      </c>
      <c r="K460" t="s" s="14">
        <v>887</v>
      </c>
      <c r="L460" s="20"/>
      <c r="M460" s="16"/>
      <c r="N460" s="20"/>
      <c r="O460" t="s" s="17">
        <v>24</v>
      </c>
    </row>
    <row r="461" ht="30.45" customHeight="1" hidden="1">
      <c r="A461" t="s" s="21">
        <v>20</v>
      </c>
      <c r="B461" t="s" s="5">
        <v>97</v>
      </c>
      <c r="C461" t="s" s="18">
        <v>883</v>
      </c>
      <c r="D461" t="s" s="7">
        <v>888</v>
      </c>
      <c r="E461" s="25">
        <v>46120</v>
      </c>
      <c r="F461" t="s" s="10">
        <v>898</v>
      </c>
      <c r="G461" t="s" s="10">
        <v>899</v>
      </c>
      <c r="H461" s="19">
        <v>99984.399999999994</v>
      </c>
      <c r="I461" s="12">
        <f>H461</f>
        <v>99984.399999999994</v>
      </c>
      <c r="J461" s="13">
        <f>I461-H461</f>
        <v>0</v>
      </c>
      <c r="K461" t="s" s="14">
        <v>887</v>
      </c>
      <c r="L461" s="20"/>
      <c r="M461" s="16"/>
      <c r="N461" s="20"/>
      <c r="O461" t="s" s="17">
        <v>24</v>
      </c>
    </row>
    <row r="462" ht="30.45" customHeight="1" hidden="1">
      <c r="A462" s="32"/>
      <c r="B462" t="s" s="5">
        <v>40</v>
      </c>
      <c r="C462" t="s" s="33">
        <v>883</v>
      </c>
      <c r="D462" t="s" s="7">
        <v>888</v>
      </c>
      <c r="E462" s="8"/>
      <c r="F462" s="10"/>
      <c r="G462" t="s" s="10">
        <v>900</v>
      </c>
      <c r="H462" s="15"/>
      <c r="I462" s="26"/>
      <c r="J462" s="15">
        <f>I462-H462</f>
        <v>0</v>
      </c>
      <c r="K462" t="s" s="14">
        <v>24</v>
      </c>
      <c r="L462" s="20"/>
      <c r="M462" s="16"/>
      <c r="N462" s="20"/>
      <c r="O462" t="s" s="17">
        <v>24</v>
      </c>
    </row>
    <row r="463" ht="30.45" customHeight="1" hidden="1">
      <c r="A463" t="s" s="21">
        <v>20</v>
      </c>
      <c r="B463" t="s" s="5">
        <v>40</v>
      </c>
      <c r="C463" t="s" s="18">
        <v>901</v>
      </c>
      <c r="D463" t="s" s="7">
        <v>888</v>
      </c>
      <c r="E463" s="8">
        <v>45875</v>
      </c>
      <c r="F463" t="s" s="10">
        <v>902</v>
      </c>
      <c r="G463" t="s" s="10">
        <v>903</v>
      </c>
      <c r="H463" s="19">
        <v>25494.91</v>
      </c>
      <c r="I463" s="12">
        <v>25494.9</v>
      </c>
      <c r="J463" s="15">
        <f>I463-H463</f>
        <v>-0.01</v>
      </c>
      <c r="K463" t="s" s="14">
        <v>887</v>
      </c>
      <c r="L463" s="20"/>
      <c r="M463" s="16"/>
      <c r="N463" s="20"/>
      <c r="O463" t="s" s="17">
        <v>24</v>
      </c>
    </row>
    <row r="464" ht="30.45" customHeight="1" hidden="1">
      <c r="A464" t="s" s="30">
        <v>599</v>
      </c>
      <c r="B464" t="s" s="5">
        <v>79</v>
      </c>
      <c r="C464" t="s" s="28">
        <v>904</v>
      </c>
      <c r="D464" t="s" s="7">
        <v>379</v>
      </c>
      <c r="E464" s="25">
        <v>45946</v>
      </c>
      <c r="F464" s="16"/>
      <c r="G464" s="10"/>
      <c r="H464" s="50">
        <v>32045.6</v>
      </c>
      <c r="I464" s="12">
        <v>32053.6</v>
      </c>
      <c r="J464" s="13">
        <f>I464-H464</f>
        <v>8</v>
      </c>
      <c r="K464" t="s" s="14">
        <v>87</v>
      </c>
      <c r="L464" s="20"/>
      <c r="M464" s="16"/>
      <c r="N464" s="20"/>
      <c r="O464" t="s" s="17">
        <v>19</v>
      </c>
    </row>
    <row r="465" ht="30.45" customHeight="1" hidden="1">
      <c r="A465" t="s" s="21">
        <v>20</v>
      </c>
      <c r="B465" t="s" s="5">
        <v>30</v>
      </c>
      <c r="C465" t="s" s="18">
        <v>904</v>
      </c>
      <c r="D465" t="s" s="7">
        <v>379</v>
      </c>
      <c r="E465" s="8">
        <v>46023</v>
      </c>
      <c r="F465" s="10"/>
      <c r="G465" t="s" s="10">
        <v>32</v>
      </c>
      <c r="H465" s="19">
        <v>11843.0272</v>
      </c>
      <c r="I465" s="12">
        <v>11848.78</v>
      </c>
      <c r="J465" s="13">
        <f>I465-H465</f>
        <v>5.7528</v>
      </c>
      <c r="K465" t="s" s="14">
        <v>87</v>
      </c>
      <c r="L465" s="20"/>
      <c r="M465" s="16"/>
      <c r="N465" s="20"/>
      <c r="O465" t="s" s="17">
        <v>24</v>
      </c>
    </row>
    <row r="466" ht="30.45" customHeight="1" hidden="1">
      <c r="A466" t="s" s="82">
        <v>599</v>
      </c>
      <c r="B466" t="s" s="5">
        <v>79</v>
      </c>
      <c r="C466" t="s" s="83">
        <v>904</v>
      </c>
      <c r="D466" t="s" s="7">
        <v>379</v>
      </c>
      <c r="E466" s="25">
        <v>46101</v>
      </c>
      <c r="F466" t="s" s="10">
        <v>905</v>
      </c>
      <c r="G466" t="s" s="10">
        <v>906</v>
      </c>
      <c r="H466" s="84">
        <v>20242.5</v>
      </c>
      <c r="I466" s="12">
        <v>11960</v>
      </c>
      <c r="J466" s="13">
        <f>I466-H466</f>
        <v>-8282.5</v>
      </c>
      <c r="K466" t="s" s="14">
        <v>87</v>
      </c>
      <c r="L466" s="20"/>
      <c r="M466" s="16"/>
      <c r="N466" s="20"/>
      <c r="O466" t="s" s="17">
        <v>24</v>
      </c>
    </row>
    <row r="467" ht="30.45" customHeight="1" hidden="1">
      <c r="A467" t="s" s="47">
        <v>112</v>
      </c>
      <c r="B467" t="s" s="5">
        <v>79</v>
      </c>
      <c r="C467" t="s" s="52">
        <v>904</v>
      </c>
      <c r="D467" t="s" s="7">
        <v>379</v>
      </c>
      <c r="E467" s="25">
        <v>46133</v>
      </c>
      <c r="F467" s="10"/>
      <c r="G467" s="10"/>
      <c r="H467" s="42">
        <v>28800</v>
      </c>
      <c r="I467" s="26"/>
      <c r="J467" s="13">
        <f>I467-H467</f>
        <v>-28800</v>
      </c>
      <c r="K467" t="s" s="14">
        <v>87</v>
      </c>
      <c r="L467" s="20"/>
      <c r="M467" s="16"/>
      <c r="N467" s="20"/>
      <c r="O467" t="s" s="17">
        <v>24</v>
      </c>
    </row>
    <row r="468" ht="30.45" customHeight="1" hidden="1">
      <c r="A468" t="s" s="21">
        <v>20</v>
      </c>
      <c r="B468" t="s" s="5">
        <v>633</v>
      </c>
      <c r="C468" t="s" s="18">
        <v>907</v>
      </c>
      <c r="D468" t="s" s="7">
        <v>379</v>
      </c>
      <c r="E468" s="8">
        <v>45762</v>
      </c>
      <c r="F468" t="s" s="10">
        <v>908</v>
      </c>
      <c r="G468" t="s" s="10">
        <v>909</v>
      </c>
      <c r="H468" s="19">
        <v>19441.99</v>
      </c>
      <c r="I468" s="12">
        <v>19441.98</v>
      </c>
      <c r="J468" s="13">
        <f>I468-H468</f>
        <v>-0.01</v>
      </c>
      <c r="K468" t="s" s="14">
        <v>87</v>
      </c>
      <c r="L468" s="20"/>
      <c r="M468" s="16"/>
      <c r="N468" s="20"/>
      <c r="O468" t="s" s="17">
        <v>24</v>
      </c>
    </row>
    <row r="469" ht="30.45" customHeight="1" hidden="1">
      <c r="A469" t="s" s="17">
        <v>39</v>
      </c>
      <c r="B469" t="s" s="5">
        <v>30</v>
      </c>
      <c r="C469" t="s" s="28">
        <v>907</v>
      </c>
      <c r="D469" t="s" s="7">
        <v>379</v>
      </c>
      <c r="E469" s="27">
        <v>45273</v>
      </c>
      <c r="F469" s="16"/>
      <c r="G469" s="16"/>
      <c r="H469" s="19">
        <v>593.1</v>
      </c>
      <c r="I469" s="12">
        <v>593.1</v>
      </c>
      <c r="J469" s="15"/>
      <c r="K469" t="s" s="14">
        <v>87</v>
      </c>
      <c r="L469" s="20"/>
      <c r="M469" t="s" s="59">
        <v>142</v>
      </c>
      <c r="N469" t="s" s="10">
        <v>39</v>
      </c>
      <c r="O469" t="s" s="17">
        <v>24</v>
      </c>
    </row>
    <row r="470" ht="30.45" customHeight="1" hidden="1">
      <c r="A470" t="s" s="21">
        <v>20</v>
      </c>
      <c r="B470" t="s" s="5">
        <v>30</v>
      </c>
      <c r="C470" t="s" s="18">
        <v>907</v>
      </c>
      <c r="D470" t="s" s="7">
        <v>379</v>
      </c>
      <c r="E470" s="8">
        <v>45870</v>
      </c>
      <c r="F470" s="10"/>
      <c r="G470" t="s" s="10">
        <v>910</v>
      </c>
      <c r="H470" s="19">
        <v>40327</v>
      </c>
      <c r="I470" s="12">
        <v>40327</v>
      </c>
      <c r="J470" s="13">
        <f>I470-H470</f>
        <v>0</v>
      </c>
      <c r="K470" t="s" s="14">
        <v>87</v>
      </c>
      <c r="L470" s="20"/>
      <c r="M470" s="16"/>
      <c r="N470" s="20"/>
      <c r="O470" t="s" s="17">
        <v>24</v>
      </c>
    </row>
    <row r="471" ht="30.45" customHeight="1" hidden="1">
      <c r="A471" t="s" s="21">
        <v>20</v>
      </c>
      <c r="B471" t="s" s="5">
        <v>40</v>
      </c>
      <c r="C471" t="s" s="18">
        <v>907</v>
      </c>
      <c r="D471" t="s" s="7">
        <v>379</v>
      </c>
      <c r="E471" s="8">
        <v>46101</v>
      </c>
      <c r="F471" t="s" s="10">
        <v>911</v>
      </c>
      <c r="G471" t="s" s="10">
        <v>912</v>
      </c>
      <c r="H471" s="19">
        <v>37979.98</v>
      </c>
      <c r="I471" s="12">
        <v>37980.14</v>
      </c>
      <c r="J471" s="15">
        <f>I471-H471</f>
        <v>0.16</v>
      </c>
      <c r="K471" t="s" s="14">
        <v>87</v>
      </c>
      <c r="L471" s="20"/>
      <c r="M471" s="16"/>
      <c r="N471" s="20"/>
      <c r="O471" t="s" s="17">
        <v>24</v>
      </c>
    </row>
    <row r="472" ht="30.45" customHeight="1" hidden="1">
      <c r="A472" t="s" s="17">
        <v>39</v>
      </c>
      <c r="B472" t="s" s="5">
        <v>29</v>
      </c>
      <c r="C472" t="s" s="18">
        <v>913</v>
      </c>
      <c r="D472" t="s" s="7">
        <v>914</v>
      </c>
      <c r="E472" s="8">
        <v>45264</v>
      </c>
      <c r="F472" t="s" s="10">
        <v>24</v>
      </c>
      <c r="G472" s="55">
        <v>1730</v>
      </c>
      <c r="H472" s="26">
        <v>8132.3</v>
      </c>
      <c r="I472" s="26"/>
      <c r="J472" s="15"/>
      <c r="K472" t="s" s="14">
        <v>84</v>
      </c>
      <c r="L472" s="20"/>
      <c r="M472" s="85">
        <v>45301</v>
      </c>
      <c r="N472" s="16"/>
      <c r="O472" t="s" s="17">
        <v>24</v>
      </c>
    </row>
    <row r="473" ht="30.45" customHeight="1" hidden="1">
      <c r="A473" t="s" s="21">
        <v>20</v>
      </c>
      <c r="B473" t="s" s="5">
        <v>29</v>
      </c>
      <c r="C473" t="s" s="18">
        <v>913</v>
      </c>
      <c r="D473" t="s" s="7">
        <v>914</v>
      </c>
      <c r="E473" s="8">
        <v>45793</v>
      </c>
      <c r="F473" t="s" s="10">
        <v>24</v>
      </c>
      <c r="G473" t="s" s="10">
        <v>915</v>
      </c>
      <c r="H473" s="19">
        <v>13235.41</v>
      </c>
      <c r="I473" s="12">
        <v>13235.41</v>
      </c>
      <c r="J473" s="13">
        <f>I473-H473</f>
        <v>0</v>
      </c>
      <c r="K473" t="s" s="14">
        <v>84</v>
      </c>
      <c r="L473" s="20"/>
      <c r="M473" s="20"/>
      <c r="N473" s="16"/>
      <c r="O473" t="s" s="17">
        <v>24</v>
      </c>
    </row>
    <row r="474" ht="30.45" customHeight="1" hidden="1">
      <c r="A474" t="s" s="21">
        <v>20</v>
      </c>
      <c r="B474" t="s" s="5">
        <v>40</v>
      </c>
      <c r="C474" t="s" s="18">
        <v>916</v>
      </c>
      <c r="D474" t="s" s="7">
        <v>90</v>
      </c>
      <c r="E474" s="8">
        <v>45924</v>
      </c>
      <c r="F474" t="s" s="10">
        <v>917</v>
      </c>
      <c r="G474" t="s" s="10">
        <v>918</v>
      </c>
      <c r="H474" s="19">
        <v>8988.74</v>
      </c>
      <c r="I474" s="12">
        <v>8989</v>
      </c>
      <c r="J474" s="15">
        <f>I474-H474</f>
        <v>0.26</v>
      </c>
      <c r="K474" t="s" s="14">
        <v>87</v>
      </c>
      <c r="L474" s="20"/>
      <c r="M474" s="16"/>
      <c r="N474" s="20"/>
      <c r="O474" t="s" s="17">
        <v>24</v>
      </c>
    </row>
    <row r="475" ht="30.45" customHeight="1" hidden="1">
      <c r="A475" t="s" s="30">
        <v>49</v>
      </c>
      <c r="B475" t="s" s="5">
        <v>47</v>
      </c>
      <c r="C475" t="s" s="18">
        <v>916</v>
      </c>
      <c r="D475" t="s" s="7">
        <v>90</v>
      </c>
      <c r="E475" s="8">
        <v>45856</v>
      </c>
      <c r="F475" t="s" s="10">
        <v>616</v>
      </c>
      <c r="G475" t="s" s="10">
        <v>919</v>
      </c>
      <c r="H475" s="19">
        <v>19086.84</v>
      </c>
      <c r="I475" s="12">
        <v>19089</v>
      </c>
      <c r="J475" s="15">
        <f>I475-H475</f>
        <v>2.16</v>
      </c>
      <c r="K475" t="s" s="14">
        <v>87</v>
      </c>
      <c r="L475" s="20"/>
      <c r="M475" s="8"/>
      <c r="N475" s="20"/>
      <c r="O475" t="s" s="17">
        <v>24</v>
      </c>
    </row>
    <row r="476" ht="30.45" customHeight="1" hidden="1">
      <c r="A476" t="s" s="17">
        <v>49</v>
      </c>
      <c r="B476" t="s" s="5">
        <v>47</v>
      </c>
      <c r="C476" t="s" s="18">
        <v>920</v>
      </c>
      <c r="D476" t="s" s="7">
        <v>921</v>
      </c>
      <c r="E476" s="8">
        <v>45260</v>
      </c>
      <c r="F476" s="9">
        <v>10257</v>
      </c>
      <c r="G476" t="s" s="10">
        <v>922</v>
      </c>
      <c r="H476" s="26">
        <v>10682.17</v>
      </c>
      <c r="I476" s="12">
        <v>10682.25</v>
      </c>
      <c r="J476" s="15">
        <f>I476-H476</f>
        <v>0.08</v>
      </c>
      <c r="K476" t="s" s="14">
        <v>24</v>
      </c>
      <c r="L476" s="15"/>
      <c r="M476" s="27">
        <v>45290</v>
      </c>
      <c r="N476" s="20"/>
      <c r="O476" t="s" s="17">
        <v>24</v>
      </c>
    </row>
    <row r="477" ht="30.45" customHeight="1" hidden="1">
      <c r="A477" t="s" s="17">
        <v>39</v>
      </c>
      <c r="B477" t="s" s="5">
        <v>21</v>
      </c>
      <c r="C477" t="s" s="18">
        <v>923</v>
      </c>
      <c r="D477" t="s" s="7">
        <v>379</v>
      </c>
      <c r="E477" s="8">
        <v>45429</v>
      </c>
      <c r="F477" t="s" s="10">
        <v>924</v>
      </c>
      <c r="G477" t="s" s="10">
        <v>925</v>
      </c>
      <c r="H477" s="19">
        <v>30213.55</v>
      </c>
      <c r="I477" s="12">
        <v>30213.55</v>
      </c>
      <c r="J477" s="15">
        <f>I477-H477</f>
        <v>0</v>
      </c>
      <c r="K477" t="s" s="14">
        <v>87</v>
      </c>
      <c r="L477" s="13"/>
      <c r="M477" s="8">
        <v>45465</v>
      </c>
      <c r="N477" t="s" s="86">
        <v>926</v>
      </c>
      <c r="O477" t="s" s="17">
        <v>24</v>
      </c>
    </row>
    <row r="478" ht="30.45" customHeight="1" hidden="1">
      <c r="A478" t="s" s="17">
        <v>39</v>
      </c>
      <c r="B478" t="s" s="5">
        <v>79</v>
      </c>
      <c r="C478" t="s" s="18">
        <v>923</v>
      </c>
      <c r="D478" t="s" s="7">
        <v>379</v>
      </c>
      <c r="E478" s="41">
        <v>45259</v>
      </c>
      <c r="F478" s="9">
        <v>9</v>
      </c>
      <c r="G478" s="16"/>
      <c r="H478" s="19">
        <v>4544</v>
      </c>
      <c r="I478" s="12">
        <v>4544</v>
      </c>
      <c r="J478" s="15"/>
      <c r="K478" t="s" s="14">
        <v>87</v>
      </c>
      <c r="L478" s="39"/>
      <c r="M478" s="16"/>
      <c r="N478" s="16"/>
      <c r="O478" t="s" s="17">
        <v>24</v>
      </c>
    </row>
    <row r="479" ht="30.45" customHeight="1" hidden="1">
      <c r="A479" t="s" s="17">
        <v>39</v>
      </c>
      <c r="B479" t="s" s="5">
        <v>79</v>
      </c>
      <c r="C479" t="s" s="28">
        <v>923</v>
      </c>
      <c r="D479" t="s" s="7">
        <v>379</v>
      </c>
      <c r="E479" s="25">
        <v>45502</v>
      </c>
      <c r="F479" t="s" s="10">
        <v>82</v>
      </c>
      <c r="G479" t="s" s="10">
        <v>927</v>
      </c>
      <c r="H479" s="50">
        <v>17440</v>
      </c>
      <c r="I479" s="12">
        <v>17440</v>
      </c>
      <c r="J479" s="13">
        <f>I479-H479</f>
        <v>0</v>
      </c>
      <c r="K479" t="s" s="14">
        <v>24</v>
      </c>
      <c r="L479" s="20"/>
      <c r="M479" s="16"/>
      <c r="N479" s="20"/>
      <c r="O479" t="s" s="17">
        <v>24</v>
      </c>
    </row>
    <row r="480" ht="30.45" customHeight="1" hidden="1">
      <c r="A480" t="s" s="17">
        <v>39</v>
      </c>
      <c r="B480" t="s" s="5">
        <v>317</v>
      </c>
      <c r="C480" t="s" s="18">
        <v>923</v>
      </c>
      <c r="D480" t="s" s="7">
        <v>379</v>
      </c>
      <c r="E480" s="8">
        <v>45295</v>
      </c>
      <c r="F480" s="9">
        <v>121</v>
      </c>
      <c r="G480" t="s" s="10">
        <v>928</v>
      </c>
      <c r="H480" s="19">
        <v>7110.3</v>
      </c>
      <c r="I480" s="40">
        <v>7110.3</v>
      </c>
      <c r="J480" s="15"/>
      <c r="K480" t="s" s="14">
        <v>87</v>
      </c>
      <c r="L480" s="15"/>
      <c r="M480" t="s" s="10">
        <v>142</v>
      </c>
      <c r="N480" t="s" s="63">
        <v>929</v>
      </c>
      <c r="O480" t="s" s="17">
        <v>24</v>
      </c>
    </row>
    <row r="481" ht="30.45" customHeight="1" hidden="1">
      <c r="A481" t="s" s="4">
        <v>39</v>
      </c>
      <c r="B481" t="s" s="5">
        <v>61</v>
      </c>
      <c r="C481" t="s" s="18">
        <v>923</v>
      </c>
      <c r="D481" t="s" s="7">
        <v>379</v>
      </c>
      <c r="E481" s="25">
        <v>45555</v>
      </c>
      <c r="F481" t="s" s="10">
        <v>930</v>
      </c>
      <c r="G481" t="s" s="10">
        <v>931</v>
      </c>
      <c r="H481" s="19">
        <v>25986.48</v>
      </c>
      <c r="I481" s="12">
        <v>25986.48</v>
      </c>
      <c r="J481" s="15">
        <f>I481-H481</f>
        <v>0</v>
      </c>
      <c r="K481" t="s" s="14">
        <v>87</v>
      </c>
      <c r="L481" s="15"/>
      <c r="M481" s="16"/>
      <c r="N481" s="20"/>
      <c r="O481" t="s" s="17">
        <v>24</v>
      </c>
    </row>
    <row r="482" ht="30.45" customHeight="1" hidden="1">
      <c r="A482" t="s" s="17">
        <v>49</v>
      </c>
      <c r="B482" t="s" s="5">
        <v>40</v>
      </c>
      <c r="C482" t="s" s="18">
        <v>932</v>
      </c>
      <c r="D482" t="s" s="7">
        <v>423</v>
      </c>
      <c r="E482" s="8">
        <v>45902</v>
      </c>
      <c r="F482" t="s" s="10">
        <v>933</v>
      </c>
      <c r="G482" t="s" s="10">
        <v>934</v>
      </c>
      <c r="H482" s="19">
        <v>24946.79</v>
      </c>
      <c r="I482" s="12">
        <v>24946.79</v>
      </c>
      <c r="J482" s="15">
        <f>I482-H482</f>
        <v>0</v>
      </c>
      <c r="K482" t="s" s="14">
        <v>306</v>
      </c>
      <c r="L482" s="20"/>
      <c r="M482" s="16"/>
      <c r="N482" s="20"/>
      <c r="O482" t="s" s="17">
        <v>24</v>
      </c>
    </row>
    <row r="483" ht="30.45" customHeight="1" hidden="1">
      <c r="A483" t="s" s="17">
        <v>517</v>
      </c>
      <c r="B483" t="s" s="5">
        <v>40</v>
      </c>
      <c r="C483" t="s" s="33">
        <v>932</v>
      </c>
      <c r="D483" t="s" s="7">
        <v>423</v>
      </c>
      <c r="E483" s="8"/>
      <c r="F483" s="10"/>
      <c r="G483" t="s" s="10">
        <v>935</v>
      </c>
      <c r="H483" s="15"/>
      <c r="I483" s="26"/>
      <c r="J483" s="15">
        <f>I483-H483</f>
        <v>0</v>
      </c>
      <c r="K483" t="s" s="14">
        <v>24</v>
      </c>
      <c r="L483" s="20"/>
      <c r="M483" s="16"/>
      <c r="N483" s="20"/>
      <c r="O483" t="s" s="17">
        <v>24</v>
      </c>
    </row>
    <row r="484" ht="30.45" customHeight="1" hidden="1">
      <c r="A484" t="s" s="4">
        <v>133</v>
      </c>
      <c r="B484" t="s" s="5">
        <v>68</v>
      </c>
      <c r="C484" t="s" s="23">
        <v>936</v>
      </c>
      <c r="D484" t="s" s="7">
        <v>151</v>
      </c>
      <c r="E484" s="8">
        <v>45397</v>
      </c>
      <c r="F484" s="16"/>
      <c r="G484" s="10"/>
      <c r="H484" s="19">
        <v>14520</v>
      </c>
      <c r="I484" s="29">
        <v>14520</v>
      </c>
      <c r="J484" s="15">
        <f>I484-H484</f>
        <v>0</v>
      </c>
      <c r="K484" t="s" s="14">
        <v>153</v>
      </c>
      <c r="L484" s="15"/>
      <c r="M484" s="87">
        <v>45431</v>
      </c>
      <c r="N484" s="20"/>
      <c r="O484" t="s" s="17">
        <v>19</v>
      </c>
    </row>
    <row r="485" ht="30.45" customHeight="1" hidden="1">
      <c r="A485" t="s" s="17">
        <v>20</v>
      </c>
      <c r="B485" t="s" s="5">
        <v>30</v>
      </c>
      <c r="C485" t="s" s="18">
        <v>937</v>
      </c>
      <c r="D485" t="s" s="7">
        <v>194</v>
      </c>
      <c r="E485" s="8">
        <v>45674</v>
      </c>
      <c r="F485" s="16"/>
      <c r="G485" t="s" s="10">
        <v>938</v>
      </c>
      <c r="H485" s="19">
        <v>11326</v>
      </c>
      <c r="I485" s="12">
        <v>11326</v>
      </c>
      <c r="J485" s="13">
        <f>I485-H485</f>
        <v>0</v>
      </c>
      <c r="K485" t="s" s="14">
        <v>87</v>
      </c>
      <c r="L485" s="20"/>
      <c r="M485" s="16"/>
      <c r="N485" s="20"/>
      <c r="O485" t="s" s="17">
        <v>24</v>
      </c>
    </row>
    <row r="486" ht="30.45" customHeight="1" hidden="1">
      <c r="A486" t="s" s="17">
        <v>39</v>
      </c>
      <c r="B486" t="s" s="5">
        <v>40</v>
      </c>
      <c r="C486" t="s" s="28">
        <v>937</v>
      </c>
      <c r="D486" t="s" s="7">
        <v>194</v>
      </c>
      <c r="E486" s="8">
        <v>45798</v>
      </c>
      <c r="F486" t="s" s="10">
        <v>939</v>
      </c>
      <c r="G486" t="s" s="10">
        <v>940</v>
      </c>
      <c r="H486" s="29">
        <v>16401.2</v>
      </c>
      <c r="I486" s="12">
        <v>16401.2</v>
      </c>
      <c r="J486" s="15">
        <f>I486-H486</f>
        <v>0</v>
      </c>
      <c r="K486" t="s" s="14">
        <v>87</v>
      </c>
      <c r="L486" s="20"/>
      <c r="M486" s="16"/>
      <c r="N486" s="20"/>
      <c r="O486" t="s" s="17">
        <v>24</v>
      </c>
    </row>
    <row r="487" ht="30.45" customHeight="1" hidden="1">
      <c r="A487" t="s" s="30">
        <v>39</v>
      </c>
      <c r="B487" t="s" s="5">
        <v>40</v>
      </c>
      <c r="C487" t="s" s="28">
        <v>937</v>
      </c>
      <c r="D487" t="s" s="7">
        <v>194</v>
      </c>
      <c r="E487" s="8">
        <v>45995</v>
      </c>
      <c r="F487" t="s" s="10">
        <v>446</v>
      </c>
      <c r="G487" t="s" s="10">
        <v>321</v>
      </c>
      <c r="H487" s="50">
        <v>53714.77</v>
      </c>
      <c r="I487" s="12">
        <v>53714</v>
      </c>
      <c r="J487" s="15">
        <f>I487-H487</f>
        <v>-0.77</v>
      </c>
      <c r="K487" t="s" s="14">
        <v>87</v>
      </c>
      <c r="L487" s="20"/>
      <c r="M487" s="16"/>
      <c r="N487" s="20"/>
      <c r="O487" t="s" s="17">
        <v>24</v>
      </c>
    </row>
    <row r="488" ht="30.45" customHeight="1" hidden="1">
      <c r="A488" t="s" s="21">
        <v>77</v>
      </c>
      <c r="B488" t="s" s="5">
        <v>30</v>
      </c>
      <c r="C488" t="s" s="23">
        <v>937</v>
      </c>
      <c r="D488" t="s" s="7">
        <v>194</v>
      </c>
      <c r="E488" s="8">
        <v>46199</v>
      </c>
      <c r="F488" s="10"/>
      <c r="G488" t="s" s="10">
        <v>941</v>
      </c>
      <c r="H488" s="19">
        <v>35183</v>
      </c>
      <c r="I488" s="26"/>
      <c r="J488" s="13">
        <f>I488-H488</f>
        <v>-35183</v>
      </c>
      <c r="K488" t="s" s="14">
        <v>87</v>
      </c>
      <c r="L488" s="20"/>
      <c r="M488" s="16"/>
      <c r="N488" s="20"/>
      <c r="O488" t="s" s="17">
        <v>24</v>
      </c>
    </row>
    <row r="489" ht="30.45" customHeight="1" hidden="1">
      <c r="A489" t="s" s="17">
        <v>39</v>
      </c>
      <c r="B489" t="s" s="5">
        <v>40</v>
      </c>
      <c r="C489" t="s" s="28">
        <v>942</v>
      </c>
      <c r="D489" t="s" s="7">
        <v>194</v>
      </c>
      <c r="E489" s="8">
        <v>45946</v>
      </c>
      <c r="F489" t="s" s="10">
        <v>943</v>
      </c>
      <c r="G489" t="s" s="10">
        <v>944</v>
      </c>
      <c r="H489" s="50">
        <v>31902.507</v>
      </c>
      <c r="I489" s="12">
        <v>31900</v>
      </c>
      <c r="J489" s="15">
        <f>I489-H489</f>
        <v>-2.507</v>
      </c>
      <c r="K489" t="s" s="14">
        <v>87</v>
      </c>
      <c r="L489" s="20"/>
      <c r="M489" s="16"/>
      <c r="N489" s="20"/>
      <c r="O489" t="s" s="17">
        <v>24</v>
      </c>
    </row>
    <row r="490" ht="30.45" customHeight="1" hidden="1">
      <c r="A490" t="s" s="17">
        <v>39</v>
      </c>
      <c r="B490" t="s" s="5">
        <v>633</v>
      </c>
      <c r="C490" t="s" s="6">
        <v>945</v>
      </c>
      <c r="D490" t="s" s="7">
        <v>90</v>
      </c>
      <c r="E490" s="8">
        <v>45450</v>
      </c>
      <c r="F490" t="s" s="10">
        <v>946</v>
      </c>
      <c r="G490" t="s" s="10">
        <v>947</v>
      </c>
      <c r="H490" s="15">
        <v>7084.03</v>
      </c>
      <c r="I490" s="12">
        <v>7084.03</v>
      </c>
      <c r="J490" s="13">
        <f>I490-H490</f>
        <v>0</v>
      </c>
      <c r="K490" t="s" s="14">
        <v>87</v>
      </c>
      <c r="L490" s="15"/>
      <c r="M490" s="16"/>
      <c r="N490" s="20"/>
      <c r="O490" t="s" s="17">
        <v>24</v>
      </c>
    </row>
    <row r="491" ht="30.45" customHeight="1" hidden="1">
      <c r="A491" t="s" s="47">
        <v>39</v>
      </c>
      <c r="B491" t="s" s="5">
        <v>633</v>
      </c>
      <c r="C491" t="s" s="28">
        <v>945</v>
      </c>
      <c r="D491" t="s" s="7">
        <v>90</v>
      </c>
      <c r="E491" s="8">
        <v>45637</v>
      </c>
      <c r="F491" t="s" s="10">
        <v>555</v>
      </c>
      <c r="G491" t="s" s="10">
        <v>948</v>
      </c>
      <c r="H491" s="50">
        <v>98534.12</v>
      </c>
      <c r="I491" s="12">
        <v>98302.78</v>
      </c>
      <c r="J491" s="13">
        <f>I491-H491</f>
        <v>-231.34</v>
      </c>
      <c r="K491" t="s" s="14">
        <v>87</v>
      </c>
      <c r="L491" s="20"/>
      <c r="M491" s="16"/>
      <c r="N491" s="20"/>
      <c r="O491" t="s" s="17">
        <v>24</v>
      </c>
    </row>
    <row r="492" ht="30.45" customHeight="1" hidden="1">
      <c r="A492" t="s" s="21">
        <v>20</v>
      </c>
      <c r="B492" t="s" s="5">
        <v>79</v>
      </c>
      <c r="C492" t="s" s="18">
        <v>945</v>
      </c>
      <c r="D492" t="s" s="7">
        <v>90</v>
      </c>
      <c r="E492" s="25">
        <v>45946</v>
      </c>
      <c r="F492" t="s" s="10">
        <v>581</v>
      </c>
      <c r="G492" s="10"/>
      <c r="H492" s="19">
        <v>8232</v>
      </c>
      <c r="I492" s="12">
        <v>8254</v>
      </c>
      <c r="J492" s="13">
        <f>I492-H492</f>
        <v>22</v>
      </c>
      <c r="K492" t="s" s="14">
        <v>87</v>
      </c>
      <c r="L492" s="20"/>
      <c r="M492" s="16"/>
      <c r="N492" s="20"/>
      <c r="O492" t="s" s="17">
        <v>24</v>
      </c>
    </row>
    <row r="493" ht="30.45" customHeight="1" hidden="1">
      <c r="A493" t="s" s="17">
        <v>39</v>
      </c>
      <c r="B493" t="s" s="5">
        <v>30</v>
      </c>
      <c r="C493" t="s" s="18">
        <v>945</v>
      </c>
      <c r="D493" t="s" s="7">
        <v>90</v>
      </c>
      <c r="E493" s="8">
        <v>45323</v>
      </c>
      <c r="F493" s="16"/>
      <c r="G493" s="9">
        <v>1763</v>
      </c>
      <c r="H493" s="19">
        <v>29137</v>
      </c>
      <c r="I493" s="40">
        <v>29137</v>
      </c>
      <c r="J493" s="15"/>
      <c r="K493" t="s" s="14">
        <v>87</v>
      </c>
      <c r="L493" s="15"/>
      <c r="M493" s="8">
        <v>45358</v>
      </c>
      <c r="N493" s="16"/>
      <c r="O493" t="s" s="17">
        <v>24</v>
      </c>
    </row>
    <row r="494" ht="30.45" customHeight="1" hidden="1">
      <c r="A494" t="s" s="4">
        <v>39</v>
      </c>
      <c r="B494" t="s" s="5">
        <v>30</v>
      </c>
      <c r="C494" t="s" s="23">
        <v>945</v>
      </c>
      <c r="D494" t="s" s="7">
        <v>90</v>
      </c>
      <c r="E494" s="8">
        <v>45443</v>
      </c>
      <c r="F494" s="16"/>
      <c r="G494" t="s" s="10">
        <v>949</v>
      </c>
      <c r="H494" s="19">
        <v>24774</v>
      </c>
      <c r="I494" s="40">
        <v>24774</v>
      </c>
      <c r="J494" s="15">
        <f>I494-H494</f>
        <v>0</v>
      </c>
      <c r="K494" t="s" s="14">
        <v>87</v>
      </c>
      <c r="L494" s="15"/>
      <c r="M494" s="8">
        <v>45478</v>
      </c>
      <c r="N494" s="20"/>
      <c r="O494" t="s" s="17">
        <v>24</v>
      </c>
    </row>
    <row r="495" ht="30.45" customHeight="1" hidden="1">
      <c r="A495" t="s" s="17">
        <v>20</v>
      </c>
      <c r="B495" t="s" s="5">
        <v>30</v>
      </c>
      <c r="C495" t="s" s="23">
        <v>945</v>
      </c>
      <c r="D495" t="s" s="7">
        <v>90</v>
      </c>
      <c r="E495" s="8">
        <v>45524</v>
      </c>
      <c r="F495" s="16"/>
      <c r="G495" t="s" s="10">
        <v>950</v>
      </c>
      <c r="H495" s="19">
        <v>41954</v>
      </c>
      <c r="I495" s="12">
        <v>41954</v>
      </c>
      <c r="J495" s="13">
        <f>I495-H495</f>
        <v>0</v>
      </c>
      <c r="K495" t="s" s="14">
        <v>87</v>
      </c>
      <c r="L495" s="20"/>
      <c r="M495" s="16"/>
      <c r="N495" s="20"/>
      <c r="O495" t="s" s="17">
        <v>24</v>
      </c>
    </row>
    <row r="496" ht="30.45" customHeight="1" hidden="1">
      <c r="A496" t="s" s="17">
        <v>20</v>
      </c>
      <c r="B496" t="s" s="5">
        <v>30</v>
      </c>
      <c r="C496" t="s" s="18">
        <v>945</v>
      </c>
      <c r="D496" t="s" s="7">
        <v>90</v>
      </c>
      <c r="E496" s="8">
        <v>45717</v>
      </c>
      <c r="F496" s="16"/>
      <c r="G496" t="s" s="10">
        <v>951</v>
      </c>
      <c r="H496" s="19">
        <v>50856.4</v>
      </c>
      <c r="I496" s="12">
        <v>50837</v>
      </c>
      <c r="J496" s="13">
        <f>I496-H496</f>
        <v>-19.4</v>
      </c>
      <c r="K496" t="s" s="14">
        <v>87</v>
      </c>
      <c r="L496" s="20"/>
      <c r="M496" s="16"/>
      <c r="N496" s="20"/>
      <c r="O496" t="s" s="17">
        <v>24</v>
      </c>
    </row>
    <row r="497" ht="30.45" customHeight="1" hidden="1">
      <c r="A497" t="s" s="21">
        <v>20</v>
      </c>
      <c r="B497" t="s" s="5">
        <v>30</v>
      </c>
      <c r="C497" t="s" s="18">
        <v>945</v>
      </c>
      <c r="D497" t="s" s="7">
        <v>90</v>
      </c>
      <c r="E497" s="8">
        <v>45821</v>
      </c>
      <c r="F497" s="16"/>
      <c r="G497" t="s" s="10">
        <v>952</v>
      </c>
      <c r="H497" s="19">
        <v>44767</v>
      </c>
      <c r="I497" s="12">
        <v>44768</v>
      </c>
      <c r="J497" s="13">
        <f>I497-H497</f>
        <v>1</v>
      </c>
      <c r="K497" t="s" s="14">
        <v>87</v>
      </c>
      <c r="L497" s="20"/>
      <c r="M497" s="16"/>
      <c r="N497" s="20"/>
      <c r="O497" t="s" s="17">
        <v>24</v>
      </c>
    </row>
    <row r="498" ht="30.45" customHeight="1" hidden="1">
      <c r="A498" t="s" s="17">
        <v>39</v>
      </c>
      <c r="B498" t="s" s="5">
        <v>40</v>
      </c>
      <c r="C498" t="s" s="18">
        <v>945</v>
      </c>
      <c r="D498" t="s" s="7">
        <v>90</v>
      </c>
      <c r="E498" s="25">
        <v>45274</v>
      </c>
      <c r="F498" s="9">
        <v>433</v>
      </c>
      <c r="G498" t="s" s="10">
        <v>953</v>
      </c>
      <c r="H498" s="26">
        <v>9275.540000000001</v>
      </c>
      <c r="I498" s="26">
        <v>9289</v>
      </c>
      <c r="J498" s="15">
        <f>I498-H498</f>
        <v>13.46</v>
      </c>
      <c r="K498" t="s" s="14">
        <v>87</v>
      </c>
      <c r="L498" s="15"/>
      <c r="M498" s="43">
        <v>45311</v>
      </c>
      <c r="N498" s="16"/>
      <c r="O498" t="s" s="17">
        <v>24</v>
      </c>
    </row>
    <row r="499" ht="30.45" customHeight="1" hidden="1">
      <c r="A499" t="s" s="17">
        <v>49</v>
      </c>
      <c r="B499" t="s" s="5">
        <v>47</v>
      </c>
      <c r="C499" t="s" s="18">
        <v>945</v>
      </c>
      <c r="D499" t="s" s="7">
        <v>90</v>
      </c>
      <c r="E499" s="8">
        <v>45253</v>
      </c>
      <c r="F499" s="9">
        <v>10243</v>
      </c>
      <c r="G499" t="s" s="10">
        <v>954</v>
      </c>
      <c r="H499" s="62">
        <v>18328.67</v>
      </c>
      <c r="I499" s="12">
        <v>18330</v>
      </c>
      <c r="J499" s="15">
        <f>I499-H499</f>
        <v>1.33</v>
      </c>
      <c r="K499" t="s" s="14">
        <v>87</v>
      </c>
      <c r="L499" s="15"/>
      <c r="M499" s="58">
        <v>45283</v>
      </c>
      <c r="N499" s="20"/>
      <c r="O499" t="s" s="17">
        <v>24</v>
      </c>
    </row>
    <row r="500" ht="30.45" customHeight="1" hidden="1">
      <c r="A500" t="s" s="17">
        <v>49</v>
      </c>
      <c r="B500" t="s" s="5">
        <v>47</v>
      </c>
      <c r="C500" t="s" s="18">
        <v>945</v>
      </c>
      <c r="D500" t="s" s="7">
        <v>90</v>
      </c>
      <c r="E500" s="8">
        <v>45288</v>
      </c>
      <c r="F500" s="9">
        <v>10314</v>
      </c>
      <c r="G500" t="s" s="10">
        <v>955</v>
      </c>
      <c r="H500" s="26">
        <v>21167.45</v>
      </c>
      <c r="I500" s="12">
        <v>21168</v>
      </c>
      <c r="J500" s="15">
        <f>I500-H500</f>
        <v>0.55</v>
      </c>
      <c r="K500" t="s" s="14">
        <v>87</v>
      </c>
      <c r="L500" s="15"/>
      <c r="M500" s="43">
        <v>45318</v>
      </c>
      <c r="N500" s="20"/>
      <c r="O500" t="s" s="17">
        <v>24</v>
      </c>
    </row>
    <row r="501" ht="30.45" customHeight="1" hidden="1">
      <c r="A501" t="s" s="17">
        <v>49</v>
      </c>
      <c r="B501" t="s" s="5">
        <v>47</v>
      </c>
      <c r="C501" t="s" s="18">
        <v>945</v>
      </c>
      <c r="D501" t="s" s="7">
        <v>90</v>
      </c>
      <c r="E501" s="25">
        <v>45408</v>
      </c>
      <c r="F501" s="9">
        <v>10546</v>
      </c>
      <c r="G501" t="s" s="10">
        <v>956</v>
      </c>
      <c r="H501" s="29">
        <v>38303.56</v>
      </c>
      <c r="I501" s="12">
        <v>38302</v>
      </c>
      <c r="J501" s="15">
        <f>I501-H501</f>
        <v>-1.56</v>
      </c>
      <c r="K501" t="s" s="14">
        <v>87</v>
      </c>
      <c r="L501" s="15"/>
      <c r="M501" s="8">
        <v>45438</v>
      </c>
      <c r="N501" s="20"/>
      <c r="O501" t="s" s="17">
        <v>24</v>
      </c>
    </row>
    <row r="502" ht="30.45" customHeight="1" hidden="1">
      <c r="A502" t="s" s="17">
        <v>49</v>
      </c>
      <c r="B502" t="s" s="5">
        <v>47</v>
      </c>
      <c r="C502" t="s" s="28">
        <v>945</v>
      </c>
      <c r="D502" t="s" s="7">
        <v>90</v>
      </c>
      <c r="E502" s="8">
        <v>45476</v>
      </c>
      <c r="F502" t="s" s="10">
        <v>957</v>
      </c>
      <c r="G502" t="s" s="10">
        <v>958</v>
      </c>
      <c r="H502" s="15">
        <v>24625.26</v>
      </c>
      <c r="I502" s="12">
        <v>24627</v>
      </c>
      <c r="J502" s="15">
        <f>I502-H502</f>
        <v>1.74</v>
      </c>
      <c r="K502" t="s" s="14">
        <v>87</v>
      </c>
      <c r="L502" s="20"/>
      <c r="M502" s="8"/>
      <c r="N502" s="20"/>
      <c r="O502" t="s" s="17">
        <v>24</v>
      </c>
    </row>
    <row r="503" ht="30.45" customHeight="1" hidden="1">
      <c r="A503" t="s" s="17">
        <v>49</v>
      </c>
      <c r="B503" t="s" s="5">
        <v>47</v>
      </c>
      <c r="C503" t="s" s="28">
        <v>945</v>
      </c>
      <c r="D503" t="s" s="7">
        <v>90</v>
      </c>
      <c r="E503" s="8">
        <v>45561</v>
      </c>
      <c r="F503" t="s" s="10">
        <v>959</v>
      </c>
      <c r="G503" t="s" s="10">
        <v>960</v>
      </c>
      <c r="H503" s="29">
        <v>48974.69</v>
      </c>
      <c r="I503" s="12">
        <v>48978</v>
      </c>
      <c r="J503" s="15">
        <f>I503-H503</f>
        <v>3.31</v>
      </c>
      <c r="K503" t="s" s="14">
        <v>87</v>
      </c>
      <c r="L503" s="20"/>
      <c r="M503" s="8"/>
      <c r="N503" s="20"/>
      <c r="O503" t="s" s="17">
        <v>24</v>
      </c>
    </row>
    <row r="504" ht="30.45" customHeight="1" hidden="1">
      <c r="A504" t="s" s="30">
        <v>49</v>
      </c>
      <c r="B504" t="s" s="5">
        <v>47</v>
      </c>
      <c r="C504" t="s" s="6">
        <v>945</v>
      </c>
      <c r="D504" t="s" s="7">
        <v>90</v>
      </c>
      <c r="E504" s="8">
        <v>45674</v>
      </c>
      <c r="F504" t="s" s="10">
        <v>961</v>
      </c>
      <c r="G504" t="s" s="10">
        <v>962</v>
      </c>
      <c r="H504" s="15">
        <v>27294.86</v>
      </c>
      <c r="I504" s="12">
        <v>27296</v>
      </c>
      <c r="J504" s="15">
        <f>I504-H504</f>
        <v>1.14</v>
      </c>
      <c r="K504" t="s" s="14">
        <v>87</v>
      </c>
      <c r="L504" s="20"/>
      <c r="M504" s="8"/>
      <c r="N504" s="20"/>
      <c r="O504" t="s" s="17">
        <v>24</v>
      </c>
    </row>
    <row r="505" ht="30.45" customHeight="1" hidden="1">
      <c r="A505" t="s" s="17">
        <v>20</v>
      </c>
      <c r="B505" t="s" s="5">
        <v>61</v>
      </c>
      <c r="C505" t="s" s="18">
        <v>945</v>
      </c>
      <c r="D505" t="s" s="7">
        <v>90</v>
      </c>
      <c r="E505" s="25">
        <v>45373</v>
      </c>
      <c r="F505" t="s" s="10">
        <v>963</v>
      </c>
      <c r="G505" t="s" s="10">
        <v>964</v>
      </c>
      <c r="H505" s="19">
        <v>7190.9</v>
      </c>
      <c r="I505" s="40">
        <v>7190.9</v>
      </c>
      <c r="J505" s="15"/>
      <c r="K505" t="s" s="14">
        <v>87</v>
      </c>
      <c r="L505" s="39"/>
      <c r="M505" s="8">
        <v>45412</v>
      </c>
      <c r="N505" s="20"/>
      <c r="O505" t="s" s="17">
        <v>24</v>
      </c>
    </row>
    <row r="506" ht="30.45" customHeight="1" hidden="1">
      <c r="A506" t="s" s="21">
        <v>20</v>
      </c>
      <c r="B506" t="s" s="5">
        <v>61</v>
      </c>
      <c r="C506" t="s" s="18">
        <v>945</v>
      </c>
      <c r="D506" t="s" s="7">
        <v>90</v>
      </c>
      <c r="E506" s="25">
        <v>45967</v>
      </c>
      <c r="F506" t="s" s="10">
        <v>965</v>
      </c>
      <c r="G506" t="s" s="10">
        <v>966</v>
      </c>
      <c r="H506" s="31">
        <v>13942.95</v>
      </c>
      <c r="I506" s="12">
        <v>13803</v>
      </c>
      <c r="J506" s="15">
        <f>I506-H506</f>
        <v>-139.95</v>
      </c>
      <c r="K506" t="s" s="14">
        <v>87</v>
      </c>
      <c r="L506" s="15"/>
      <c r="M506" s="16"/>
      <c r="N506" s="20"/>
      <c r="O506" t="s" s="17">
        <v>24</v>
      </c>
    </row>
    <row r="507" ht="30.45" customHeight="1" hidden="1">
      <c r="A507" t="s" s="21">
        <v>49</v>
      </c>
      <c r="B507" t="s" s="5">
        <v>47</v>
      </c>
      <c r="C507" t="s" s="18">
        <v>945</v>
      </c>
      <c r="D507" t="s" s="7">
        <v>90</v>
      </c>
      <c r="E507" s="8">
        <v>46150</v>
      </c>
      <c r="F507" t="s" s="10">
        <v>967</v>
      </c>
      <c r="G507" t="s" s="10">
        <v>968</v>
      </c>
      <c r="H507" s="19">
        <v>39213.72</v>
      </c>
      <c r="I507" s="12">
        <v>39216.5</v>
      </c>
      <c r="J507" s="15">
        <f>I507-H507</f>
        <v>2.78</v>
      </c>
      <c r="K507" t="s" s="14">
        <v>87</v>
      </c>
      <c r="L507" s="20"/>
      <c r="M507" s="8"/>
      <c r="N507" s="20"/>
      <c r="O507" t="s" s="17">
        <v>24</v>
      </c>
    </row>
    <row r="508" ht="30.45" customHeight="1">
      <c r="A508" t="s" s="17">
        <v>654</v>
      </c>
      <c r="B508" t="s" s="5">
        <v>61</v>
      </c>
      <c r="C508" t="s" s="6">
        <v>945</v>
      </c>
      <c r="D508" t="s" s="7">
        <v>90</v>
      </c>
      <c r="E508" s="8">
        <v>46206</v>
      </c>
      <c r="F508" t="s" s="10">
        <v>969</v>
      </c>
      <c r="G508" t="s" s="10">
        <v>970</v>
      </c>
      <c r="H508" s="48">
        <v>15191.4</v>
      </c>
      <c r="I508" s="26"/>
      <c r="J508" s="15">
        <f>I508-H508</f>
        <v>-15191.4</v>
      </c>
      <c r="K508" t="s" s="14">
        <v>87</v>
      </c>
      <c r="L508" s="20"/>
      <c r="M508" s="16"/>
      <c r="N508" s="20"/>
      <c r="O508" t="s" s="17">
        <v>24</v>
      </c>
    </row>
    <row r="509" ht="30.45" customHeight="1" hidden="1">
      <c r="A509" s="32"/>
      <c r="B509" t="s" s="5">
        <v>40</v>
      </c>
      <c r="C509" t="s" s="33">
        <v>945</v>
      </c>
      <c r="D509" t="s" s="7">
        <v>90</v>
      </c>
      <c r="E509" s="8"/>
      <c r="F509" s="10"/>
      <c r="G509" t="s" s="10">
        <v>971</v>
      </c>
      <c r="H509" s="15"/>
      <c r="I509" s="26"/>
      <c r="J509" s="15">
        <f>I509-H509</f>
        <v>0</v>
      </c>
      <c r="K509" t="s" s="14">
        <v>24</v>
      </c>
      <c r="L509" s="20"/>
      <c r="M509" s="16"/>
      <c r="N509" s="20"/>
      <c r="O509" t="s" s="17">
        <v>24</v>
      </c>
    </row>
    <row r="510" ht="30.45" customHeight="1" hidden="1">
      <c r="A510" t="s" s="21">
        <v>20</v>
      </c>
      <c r="B510" t="s" s="5">
        <v>30</v>
      </c>
      <c r="C510" t="s" s="18">
        <v>972</v>
      </c>
      <c r="D510" t="s" s="7">
        <v>90</v>
      </c>
      <c r="E510" s="8">
        <v>46095</v>
      </c>
      <c r="F510" s="10"/>
      <c r="G510" t="s" s="10">
        <v>973</v>
      </c>
      <c r="H510" s="38">
        <v>39554</v>
      </c>
      <c r="I510" s="12">
        <v>39558</v>
      </c>
      <c r="J510" s="13">
        <f>I510-H510</f>
        <v>4</v>
      </c>
      <c r="K510" t="s" s="14">
        <v>87</v>
      </c>
      <c r="L510" s="20"/>
      <c r="M510" s="16"/>
      <c r="N510" s="20"/>
      <c r="O510" t="s" s="17">
        <v>24</v>
      </c>
    </row>
    <row r="511" ht="30.45" customHeight="1" hidden="1">
      <c r="A511" t="s" s="4">
        <v>49</v>
      </c>
      <c r="B511" t="s" s="5">
        <v>47</v>
      </c>
      <c r="C511" t="s" s="18">
        <v>972</v>
      </c>
      <c r="D511" t="s" s="7">
        <v>90</v>
      </c>
      <c r="E511" s="8">
        <v>45967</v>
      </c>
      <c r="F511" t="s" s="10">
        <v>974</v>
      </c>
      <c r="G511" t="s" s="10">
        <v>975</v>
      </c>
      <c r="H511" s="19">
        <v>43458.78</v>
      </c>
      <c r="I511" s="12">
        <v>43489</v>
      </c>
      <c r="J511" s="15">
        <f>I511-H511</f>
        <v>30.22</v>
      </c>
      <c r="K511" t="s" s="14">
        <v>87</v>
      </c>
      <c r="L511" s="20"/>
      <c r="M511" s="8"/>
      <c r="N511" s="20"/>
      <c r="O511" t="s" s="17">
        <v>24</v>
      </c>
    </row>
    <row r="512" ht="30.45" customHeight="1" hidden="1">
      <c r="A512" t="s" s="4">
        <v>12</v>
      </c>
      <c r="B512" t="s" s="5">
        <v>13</v>
      </c>
      <c r="C512" t="s" s="6">
        <v>976</v>
      </c>
      <c r="D512" t="s" s="7">
        <v>15</v>
      </c>
      <c r="E512" s="8"/>
      <c r="F512" s="9"/>
      <c r="G512" s="10"/>
      <c r="H512" t="s" s="11">
        <v>16</v>
      </c>
      <c r="I512" s="12">
        <v>26395</v>
      </c>
      <c r="J512" s="13"/>
      <c r="K512" t="s" s="14">
        <v>17</v>
      </c>
      <c r="L512" s="15"/>
      <c r="M512" s="16"/>
      <c r="N512" t="s" s="11">
        <v>18</v>
      </c>
      <c r="O512" t="s" s="17">
        <v>19</v>
      </c>
    </row>
    <row r="513" ht="30.45" customHeight="1" hidden="1">
      <c r="A513" t="s" s="17">
        <v>39</v>
      </c>
      <c r="B513" t="s" s="5">
        <v>29</v>
      </c>
      <c r="C513" t="s" s="18">
        <v>976</v>
      </c>
      <c r="D513" t="s" s="7">
        <v>15</v>
      </c>
      <c r="E513" s="8">
        <v>45264</v>
      </c>
      <c r="F513" t="s" s="10">
        <v>24</v>
      </c>
      <c r="G513" s="55">
        <v>1596</v>
      </c>
      <c r="H513" s="26">
        <v>4230.25</v>
      </c>
      <c r="I513" s="12">
        <v>4230</v>
      </c>
      <c r="J513" s="15">
        <f>I513-H513</f>
        <v>-0.25</v>
      </c>
      <c r="K513" t="s" s="14">
        <v>17</v>
      </c>
      <c r="L513" s="20"/>
      <c r="M513" s="43">
        <v>45301</v>
      </c>
      <c r="N513" s="16"/>
      <c r="O513" t="s" s="17">
        <v>24</v>
      </c>
    </row>
    <row r="514" ht="30.45" customHeight="1" hidden="1">
      <c r="A514" t="s" s="17">
        <v>39</v>
      </c>
      <c r="B514" t="s" s="5">
        <v>79</v>
      </c>
      <c r="C514" t="s" s="18">
        <v>976</v>
      </c>
      <c r="D514" t="s" s="7">
        <v>15</v>
      </c>
      <c r="E514" s="25">
        <v>45457</v>
      </c>
      <c r="F514" t="s" s="10">
        <v>977</v>
      </c>
      <c r="G514" t="s" s="10">
        <v>978</v>
      </c>
      <c r="H514" s="19">
        <v>4367</v>
      </c>
      <c r="I514" s="12">
        <v>4367</v>
      </c>
      <c r="J514" s="15">
        <f>I514-H514</f>
        <v>0</v>
      </c>
      <c r="K514" t="s" s="14">
        <v>17</v>
      </c>
      <c r="L514" s="15"/>
      <c r="M514" s="8">
        <v>45493</v>
      </c>
      <c r="N514" t="s" s="88">
        <v>979</v>
      </c>
      <c r="O514" t="s" s="17">
        <v>24</v>
      </c>
    </row>
    <row r="515" ht="30.45" customHeight="1" hidden="1">
      <c r="A515" t="s" s="17">
        <v>39</v>
      </c>
      <c r="B515" t="s" s="5">
        <v>30</v>
      </c>
      <c r="C515" t="s" s="18">
        <v>976</v>
      </c>
      <c r="D515" t="s" s="7">
        <v>15</v>
      </c>
      <c r="E515" s="8">
        <v>45411</v>
      </c>
      <c r="F515" s="16"/>
      <c r="G515" t="s" s="10">
        <v>980</v>
      </c>
      <c r="H515" s="31">
        <v>19809</v>
      </c>
      <c r="I515" s="89">
        <v>19809</v>
      </c>
      <c r="J515" s="15">
        <f>I515-H515</f>
        <v>0</v>
      </c>
      <c r="K515" t="s" s="14">
        <v>17</v>
      </c>
      <c r="L515" s="20"/>
      <c r="M515" s="8">
        <v>45444</v>
      </c>
      <c r="N515" s="20"/>
      <c r="O515" t="s" s="17">
        <v>24</v>
      </c>
    </row>
    <row r="516" ht="30.45" customHeight="1" hidden="1">
      <c r="A516" t="s" s="17">
        <v>39</v>
      </c>
      <c r="B516" t="s" s="5">
        <v>30</v>
      </c>
      <c r="C516" t="s" s="18">
        <v>976</v>
      </c>
      <c r="D516" t="s" s="7">
        <v>15</v>
      </c>
      <c r="E516" s="8">
        <v>45484</v>
      </c>
      <c r="F516" s="16"/>
      <c r="G516" t="s" s="10">
        <v>981</v>
      </c>
      <c r="H516" s="19">
        <v>7067</v>
      </c>
      <c r="I516" s="12">
        <v>7067</v>
      </c>
      <c r="J516" s="13">
        <f>I516-H516</f>
        <v>0</v>
      </c>
      <c r="K516" t="s" s="14">
        <v>17</v>
      </c>
      <c r="L516" s="20"/>
      <c r="M516" s="16"/>
      <c r="N516" s="20"/>
      <c r="O516" t="s" s="17">
        <v>24</v>
      </c>
    </row>
    <row r="517" ht="30.45" customHeight="1" hidden="1">
      <c r="A517" t="s" s="17">
        <v>20</v>
      </c>
      <c r="B517" t="s" s="5">
        <v>317</v>
      </c>
      <c r="C517" t="s" s="18">
        <v>976</v>
      </c>
      <c r="D517" t="s" s="7">
        <v>15</v>
      </c>
      <c r="E517" s="8">
        <v>45295</v>
      </c>
      <c r="F517" s="9">
        <v>120</v>
      </c>
      <c r="G517" s="55">
        <v>1752</v>
      </c>
      <c r="H517" s="19">
        <v>17060</v>
      </c>
      <c r="I517" s="12">
        <v>17060</v>
      </c>
      <c r="J517" s="15"/>
      <c r="K517" t="s" s="14">
        <v>17</v>
      </c>
      <c r="L517" s="20"/>
      <c r="M517" s="8">
        <v>45331</v>
      </c>
      <c r="N517" t="s" s="63">
        <v>982</v>
      </c>
      <c r="O517" t="s" s="17">
        <v>24</v>
      </c>
    </row>
    <row r="518" ht="30.45" customHeight="1" hidden="1">
      <c r="A518" t="s" s="21">
        <v>20</v>
      </c>
      <c r="B518" t="s" s="5">
        <v>349</v>
      </c>
      <c r="C518" t="s" s="18">
        <v>983</v>
      </c>
      <c r="D518" t="s" s="7">
        <v>984</v>
      </c>
      <c r="E518" s="8">
        <v>46027</v>
      </c>
      <c r="F518" t="s" s="10">
        <v>985</v>
      </c>
      <c r="G518" t="s" s="10">
        <v>986</v>
      </c>
      <c r="H518" s="19">
        <v>5155.47</v>
      </c>
      <c r="I518" s="12">
        <f>H518</f>
        <v>5155.47</v>
      </c>
      <c r="J518" s="13">
        <f>I518-H518</f>
        <v>0</v>
      </c>
      <c r="K518" t="s" s="14">
        <v>209</v>
      </c>
      <c r="L518" s="20"/>
      <c r="M518" s="16"/>
      <c r="N518" s="20"/>
      <c r="O518" t="s" s="17">
        <v>24</v>
      </c>
    </row>
    <row r="519" ht="30.45" customHeight="1" hidden="1">
      <c r="A519" t="s" s="17">
        <v>39</v>
      </c>
      <c r="B519" t="s" s="5">
        <v>33</v>
      </c>
      <c r="C519" t="s" s="18">
        <v>983</v>
      </c>
      <c r="D519" t="s" s="7">
        <v>984</v>
      </c>
      <c r="E519" s="8">
        <v>45215</v>
      </c>
      <c r="F519" s="9">
        <v>4774</v>
      </c>
      <c r="G519" t="s" s="10">
        <v>987</v>
      </c>
      <c r="H519" s="19">
        <v>7986.2</v>
      </c>
      <c r="I519" s="12">
        <v>7986.06</v>
      </c>
      <c r="J519" s="15">
        <f>I519-H519</f>
        <v>-0.14</v>
      </c>
      <c r="K519" t="s" s="14">
        <v>209</v>
      </c>
      <c r="L519" s="39"/>
      <c r="M519" s="53">
        <v>45245</v>
      </c>
      <c r="N519" s="20"/>
      <c r="O519" t="s" s="17">
        <v>24</v>
      </c>
    </row>
    <row r="520" ht="30.45" customHeight="1" hidden="1">
      <c r="A520" t="s" s="4">
        <v>39</v>
      </c>
      <c r="B520" t="s" s="5">
        <v>420</v>
      </c>
      <c r="C520" t="s" s="64">
        <v>988</v>
      </c>
      <c r="D520" t="s" s="7">
        <v>90</v>
      </c>
      <c r="E520" s="25">
        <v>45569</v>
      </c>
      <c r="F520" s="16"/>
      <c r="G520" s="16"/>
      <c r="H520" s="19">
        <v>5250</v>
      </c>
      <c r="I520" s="12">
        <v>6250</v>
      </c>
      <c r="J520" s="62">
        <f>I520-H520</f>
        <v>1000</v>
      </c>
      <c r="K520" t="s" s="14">
        <v>87</v>
      </c>
      <c r="L520" s="15"/>
      <c r="M520" s="16"/>
      <c r="N520" t="s" s="63">
        <v>989</v>
      </c>
      <c r="O520" t="s" s="17">
        <v>24</v>
      </c>
    </row>
    <row r="521" ht="30.45" customHeight="1" hidden="1">
      <c r="A521" t="s" s="17">
        <v>39</v>
      </c>
      <c r="B521" t="s" s="5">
        <v>420</v>
      </c>
      <c r="C521" t="s" s="64">
        <v>988</v>
      </c>
      <c r="D521" t="s" s="7">
        <v>90</v>
      </c>
      <c r="E521" s="25">
        <v>45600</v>
      </c>
      <c r="F521" s="16"/>
      <c r="G521" s="16"/>
      <c r="H521" s="19">
        <v>6300</v>
      </c>
      <c r="I521" s="12">
        <v>6300</v>
      </c>
      <c r="J521" s="15">
        <f>I521-H521</f>
        <v>0</v>
      </c>
      <c r="K521" t="s" s="14">
        <v>87</v>
      </c>
      <c r="L521" s="15"/>
      <c r="M521" s="16"/>
      <c r="N521" s="20"/>
      <c r="O521" t="s" s="17">
        <v>24</v>
      </c>
    </row>
    <row r="522" ht="30.45" customHeight="1" hidden="1">
      <c r="A522" t="s" s="4">
        <v>39</v>
      </c>
      <c r="B522" t="s" s="5">
        <v>420</v>
      </c>
      <c r="C522" t="s" s="64">
        <v>988</v>
      </c>
      <c r="D522" t="s" s="7">
        <v>90</v>
      </c>
      <c r="E522" s="25">
        <v>45842</v>
      </c>
      <c r="F522" s="16"/>
      <c r="G522" s="16"/>
      <c r="H522" s="19">
        <v>12100</v>
      </c>
      <c r="I522" s="12">
        <v>12100</v>
      </c>
      <c r="J522" s="15">
        <f>I522-H522</f>
        <v>0</v>
      </c>
      <c r="K522" t="s" s="14">
        <v>87</v>
      </c>
      <c r="L522" s="22"/>
      <c r="M522" s="22"/>
      <c r="N522" s="22"/>
      <c r="O522" t="s" s="17">
        <v>24</v>
      </c>
    </row>
    <row r="523" ht="30.45" customHeight="1" hidden="1">
      <c r="A523" t="s" s="4">
        <v>39</v>
      </c>
      <c r="B523" t="s" s="5">
        <v>420</v>
      </c>
      <c r="C523" t="s" s="64">
        <v>988</v>
      </c>
      <c r="D523" t="s" s="7">
        <v>90</v>
      </c>
      <c r="E523" s="25">
        <v>45925</v>
      </c>
      <c r="F523" s="10"/>
      <c r="G523" s="10"/>
      <c r="H523" s="19">
        <v>13200</v>
      </c>
      <c r="I523" s="12">
        <v>13200</v>
      </c>
      <c r="J523" s="15">
        <f>I523-H523</f>
        <v>0</v>
      </c>
      <c r="K523" t="s" s="14">
        <v>87</v>
      </c>
      <c r="L523" s="20"/>
      <c r="M523" s="16"/>
      <c r="N523" s="20"/>
      <c r="O523" t="s" s="17">
        <v>24</v>
      </c>
    </row>
    <row r="524" ht="30.45" customHeight="1" hidden="1">
      <c r="A524" t="s" s="4">
        <v>39</v>
      </c>
      <c r="B524" t="s" s="5">
        <v>420</v>
      </c>
      <c r="C524" t="s" s="79">
        <v>988</v>
      </c>
      <c r="D524" t="s" s="7">
        <v>90</v>
      </c>
      <c r="E524" s="25">
        <v>46003</v>
      </c>
      <c r="F524" s="16"/>
      <c r="G524" s="16"/>
      <c r="H524" s="19">
        <v>14300</v>
      </c>
      <c r="I524" s="12">
        <v>14300</v>
      </c>
      <c r="J524" s="15">
        <f>I524-H524</f>
        <v>0</v>
      </c>
      <c r="K524" t="s" s="14">
        <v>87</v>
      </c>
      <c r="L524" s="15"/>
      <c r="M524" s="16"/>
      <c r="N524" s="90"/>
      <c r="O524" t="s" s="17">
        <v>24</v>
      </c>
    </row>
    <row r="525" ht="30.45" customHeight="1" hidden="1">
      <c r="A525" t="s" s="21">
        <v>39</v>
      </c>
      <c r="B525" t="s" s="5">
        <v>420</v>
      </c>
      <c r="C525" t="s" s="18">
        <v>988</v>
      </c>
      <c r="D525" t="s" s="7">
        <v>90</v>
      </c>
      <c r="E525" s="25">
        <v>46122</v>
      </c>
      <c r="F525" s="16"/>
      <c r="G525" s="16"/>
      <c r="H525" s="19">
        <v>13200</v>
      </c>
      <c r="I525" s="12">
        <f>H525</f>
        <v>13200</v>
      </c>
      <c r="J525" s="15">
        <f>I525-H525</f>
        <v>0</v>
      </c>
      <c r="K525" t="s" s="14">
        <v>87</v>
      </c>
      <c r="L525" s="15"/>
      <c r="M525" s="16"/>
      <c r="N525" s="20"/>
      <c r="O525" t="s" s="17">
        <v>24</v>
      </c>
    </row>
    <row r="526" ht="30.45" customHeight="1" hidden="1">
      <c r="A526" t="s" s="17">
        <v>39</v>
      </c>
      <c r="B526" t="s" s="5">
        <v>68</v>
      </c>
      <c r="C526" t="s" s="64">
        <v>988</v>
      </c>
      <c r="D526" t="s" s="7">
        <v>90</v>
      </c>
      <c r="E526" s="25">
        <v>45467</v>
      </c>
      <c r="F526" s="16"/>
      <c r="G526" t="s" s="10">
        <v>990</v>
      </c>
      <c r="H526" s="19">
        <v>8880</v>
      </c>
      <c r="I526" s="12">
        <v>8880</v>
      </c>
      <c r="J526" s="15">
        <f>I526-H526</f>
        <v>0</v>
      </c>
      <c r="K526" t="s" s="14">
        <v>87</v>
      </c>
      <c r="L526" s="15"/>
      <c r="M526" s="16"/>
      <c r="N526" s="90"/>
      <c r="O526" t="s" s="17">
        <v>24</v>
      </c>
    </row>
    <row r="527" ht="30.45" customHeight="1" hidden="1">
      <c r="A527" t="s" s="17">
        <v>39</v>
      </c>
      <c r="B527" t="s" s="5">
        <v>68</v>
      </c>
      <c r="C527" t="s" s="91">
        <v>988</v>
      </c>
      <c r="D527" t="s" s="7">
        <v>90</v>
      </c>
      <c r="E527" s="25">
        <v>45481</v>
      </c>
      <c r="F527" s="16"/>
      <c r="G527" t="s" s="10">
        <v>991</v>
      </c>
      <c r="H527" s="50">
        <v>21231</v>
      </c>
      <c r="I527" s="12">
        <v>21231</v>
      </c>
      <c r="J527" s="15">
        <f>I527-H527</f>
        <v>0</v>
      </c>
      <c r="K527" t="s" s="14">
        <v>87</v>
      </c>
      <c r="L527" s="15"/>
      <c r="M527" s="16"/>
      <c r="N527" s="90"/>
      <c r="O527" t="s" s="17">
        <v>24</v>
      </c>
    </row>
    <row r="528" ht="30.45" customHeight="1" hidden="1">
      <c r="A528" t="s" s="17">
        <v>39</v>
      </c>
      <c r="B528" t="s" s="5">
        <v>68</v>
      </c>
      <c r="C528" t="s" s="18">
        <v>988</v>
      </c>
      <c r="D528" t="s" s="7">
        <v>90</v>
      </c>
      <c r="E528" s="25">
        <v>45678</v>
      </c>
      <c r="F528" s="16"/>
      <c r="G528" s="10"/>
      <c r="H528" s="19">
        <v>10888.5</v>
      </c>
      <c r="I528" s="12">
        <v>10888.5</v>
      </c>
      <c r="J528" s="15">
        <f>I528-H528</f>
        <v>0</v>
      </c>
      <c r="K528" t="s" s="14">
        <v>87</v>
      </c>
      <c r="L528" s="15"/>
      <c r="M528" s="22"/>
      <c r="N528" s="20"/>
      <c r="O528" t="s" s="17">
        <v>24</v>
      </c>
    </row>
    <row r="529" ht="30.45" customHeight="1" hidden="1">
      <c r="A529" t="s" s="17">
        <v>39</v>
      </c>
      <c r="B529" t="s" s="5">
        <v>68</v>
      </c>
      <c r="C529" t="s" s="91">
        <v>988</v>
      </c>
      <c r="D529" t="s" s="7">
        <v>90</v>
      </c>
      <c r="E529" s="25">
        <v>45702</v>
      </c>
      <c r="F529" s="16"/>
      <c r="G529" s="10"/>
      <c r="H529" s="50">
        <v>5907</v>
      </c>
      <c r="I529" s="12">
        <v>5907</v>
      </c>
      <c r="J529" s="15">
        <f>I529-H529</f>
        <v>0</v>
      </c>
      <c r="K529" t="s" s="14">
        <v>87</v>
      </c>
      <c r="L529" s="15"/>
      <c r="M529" s="22"/>
      <c r="N529" s="20"/>
      <c r="O529" t="s" s="17">
        <v>24</v>
      </c>
    </row>
    <row r="530" ht="30.45" customHeight="1" hidden="1">
      <c r="A530" t="s" s="4">
        <v>133</v>
      </c>
      <c r="B530" t="s" s="5">
        <v>68</v>
      </c>
      <c r="C530" t="s" s="18">
        <v>988</v>
      </c>
      <c r="D530" t="s" s="7">
        <v>90</v>
      </c>
      <c r="E530" s="25">
        <v>45719</v>
      </c>
      <c r="F530" s="16"/>
      <c r="G530" s="10"/>
      <c r="H530" s="19">
        <v>8451</v>
      </c>
      <c r="I530" s="12">
        <v>8451</v>
      </c>
      <c r="J530" s="15">
        <f>I530-H530</f>
        <v>0</v>
      </c>
      <c r="K530" t="s" s="14">
        <v>87</v>
      </c>
      <c r="L530" s="15"/>
      <c r="M530" s="22"/>
      <c r="N530" s="20"/>
      <c r="O530" t="s" s="17">
        <v>19</v>
      </c>
    </row>
    <row r="531" ht="30.45" customHeight="1" hidden="1">
      <c r="A531" t="s" s="4">
        <v>133</v>
      </c>
      <c r="B531" t="s" s="5">
        <v>68</v>
      </c>
      <c r="C531" t="s" s="18">
        <v>988</v>
      </c>
      <c r="D531" t="s" s="7">
        <v>90</v>
      </c>
      <c r="E531" s="25">
        <v>45740</v>
      </c>
      <c r="F531" s="16"/>
      <c r="G531" s="10"/>
      <c r="H531" s="19">
        <v>8899</v>
      </c>
      <c r="I531" s="12">
        <v>8899</v>
      </c>
      <c r="J531" s="15">
        <f>I531-H531</f>
        <v>0</v>
      </c>
      <c r="K531" t="s" s="14">
        <v>87</v>
      </c>
      <c r="L531" s="15"/>
      <c r="M531" s="22"/>
      <c r="N531" s="20"/>
      <c r="O531" t="s" s="17">
        <v>19</v>
      </c>
    </row>
    <row r="532" ht="30.45" customHeight="1" hidden="1">
      <c r="A532" t="s" s="4">
        <v>133</v>
      </c>
      <c r="B532" t="s" s="5">
        <v>68</v>
      </c>
      <c r="C532" t="s" s="18">
        <v>988</v>
      </c>
      <c r="D532" t="s" s="7">
        <v>90</v>
      </c>
      <c r="E532" s="25">
        <v>45758</v>
      </c>
      <c r="F532" s="16"/>
      <c r="G532" s="10"/>
      <c r="H532" s="19">
        <v>8052</v>
      </c>
      <c r="I532" s="12">
        <v>8052</v>
      </c>
      <c r="J532" s="15">
        <f>I532-H532</f>
        <v>0</v>
      </c>
      <c r="K532" t="s" s="14">
        <v>87</v>
      </c>
      <c r="L532" s="15"/>
      <c r="M532" s="22"/>
      <c r="N532" s="20"/>
      <c r="O532" t="s" s="17">
        <v>19</v>
      </c>
    </row>
    <row r="533" ht="30.45" customHeight="1" hidden="1">
      <c r="A533" t="s" s="4">
        <v>133</v>
      </c>
      <c r="B533" t="s" s="5">
        <v>68</v>
      </c>
      <c r="C533" t="s" s="18">
        <v>988</v>
      </c>
      <c r="D533" t="s" s="7">
        <v>90</v>
      </c>
      <c r="E533" s="25">
        <v>45866</v>
      </c>
      <c r="F533" s="16"/>
      <c r="G533" s="10"/>
      <c r="H533" s="19">
        <v>12221</v>
      </c>
      <c r="I533" s="12">
        <v>12221</v>
      </c>
      <c r="J533" s="15">
        <f>I533-H533</f>
        <v>0</v>
      </c>
      <c r="K533" t="s" s="14">
        <v>87</v>
      </c>
      <c r="L533" s="15"/>
      <c r="M533" s="22"/>
      <c r="N533" s="20"/>
      <c r="O533" t="s" s="17">
        <v>19</v>
      </c>
    </row>
    <row r="534" ht="30.45" customHeight="1" hidden="1">
      <c r="A534" t="s" s="4">
        <v>133</v>
      </c>
      <c r="B534" t="s" s="5">
        <v>68</v>
      </c>
      <c r="C534" t="s" s="18">
        <v>988</v>
      </c>
      <c r="D534" t="s" s="7">
        <v>90</v>
      </c>
      <c r="E534" s="25">
        <v>45901</v>
      </c>
      <c r="F534" s="16"/>
      <c r="G534" s="10"/>
      <c r="H534" s="19">
        <v>8756</v>
      </c>
      <c r="I534" s="12">
        <f>H534</f>
        <v>8756</v>
      </c>
      <c r="J534" s="15">
        <f>I534-H534</f>
        <v>0</v>
      </c>
      <c r="K534" t="s" s="14">
        <v>87</v>
      </c>
      <c r="L534" s="15"/>
      <c r="M534" s="22"/>
      <c r="N534" s="20"/>
      <c r="O534" t="s" s="17">
        <v>19</v>
      </c>
    </row>
    <row r="535" ht="30.45" customHeight="1" hidden="1">
      <c r="A535" t="s" s="4">
        <v>133</v>
      </c>
      <c r="B535" t="s" s="5">
        <v>68</v>
      </c>
      <c r="C535" t="s" s="18">
        <v>988</v>
      </c>
      <c r="D535" t="s" s="7">
        <v>90</v>
      </c>
      <c r="E535" s="25">
        <v>45957</v>
      </c>
      <c r="F535" s="16"/>
      <c r="G535" s="10"/>
      <c r="H535" s="19">
        <v>11728.64</v>
      </c>
      <c r="I535" s="12">
        <v>11728.64</v>
      </c>
      <c r="J535" s="15">
        <f>I535-H535</f>
        <v>0</v>
      </c>
      <c r="K535" t="s" s="14">
        <v>87</v>
      </c>
      <c r="L535" s="15"/>
      <c r="M535" s="22"/>
      <c r="N535" s="20"/>
      <c r="O535" t="s" s="17">
        <v>19</v>
      </c>
    </row>
    <row r="536" ht="30.45" customHeight="1" hidden="1">
      <c r="A536" t="s" s="4">
        <v>39</v>
      </c>
      <c r="B536" t="s" s="5">
        <v>68</v>
      </c>
      <c r="C536" t="s" s="18">
        <v>988</v>
      </c>
      <c r="D536" t="s" s="7">
        <v>379</v>
      </c>
      <c r="E536" s="25">
        <v>46048</v>
      </c>
      <c r="F536" s="16"/>
      <c r="G536" s="10"/>
      <c r="H536" s="19">
        <v>9614</v>
      </c>
      <c r="I536" s="12">
        <f>H536</f>
        <v>9614</v>
      </c>
      <c r="J536" s="15">
        <f>I536-H536</f>
        <v>0</v>
      </c>
      <c r="K536" t="s" s="14">
        <v>87</v>
      </c>
      <c r="L536" s="15"/>
      <c r="M536" s="22"/>
      <c r="N536" s="20"/>
      <c r="O536" t="s" s="17">
        <v>24</v>
      </c>
    </row>
    <row r="537" ht="30.45" customHeight="1" hidden="1">
      <c r="A537" t="s" s="17">
        <v>39</v>
      </c>
      <c r="B537" t="s" s="5">
        <v>40</v>
      </c>
      <c r="C537" t="s" s="18">
        <v>992</v>
      </c>
      <c r="D537" t="s" s="7">
        <v>993</v>
      </c>
      <c r="E537" s="41">
        <v>45218</v>
      </c>
      <c r="F537" s="9">
        <v>387</v>
      </c>
      <c r="G537" t="s" s="10">
        <v>994</v>
      </c>
      <c r="H537" s="26">
        <v>33468.49</v>
      </c>
      <c r="I537" s="26">
        <v>33460</v>
      </c>
      <c r="J537" s="15">
        <f>I537-H537</f>
        <v>-8.49</v>
      </c>
      <c r="K537" t="s" s="14">
        <v>306</v>
      </c>
      <c r="L537" t="s" s="14">
        <v>995</v>
      </c>
      <c r="M537" s="27">
        <v>45254</v>
      </c>
      <c r="N537" s="16"/>
      <c r="O537" t="s" s="17">
        <v>24</v>
      </c>
    </row>
    <row r="538" ht="30.45" customHeight="1" hidden="1">
      <c r="A538" t="s" s="17">
        <v>39</v>
      </c>
      <c r="B538" t="s" s="5">
        <v>40</v>
      </c>
      <c r="C538" t="s" s="23">
        <v>992</v>
      </c>
      <c r="D538" t="s" s="7">
        <v>996</v>
      </c>
      <c r="E538" s="8">
        <v>45526</v>
      </c>
      <c r="F538" t="s" s="10">
        <v>997</v>
      </c>
      <c r="G538" t="s" s="10">
        <v>998</v>
      </c>
      <c r="H538" s="15">
        <v>34038.74</v>
      </c>
      <c r="I538" s="12">
        <v>34038.74</v>
      </c>
      <c r="J538" s="15">
        <f>I538-H538</f>
        <v>0</v>
      </c>
      <c r="K538" t="s" s="14">
        <v>306</v>
      </c>
      <c r="L538" s="20"/>
      <c r="M538" s="16"/>
      <c r="N538" s="20"/>
      <c r="O538" t="s" s="17">
        <v>24</v>
      </c>
    </row>
    <row r="539" ht="30.45" customHeight="1" hidden="1">
      <c r="A539" t="s" s="17">
        <v>39</v>
      </c>
      <c r="B539" t="s" s="5">
        <v>40</v>
      </c>
      <c r="C539" t="s" s="28">
        <v>992</v>
      </c>
      <c r="D539" t="s" s="7">
        <v>996</v>
      </c>
      <c r="E539" s="8">
        <v>45743</v>
      </c>
      <c r="F539" t="s" s="10">
        <v>999</v>
      </c>
      <c r="G539" t="s" s="10">
        <v>1000</v>
      </c>
      <c r="H539" s="29">
        <v>30135.318</v>
      </c>
      <c r="I539" s="12">
        <v>30000</v>
      </c>
      <c r="J539" s="15">
        <f>I539-H539</f>
        <v>-135.318</v>
      </c>
      <c r="K539" t="s" s="14">
        <v>306</v>
      </c>
      <c r="L539" s="20"/>
      <c r="M539" s="16"/>
      <c r="N539" s="20"/>
      <c r="O539" t="s" s="17">
        <v>24</v>
      </c>
    </row>
    <row r="540" ht="30.45" customHeight="1" hidden="1">
      <c r="A540" t="s" s="17">
        <v>39</v>
      </c>
      <c r="B540" t="s" s="5">
        <v>40</v>
      </c>
      <c r="C540" t="s" s="28">
        <v>992</v>
      </c>
      <c r="D540" t="s" s="7">
        <v>996</v>
      </c>
      <c r="E540" s="8">
        <v>45902</v>
      </c>
      <c r="F540" t="s" s="10">
        <v>1001</v>
      </c>
      <c r="G540" t="s" s="10">
        <v>1002</v>
      </c>
      <c r="H540" s="50">
        <v>15355.095</v>
      </c>
      <c r="I540" s="12">
        <v>15350</v>
      </c>
      <c r="J540" s="15">
        <f>I540-H540</f>
        <v>-5.095</v>
      </c>
      <c r="K540" t="s" s="14">
        <v>306</v>
      </c>
      <c r="L540" s="20"/>
      <c r="M540" s="16"/>
      <c r="N540" s="20"/>
      <c r="O540" t="s" s="17">
        <v>24</v>
      </c>
    </row>
    <row r="541" ht="30.45" customHeight="1" hidden="1">
      <c r="A541" t="s" s="21">
        <v>20</v>
      </c>
      <c r="B541" t="s" s="5">
        <v>40</v>
      </c>
      <c r="C541" t="s" s="18">
        <v>992</v>
      </c>
      <c r="D541" t="s" s="7">
        <v>996</v>
      </c>
      <c r="E541" s="8">
        <v>46083</v>
      </c>
      <c r="F541" t="s" s="10">
        <v>1003</v>
      </c>
      <c r="G541" t="s" s="10">
        <v>1004</v>
      </c>
      <c r="H541" s="19">
        <v>39448.8</v>
      </c>
      <c r="I541" s="12">
        <v>39509.97</v>
      </c>
      <c r="J541" s="15">
        <f>I541-H541</f>
        <v>61.17</v>
      </c>
      <c r="K541" t="s" s="14">
        <v>306</v>
      </c>
      <c r="L541" s="20"/>
      <c r="M541" s="16"/>
      <c r="N541" s="20"/>
      <c r="O541" t="s" s="17">
        <v>24</v>
      </c>
    </row>
    <row r="542" ht="30.45" customHeight="1" hidden="1">
      <c r="A542" t="s" s="30">
        <v>39</v>
      </c>
      <c r="B542" t="s" s="5">
        <v>97</v>
      </c>
      <c r="C542" t="s" s="18">
        <v>992</v>
      </c>
      <c r="D542" t="s" s="7">
        <v>996</v>
      </c>
      <c r="E542" s="25">
        <v>45758</v>
      </c>
      <c r="F542" t="s" s="10">
        <v>1005</v>
      </c>
      <c r="G542" t="s" s="10">
        <v>1006</v>
      </c>
      <c r="H542" s="29">
        <v>31651.2</v>
      </c>
      <c r="I542" s="12">
        <v>31650</v>
      </c>
      <c r="J542" s="13">
        <f>I542-H542</f>
        <v>-1.2</v>
      </c>
      <c r="K542" t="s" s="14">
        <v>306</v>
      </c>
      <c r="L542" s="20"/>
      <c r="M542" s="16"/>
      <c r="N542" s="20"/>
      <c r="O542" t="s" s="17">
        <v>24</v>
      </c>
    </row>
    <row r="543" ht="30.45" customHeight="1" hidden="1">
      <c r="A543" t="s" s="17">
        <v>96</v>
      </c>
      <c r="B543" t="s" s="5">
        <v>61</v>
      </c>
      <c r="C543" t="s" s="6">
        <v>992</v>
      </c>
      <c r="D543" s="92"/>
      <c r="E543" s="16"/>
      <c r="F543" s="16"/>
      <c r="G543" s="55">
        <v>1128</v>
      </c>
      <c r="H543" s="93"/>
      <c r="I543" s="16"/>
      <c r="J543" s="15">
        <f>I543-H543</f>
        <v>0</v>
      </c>
      <c r="K543" t="s" s="14">
        <v>24</v>
      </c>
      <c r="L543" s="20"/>
      <c r="M543" s="16"/>
      <c r="N543" t="s" s="14">
        <v>1007</v>
      </c>
      <c r="O543" t="s" s="17">
        <v>19</v>
      </c>
    </row>
    <row r="544" ht="30.45" customHeight="1" hidden="1">
      <c r="A544" t="s" s="17">
        <v>39</v>
      </c>
      <c r="B544" t="s" s="5">
        <v>30</v>
      </c>
      <c r="C544" t="s" s="18">
        <v>1008</v>
      </c>
      <c r="D544" t="s" s="7">
        <v>545</v>
      </c>
      <c r="E544" s="8">
        <v>45323</v>
      </c>
      <c r="F544" s="16"/>
      <c r="G544" s="9">
        <v>1858</v>
      </c>
      <c r="H544" s="29">
        <v>17724</v>
      </c>
      <c r="I544" s="42"/>
      <c r="J544" s="15"/>
      <c r="K544" t="s" s="14">
        <v>153</v>
      </c>
      <c r="L544" s="20"/>
      <c r="M544" t="s" s="10">
        <v>142</v>
      </c>
      <c r="N544" t="s" s="10">
        <v>1009</v>
      </c>
      <c r="O544" t="s" s="17">
        <v>24</v>
      </c>
    </row>
    <row r="545" ht="30.45" customHeight="1" hidden="1">
      <c r="A545" t="s" s="21">
        <v>20</v>
      </c>
      <c r="B545" t="s" s="5">
        <v>30</v>
      </c>
      <c r="C545" t="s" s="18">
        <v>1010</v>
      </c>
      <c r="D545" t="s" s="7">
        <v>206</v>
      </c>
      <c r="E545" s="8">
        <v>45911</v>
      </c>
      <c r="F545" s="10"/>
      <c r="G545" t="s" s="10">
        <v>1011</v>
      </c>
      <c r="H545" s="19">
        <v>9280</v>
      </c>
      <c r="I545" s="12">
        <v>9280</v>
      </c>
      <c r="J545" s="13">
        <f>I545-H545</f>
        <v>0</v>
      </c>
      <c r="K545" t="s" s="14">
        <v>209</v>
      </c>
      <c r="L545" s="20"/>
      <c r="M545" s="16"/>
      <c r="N545" s="20"/>
      <c r="O545" t="s" s="17">
        <v>24</v>
      </c>
    </row>
    <row r="546" ht="30.45" customHeight="1" hidden="1">
      <c r="A546" t="s" s="21">
        <v>20</v>
      </c>
      <c r="B546" t="s" s="5">
        <v>30</v>
      </c>
      <c r="C546" t="s" s="18">
        <v>1010</v>
      </c>
      <c r="D546" t="s" s="7">
        <v>206</v>
      </c>
      <c r="E546" s="8">
        <v>46038</v>
      </c>
      <c r="F546" s="10"/>
      <c r="G546" t="s" s="10">
        <v>1012</v>
      </c>
      <c r="H546" s="19">
        <v>17567</v>
      </c>
      <c r="I546" s="12">
        <f>H546</f>
        <v>17567</v>
      </c>
      <c r="J546" s="13">
        <f>I546-H546</f>
        <v>0</v>
      </c>
      <c r="K546" t="s" s="14">
        <v>209</v>
      </c>
      <c r="L546" s="20"/>
      <c r="M546" s="16"/>
      <c r="N546" s="20"/>
      <c r="O546" t="s" s="17">
        <v>24</v>
      </c>
    </row>
    <row r="547" ht="30.45" customHeight="1" hidden="1">
      <c r="A547" t="s" s="4">
        <v>39</v>
      </c>
      <c r="B547" t="s" s="5">
        <v>36</v>
      </c>
      <c r="C547" t="s" s="18">
        <v>1013</v>
      </c>
      <c r="D547" t="s" s="7">
        <v>706</v>
      </c>
      <c r="E547" s="25">
        <v>45999</v>
      </c>
      <c r="F547" t="s" s="10">
        <v>1014</v>
      </c>
      <c r="G547" t="s" s="10">
        <v>1015</v>
      </c>
      <c r="H547" s="19">
        <v>19501.248</v>
      </c>
      <c r="I547" s="12">
        <v>19500</v>
      </c>
      <c r="J547" s="15">
        <f>I547-H547</f>
        <v>-1.248</v>
      </c>
      <c r="K547" t="s" s="14">
        <v>84</v>
      </c>
      <c r="L547" s="20"/>
      <c r="M547" s="16"/>
      <c r="N547" s="20"/>
      <c r="O547" t="s" s="17">
        <v>24</v>
      </c>
    </row>
    <row r="548" ht="30.45" customHeight="1" hidden="1">
      <c r="A548" t="s" s="21">
        <v>20</v>
      </c>
      <c r="B548" t="s" s="5">
        <v>79</v>
      </c>
      <c r="C548" t="s" s="23">
        <v>1016</v>
      </c>
      <c r="D548" t="s" s="7">
        <v>1017</v>
      </c>
      <c r="E548" s="25">
        <v>42056</v>
      </c>
      <c r="F548" t="s" s="10">
        <v>86</v>
      </c>
      <c r="G548" t="s" s="10">
        <v>1018</v>
      </c>
      <c r="H548" s="19">
        <v>14212.5</v>
      </c>
      <c r="I548" s="12">
        <v>14211</v>
      </c>
      <c r="J548" s="13">
        <f>I548-H548</f>
        <v>-1.5</v>
      </c>
      <c r="K548" t="s" s="14">
        <v>84</v>
      </c>
      <c r="L548" s="20"/>
      <c r="M548" s="16"/>
      <c r="N548" s="20"/>
      <c r="O548" t="s" s="17">
        <v>24</v>
      </c>
    </row>
    <row r="549" ht="30.45" customHeight="1" hidden="1">
      <c r="A549" t="s" s="21">
        <v>20</v>
      </c>
      <c r="B549" t="s" s="5">
        <v>97</v>
      </c>
      <c r="C549" t="s" s="23">
        <v>1016</v>
      </c>
      <c r="D549" t="s" s="7">
        <v>1017</v>
      </c>
      <c r="E549" s="25">
        <v>45709</v>
      </c>
      <c r="F549" t="s" s="10">
        <v>1019</v>
      </c>
      <c r="G549" t="s" s="10">
        <v>1020</v>
      </c>
      <c r="H549" s="19">
        <v>25236</v>
      </c>
      <c r="I549" s="12">
        <v>25236</v>
      </c>
      <c r="J549" s="13">
        <f>I549-H549</f>
        <v>0</v>
      </c>
      <c r="K549" t="s" s="14">
        <v>84</v>
      </c>
      <c r="L549" s="20"/>
      <c r="M549" s="16"/>
      <c r="N549" s="20"/>
      <c r="O549" t="s" s="17">
        <v>24</v>
      </c>
    </row>
    <row r="550" ht="30.45" customHeight="1" hidden="1">
      <c r="A550" t="s" s="21">
        <v>20</v>
      </c>
      <c r="B550" t="s" s="5">
        <v>97</v>
      </c>
      <c r="C550" t="s" s="18">
        <v>1016</v>
      </c>
      <c r="D550" t="s" s="7">
        <v>706</v>
      </c>
      <c r="E550" s="25">
        <v>45832</v>
      </c>
      <c r="F550" t="s" s="10">
        <v>1021</v>
      </c>
      <c r="G550" t="s" s="10">
        <v>1022</v>
      </c>
      <c r="H550" s="19">
        <v>61564</v>
      </c>
      <c r="I550" s="12">
        <v>61564</v>
      </c>
      <c r="J550" s="13">
        <f>I550-H550</f>
        <v>0</v>
      </c>
      <c r="K550" t="s" s="14">
        <v>84</v>
      </c>
      <c r="L550" s="20"/>
      <c r="M550" s="16"/>
      <c r="N550" s="20"/>
      <c r="O550" t="s" s="17">
        <v>24</v>
      </c>
    </row>
    <row r="551" ht="30.45" customHeight="1" hidden="1">
      <c r="A551" t="s" s="21">
        <v>20</v>
      </c>
      <c r="B551" t="s" s="5">
        <v>97</v>
      </c>
      <c r="C551" t="s" s="18">
        <v>1016</v>
      </c>
      <c r="D551" t="s" s="7">
        <v>706</v>
      </c>
      <c r="E551" s="25">
        <v>45862</v>
      </c>
      <c r="F551" t="s" s="10">
        <v>1023</v>
      </c>
      <c r="G551" t="s" s="10">
        <v>1024</v>
      </c>
      <c r="H551" s="19">
        <v>63133.25</v>
      </c>
      <c r="I551" s="12">
        <v>63133</v>
      </c>
      <c r="J551" s="13">
        <f>I551-H551</f>
        <v>-0.25</v>
      </c>
      <c r="K551" t="s" s="14">
        <v>84</v>
      </c>
      <c r="L551" s="20"/>
      <c r="M551" s="16"/>
      <c r="N551" s="20"/>
      <c r="O551" t="s" s="17">
        <v>24</v>
      </c>
    </row>
    <row r="552" ht="30.45" customHeight="1" hidden="1">
      <c r="A552" t="s" s="21">
        <v>20</v>
      </c>
      <c r="B552" t="s" s="5">
        <v>40</v>
      </c>
      <c r="C552" t="s" s="18">
        <v>1025</v>
      </c>
      <c r="D552" t="s" s="7">
        <v>390</v>
      </c>
      <c r="E552" s="8">
        <v>45946</v>
      </c>
      <c r="F552" t="s" s="10">
        <v>1026</v>
      </c>
      <c r="G552" t="s" s="10">
        <v>1027</v>
      </c>
      <c r="H552" s="19">
        <v>8552.280000000001</v>
      </c>
      <c r="I552" s="12">
        <v>8552.280000000001</v>
      </c>
      <c r="J552" s="15">
        <f>I552-H552</f>
        <v>0</v>
      </c>
      <c r="K552" t="s" s="14">
        <v>92</v>
      </c>
      <c r="L552" s="20"/>
      <c r="M552" s="16"/>
      <c r="N552" s="20"/>
      <c r="O552" t="s" s="17">
        <v>24</v>
      </c>
    </row>
    <row r="553" ht="30.45" customHeight="1" hidden="1">
      <c r="A553" t="s" s="21">
        <v>20</v>
      </c>
      <c r="B553" t="s" s="5">
        <v>40</v>
      </c>
      <c r="C553" t="s" s="18">
        <v>1025</v>
      </c>
      <c r="D553" t="s" s="7">
        <v>390</v>
      </c>
      <c r="E553" s="8">
        <v>46101</v>
      </c>
      <c r="F553" t="s" s="10">
        <v>1028</v>
      </c>
      <c r="G553" t="s" s="10">
        <v>1029</v>
      </c>
      <c r="H553" s="19">
        <v>24280.59</v>
      </c>
      <c r="I553" s="12">
        <f>H553</f>
        <v>24280.59</v>
      </c>
      <c r="J553" s="15">
        <f>I553-H553</f>
        <v>0</v>
      </c>
      <c r="K553" t="s" s="14">
        <v>92</v>
      </c>
      <c r="L553" s="20"/>
      <c r="M553" s="16"/>
      <c r="N553" s="20"/>
      <c r="O553" t="s" s="17">
        <v>24</v>
      </c>
    </row>
    <row r="554" ht="30.45" customHeight="1" hidden="1">
      <c r="A554" t="s" s="21">
        <v>20</v>
      </c>
      <c r="B554" t="s" s="5">
        <v>97</v>
      </c>
      <c r="C554" t="s" s="18">
        <v>1025</v>
      </c>
      <c r="D554" t="s" s="7">
        <v>390</v>
      </c>
      <c r="E554" s="25">
        <v>45968</v>
      </c>
      <c r="F554" t="s" s="10">
        <v>1030</v>
      </c>
      <c r="G554" t="s" s="10">
        <v>1031</v>
      </c>
      <c r="H554" s="19">
        <v>89482.399999999994</v>
      </c>
      <c r="I554" s="12">
        <f>H554</f>
        <v>89482.399999999994</v>
      </c>
      <c r="J554" s="13">
        <f>I554-H554</f>
        <v>0</v>
      </c>
      <c r="K554" t="s" s="14">
        <v>92</v>
      </c>
      <c r="L554" s="20"/>
      <c r="M554" s="16"/>
      <c r="N554" s="20"/>
      <c r="O554" t="s" s="17">
        <v>24</v>
      </c>
    </row>
    <row r="555" ht="30.45" customHeight="1" hidden="1">
      <c r="A555" t="s" s="21">
        <v>20</v>
      </c>
      <c r="B555" t="s" s="5">
        <v>33</v>
      </c>
      <c r="C555" t="s" s="18">
        <v>1025</v>
      </c>
      <c r="D555" t="s" s="7">
        <v>390</v>
      </c>
      <c r="E555" s="8">
        <v>46136</v>
      </c>
      <c r="F555" t="s" s="10">
        <v>1032</v>
      </c>
      <c r="G555" t="s" s="10">
        <v>1033</v>
      </c>
      <c r="H555" s="49">
        <v>9006.98</v>
      </c>
      <c r="I555" s="12">
        <f>H555</f>
        <v>9006.98</v>
      </c>
      <c r="J555" s="15">
        <f>I555-H555</f>
        <v>0</v>
      </c>
      <c r="K555" t="s" s="14">
        <v>92</v>
      </c>
      <c r="L555" s="20"/>
      <c r="M555" s="8"/>
      <c r="N555" s="20"/>
      <c r="O555" t="s" s="17">
        <v>24</v>
      </c>
    </row>
    <row r="556" ht="30.45" customHeight="1" hidden="1">
      <c r="A556" s="32"/>
      <c r="B556" t="s" s="5">
        <v>40</v>
      </c>
      <c r="C556" t="s" s="33">
        <v>1025</v>
      </c>
      <c r="D556" t="s" s="7">
        <v>390</v>
      </c>
      <c r="E556" s="8"/>
      <c r="F556" s="10"/>
      <c r="G556" t="s" s="10">
        <v>1034</v>
      </c>
      <c r="H556" s="15"/>
      <c r="I556" s="26"/>
      <c r="J556" s="15">
        <f>I556-H556</f>
        <v>0</v>
      </c>
      <c r="K556" t="s" s="14">
        <v>24</v>
      </c>
      <c r="L556" s="20"/>
      <c r="M556" s="16"/>
      <c r="N556" s="20"/>
      <c r="O556" t="s" s="17">
        <v>24</v>
      </c>
    </row>
    <row r="557" ht="30.45" customHeight="1" hidden="1">
      <c r="A557" t="s" s="21">
        <v>20</v>
      </c>
      <c r="B557" t="s" s="5">
        <v>633</v>
      </c>
      <c r="C557" t="s" s="18">
        <v>1035</v>
      </c>
      <c r="D557" t="s" s="7">
        <v>206</v>
      </c>
      <c r="E557" s="8">
        <v>45607</v>
      </c>
      <c r="F557" t="s" s="10">
        <v>762</v>
      </c>
      <c r="G557" t="s" s="10">
        <v>1036</v>
      </c>
      <c r="H557" s="19">
        <v>10724.29</v>
      </c>
      <c r="I557" s="12">
        <v>10724.29</v>
      </c>
      <c r="J557" s="13">
        <f>I557-H557</f>
        <v>0</v>
      </c>
      <c r="K557" t="s" s="14">
        <v>209</v>
      </c>
      <c r="L557" s="20"/>
      <c r="M557" s="27">
        <v>45638</v>
      </c>
      <c r="N557" s="20"/>
      <c r="O557" t="s" s="17">
        <v>24</v>
      </c>
    </row>
    <row r="558" ht="30.45" customHeight="1" hidden="1">
      <c r="A558" t="s" s="21">
        <v>20</v>
      </c>
      <c r="B558" t="s" s="5">
        <v>30</v>
      </c>
      <c r="C558" t="s" s="18">
        <v>1035</v>
      </c>
      <c r="D558" t="s" s="7">
        <v>206</v>
      </c>
      <c r="E558" s="8">
        <v>45911</v>
      </c>
      <c r="F558" s="10"/>
      <c r="G558" t="s" s="10">
        <v>1037</v>
      </c>
      <c r="H558" s="19">
        <v>23525</v>
      </c>
      <c r="I558" s="12">
        <v>23525</v>
      </c>
      <c r="J558" s="13">
        <f>I558-H558</f>
        <v>0</v>
      </c>
      <c r="K558" t="s" s="14">
        <v>209</v>
      </c>
      <c r="L558" s="20"/>
      <c r="M558" s="16"/>
      <c r="N558" s="20"/>
      <c r="O558" t="s" s="17">
        <v>24</v>
      </c>
    </row>
    <row r="559" ht="30.45" customHeight="1" hidden="1">
      <c r="A559" t="s" s="30">
        <v>49</v>
      </c>
      <c r="B559" t="s" s="5">
        <v>47</v>
      </c>
      <c r="C559" t="s" s="18">
        <v>1035</v>
      </c>
      <c r="D559" t="s" s="7">
        <v>206</v>
      </c>
      <c r="E559" s="8">
        <v>45747</v>
      </c>
      <c r="F559" t="s" s="10">
        <v>1038</v>
      </c>
      <c r="G559" t="s" s="10">
        <v>1039</v>
      </c>
      <c r="H559" s="15">
        <v>19986.06</v>
      </c>
      <c r="I559" s="12">
        <v>19986</v>
      </c>
      <c r="J559" s="15">
        <f>I559-H559</f>
        <v>-0.06</v>
      </c>
      <c r="K559" t="s" s="14">
        <v>209</v>
      </c>
      <c r="L559" s="20"/>
      <c r="M559" s="8"/>
      <c r="N559" s="20"/>
      <c r="O559" t="s" s="17">
        <v>24</v>
      </c>
    </row>
    <row r="560" ht="30.45" customHeight="1" hidden="1">
      <c r="A560" t="s" s="4">
        <v>49</v>
      </c>
      <c r="B560" t="s" s="5">
        <v>47</v>
      </c>
      <c r="C560" t="s" s="18">
        <v>1035</v>
      </c>
      <c r="D560" t="s" s="7">
        <v>206</v>
      </c>
      <c r="E560" s="8">
        <v>45958</v>
      </c>
      <c r="F560" t="s" s="10">
        <v>1040</v>
      </c>
      <c r="G560" t="s" s="10">
        <v>1041</v>
      </c>
      <c r="H560" s="19">
        <v>15980.74</v>
      </c>
      <c r="I560" s="12">
        <v>15980.9</v>
      </c>
      <c r="J560" s="15">
        <f>I560-H560</f>
        <v>0.16</v>
      </c>
      <c r="K560" t="s" s="14">
        <v>209</v>
      </c>
      <c r="L560" s="20"/>
      <c r="M560" s="8"/>
      <c r="N560" s="20"/>
      <c r="O560" t="s" s="17">
        <v>24</v>
      </c>
    </row>
    <row r="561" ht="30.45" customHeight="1" hidden="1">
      <c r="A561" t="s" s="4">
        <v>49</v>
      </c>
      <c r="B561" t="s" s="5">
        <v>47</v>
      </c>
      <c r="C561" t="s" s="18">
        <v>1035</v>
      </c>
      <c r="D561" t="s" s="7">
        <v>206</v>
      </c>
      <c r="E561" s="8">
        <v>45958</v>
      </c>
      <c r="F561" t="s" s="10">
        <v>1042</v>
      </c>
      <c r="G561" t="s" s="10">
        <v>1041</v>
      </c>
      <c r="H561" s="19">
        <v>6610.59</v>
      </c>
      <c r="I561" s="12">
        <f>H561</f>
        <v>6610.59</v>
      </c>
      <c r="J561" s="15">
        <f>I561-H561</f>
        <v>0</v>
      </c>
      <c r="K561" t="s" s="14">
        <v>209</v>
      </c>
      <c r="L561" s="20"/>
      <c r="M561" s="8"/>
      <c r="N561" s="20"/>
      <c r="O561" t="s" s="17">
        <v>24</v>
      </c>
    </row>
    <row r="562" ht="30.45" customHeight="1" hidden="1">
      <c r="A562" t="s" s="21">
        <v>20</v>
      </c>
      <c r="B562" t="s" s="5">
        <v>97</v>
      </c>
      <c r="C562" t="s" s="23">
        <v>1035</v>
      </c>
      <c r="D562" t="s" s="7">
        <v>206</v>
      </c>
      <c r="E562" s="25">
        <v>45777</v>
      </c>
      <c r="F562" t="s" s="10">
        <v>1043</v>
      </c>
      <c r="G562" t="s" s="10">
        <v>1044</v>
      </c>
      <c r="H562" s="19">
        <v>10284</v>
      </c>
      <c r="I562" s="12">
        <v>10284</v>
      </c>
      <c r="J562" s="13">
        <f>I562-H562</f>
        <v>0</v>
      </c>
      <c r="K562" t="s" s="14">
        <v>209</v>
      </c>
      <c r="L562" s="20"/>
      <c r="M562" s="16"/>
      <c r="N562" s="20"/>
      <c r="O562" t="s" s="17">
        <v>24</v>
      </c>
    </row>
    <row r="563" ht="30.45" customHeight="1" hidden="1">
      <c r="A563" t="s" s="21">
        <v>20</v>
      </c>
      <c r="B563" t="s" s="5">
        <v>61</v>
      </c>
      <c r="C563" t="s" s="18">
        <v>1035</v>
      </c>
      <c r="D563" t="s" s="7">
        <v>206</v>
      </c>
      <c r="E563" s="25">
        <v>45667</v>
      </c>
      <c r="F563" t="s" s="10">
        <v>1045</v>
      </c>
      <c r="G563" t="s" s="10">
        <v>1046</v>
      </c>
      <c r="H563" s="31">
        <v>6981.25</v>
      </c>
      <c r="I563" s="12">
        <v>6981.2</v>
      </c>
      <c r="J563" s="15">
        <f>I563-H563</f>
        <v>-0.05</v>
      </c>
      <c r="K563" t="s" s="14">
        <v>467</v>
      </c>
      <c r="L563" s="15"/>
      <c r="M563" s="16"/>
      <c r="N563" s="20"/>
      <c r="O563" t="s" s="17">
        <v>24</v>
      </c>
    </row>
    <row r="564" ht="30.45" customHeight="1" hidden="1">
      <c r="A564" t="s" s="47">
        <v>12</v>
      </c>
      <c r="B564" t="s" s="5">
        <v>61</v>
      </c>
      <c r="C564" t="s" s="52">
        <v>1047</v>
      </c>
      <c r="D564" t="s" s="7">
        <v>390</v>
      </c>
      <c r="E564" s="25">
        <v>45532</v>
      </c>
      <c r="F564" t="s" s="10">
        <v>1048</v>
      </c>
      <c r="G564" t="s" s="10">
        <v>1049</v>
      </c>
      <c r="H564" s="26">
        <v>8098</v>
      </c>
      <c r="I564" s="26"/>
      <c r="J564" s="15">
        <f>I564-H564</f>
        <v>-8098</v>
      </c>
      <c r="K564" t="s" s="14">
        <v>92</v>
      </c>
      <c r="L564" s="15"/>
      <c r="M564" s="16"/>
      <c r="N564" s="20"/>
      <c r="O564" t="s" s="17">
        <v>19</v>
      </c>
    </row>
    <row r="565" ht="30.45" customHeight="1" hidden="1">
      <c r="A565" t="s" s="17">
        <v>39</v>
      </c>
      <c r="B565" t="s" s="5">
        <v>30</v>
      </c>
      <c r="C565" t="s" s="18">
        <v>1050</v>
      </c>
      <c r="D565" t="s" s="7">
        <v>390</v>
      </c>
      <c r="E565" s="27">
        <v>45273</v>
      </c>
      <c r="F565" s="16"/>
      <c r="G565" t="s" s="10">
        <v>1051</v>
      </c>
      <c r="H565" s="26">
        <v>12989</v>
      </c>
      <c r="I565" s="12">
        <v>12989</v>
      </c>
      <c r="J565" s="15"/>
      <c r="K565" t="s" s="14">
        <v>92</v>
      </c>
      <c r="L565" s="20"/>
      <c r="M565" s="16"/>
      <c r="N565" t="s" s="10">
        <v>1052</v>
      </c>
      <c r="O565" t="s" s="17">
        <v>24</v>
      </c>
    </row>
    <row r="566" ht="30.45" customHeight="1" hidden="1">
      <c r="A566" t="s" s="17">
        <v>39</v>
      </c>
      <c r="B566" t="s" s="5">
        <v>30</v>
      </c>
      <c r="C566" t="s" s="18">
        <v>1050</v>
      </c>
      <c r="D566" t="s" s="7">
        <v>390</v>
      </c>
      <c r="E566" s="8">
        <v>45443</v>
      </c>
      <c r="F566" s="16"/>
      <c r="G566" t="s" s="10">
        <v>1053</v>
      </c>
      <c r="H566" s="24">
        <v>22417.8</v>
      </c>
      <c r="I566" s="40">
        <v>22417.8</v>
      </c>
      <c r="J566" s="15">
        <f>I566-H566</f>
        <v>0</v>
      </c>
      <c r="K566" t="s" s="14">
        <v>92</v>
      </c>
      <c r="L566" s="15"/>
      <c r="M566" s="8">
        <v>45478</v>
      </c>
      <c r="N566" s="20"/>
      <c r="O566" t="s" s="17">
        <v>24</v>
      </c>
    </row>
    <row r="567" ht="30.45" customHeight="1" hidden="1">
      <c r="A567" t="s" s="17">
        <v>39</v>
      </c>
      <c r="B567" t="s" s="5">
        <v>30</v>
      </c>
      <c r="C567" t="s" s="23">
        <v>1050</v>
      </c>
      <c r="D567" t="s" s="7">
        <v>390</v>
      </c>
      <c r="E567" s="8">
        <v>45484</v>
      </c>
      <c r="F567" s="16"/>
      <c r="G567" t="s" s="10">
        <v>1054</v>
      </c>
      <c r="H567" s="19">
        <v>2510</v>
      </c>
      <c r="I567" s="12">
        <v>2510.01</v>
      </c>
      <c r="J567" s="13">
        <f>I567-H567</f>
        <v>0.01</v>
      </c>
      <c r="K567" t="s" s="14">
        <v>24</v>
      </c>
      <c r="L567" s="20"/>
      <c r="M567" s="16"/>
      <c r="N567" s="20"/>
      <c r="O567" t="s" s="17">
        <v>24</v>
      </c>
    </row>
    <row r="568" ht="30.45" customHeight="1" hidden="1">
      <c r="A568" t="s" s="17">
        <v>20</v>
      </c>
      <c r="B568" t="s" s="5">
        <v>33</v>
      </c>
      <c r="C568" t="s" s="18">
        <v>1050</v>
      </c>
      <c r="D568" t="s" s="7">
        <v>390</v>
      </c>
      <c r="E568" s="8">
        <v>45715</v>
      </c>
      <c r="F568" t="s" s="10">
        <v>1055</v>
      </c>
      <c r="G568" t="s" s="10">
        <v>1056</v>
      </c>
      <c r="H568" s="19">
        <v>10434.2</v>
      </c>
      <c r="I568" s="12">
        <v>10434</v>
      </c>
      <c r="J568" s="15">
        <f>I568-H568</f>
        <v>-0.2</v>
      </c>
      <c r="K568" t="s" s="14">
        <v>92</v>
      </c>
      <c r="L568" s="15"/>
      <c r="M568" s="16"/>
      <c r="N568" s="20"/>
      <c r="O568" t="s" s="17">
        <v>24</v>
      </c>
    </row>
    <row r="569" ht="30.45" customHeight="1" hidden="1">
      <c r="A569" t="s" s="17">
        <v>20</v>
      </c>
      <c r="B569" t="s" s="5">
        <v>40</v>
      </c>
      <c r="C569" t="s" s="18">
        <v>1050</v>
      </c>
      <c r="D569" t="s" s="7">
        <v>390</v>
      </c>
      <c r="E569" s="25">
        <v>45274</v>
      </c>
      <c r="F569" s="9">
        <v>430</v>
      </c>
      <c r="G569" t="s" s="10">
        <v>1057</v>
      </c>
      <c r="H569" s="26">
        <v>6628.46</v>
      </c>
      <c r="I569" s="12">
        <v>6628.47</v>
      </c>
      <c r="J569" s="15">
        <f>I569-H569</f>
        <v>0.01</v>
      </c>
      <c r="K569" t="s" s="14">
        <v>92</v>
      </c>
      <c r="L569" s="15"/>
      <c r="M569" s="8">
        <v>45311</v>
      </c>
      <c r="N569" s="16"/>
      <c r="O569" t="s" s="17">
        <v>24</v>
      </c>
    </row>
    <row r="570" ht="30.45" customHeight="1" hidden="1">
      <c r="A570" t="s" s="17">
        <v>39</v>
      </c>
      <c r="B570" t="s" s="5">
        <v>40</v>
      </c>
      <c r="C570" t="s" s="23">
        <v>1050</v>
      </c>
      <c r="D570" t="s" s="7">
        <v>390</v>
      </c>
      <c r="E570" s="8">
        <v>45525</v>
      </c>
      <c r="F570" t="s" s="10">
        <v>1058</v>
      </c>
      <c r="G570" t="s" s="10">
        <v>1059</v>
      </c>
      <c r="H570" s="15">
        <v>5489.81</v>
      </c>
      <c r="I570" s="12">
        <v>5489.82</v>
      </c>
      <c r="J570" s="15">
        <f>I570-H570</f>
        <v>0.01</v>
      </c>
      <c r="K570" t="s" s="14">
        <v>92</v>
      </c>
      <c r="L570" s="20"/>
      <c r="M570" s="16"/>
      <c r="N570" s="20"/>
      <c r="O570" t="s" s="17">
        <v>24</v>
      </c>
    </row>
    <row r="571" ht="30.45" customHeight="1" hidden="1">
      <c r="A571" t="s" s="17">
        <v>49</v>
      </c>
      <c r="B571" t="s" s="5">
        <v>40</v>
      </c>
      <c r="C571" t="s" s="18">
        <v>1050</v>
      </c>
      <c r="D571" t="s" s="7">
        <v>390</v>
      </c>
      <c r="E571" s="8">
        <v>45707</v>
      </c>
      <c r="F571" t="s" s="10">
        <v>1060</v>
      </c>
      <c r="G571" t="s" s="10">
        <v>1061</v>
      </c>
      <c r="H571" s="39">
        <v>8404.15</v>
      </c>
      <c r="I571" s="12">
        <v>8404.15</v>
      </c>
      <c r="J571" s="15">
        <f>I571-H571</f>
        <v>0</v>
      </c>
      <c r="K571" t="s" s="14">
        <v>92</v>
      </c>
      <c r="L571" s="20"/>
      <c r="M571" s="16"/>
      <c r="N571" s="20"/>
      <c r="O571" t="s" s="17">
        <v>24</v>
      </c>
    </row>
    <row r="572" ht="30.45" customHeight="1" hidden="1">
      <c r="A572" t="s" s="17">
        <v>20</v>
      </c>
      <c r="B572" t="s" s="5">
        <v>61</v>
      </c>
      <c r="C572" t="s" s="18">
        <v>1050</v>
      </c>
      <c r="D572" t="s" s="7">
        <v>390</v>
      </c>
      <c r="E572" s="25">
        <v>45331</v>
      </c>
      <c r="F572" t="s" s="10">
        <v>1062</v>
      </c>
      <c r="G572" t="s" s="10">
        <v>1063</v>
      </c>
      <c r="H572" s="19">
        <v>26623</v>
      </c>
      <c r="I572" s="12">
        <v>26635.61</v>
      </c>
      <c r="J572" s="15">
        <f>I572-H572</f>
        <v>12.61</v>
      </c>
      <c r="K572" t="s" s="14">
        <v>92</v>
      </c>
      <c r="L572" s="15"/>
      <c r="M572" s="16"/>
      <c r="N572" t="s" s="14">
        <v>1064</v>
      </c>
      <c r="O572" t="s" s="17">
        <v>24</v>
      </c>
    </row>
    <row r="573" ht="30.45" customHeight="1" hidden="1">
      <c r="A573" t="s" s="47">
        <v>133</v>
      </c>
      <c r="B573" t="s" s="5">
        <v>61</v>
      </c>
      <c r="C573" t="s" s="23">
        <v>1050</v>
      </c>
      <c r="D573" t="s" s="7">
        <v>390</v>
      </c>
      <c r="E573" s="25">
        <v>45555</v>
      </c>
      <c r="F573" t="s" s="10">
        <v>1065</v>
      </c>
      <c r="G573" t="s" s="10">
        <v>1066</v>
      </c>
      <c r="H573" s="94">
        <v>9213.15</v>
      </c>
      <c r="I573" s="12"/>
      <c r="J573" s="15">
        <f>I573-H573</f>
        <v>-9213.15</v>
      </c>
      <c r="K573" t="s" s="14">
        <v>92</v>
      </c>
      <c r="L573" s="15"/>
      <c r="M573" s="16"/>
      <c r="N573" s="20"/>
      <c r="O573" t="s" s="17">
        <v>19</v>
      </c>
    </row>
    <row r="574" ht="30.45" customHeight="1" hidden="1">
      <c r="A574" t="s" s="21">
        <v>20</v>
      </c>
      <c r="B574" t="s" s="5">
        <v>61</v>
      </c>
      <c r="C574" t="s" s="18">
        <v>1050</v>
      </c>
      <c r="D574" t="s" s="7">
        <v>390</v>
      </c>
      <c r="E574" s="25">
        <v>45762</v>
      </c>
      <c r="F574" t="s" s="10">
        <v>1067</v>
      </c>
      <c r="G574" t="s" s="10">
        <v>1068</v>
      </c>
      <c r="H574" s="31">
        <v>9974.219285714280</v>
      </c>
      <c r="I574" s="12">
        <v>9974.219285714280</v>
      </c>
      <c r="J574" s="15">
        <f>I574-H574</f>
        <v>0</v>
      </c>
      <c r="K574" t="s" s="14">
        <v>92</v>
      </c>
      <c r="L574" s="15"/>
      <c r="M574" s="16"/>
      <c r="N574" s="20"/>
      <c r="O574" t="s" s="17">
        <v>24</v>
      </c>
    </row>
    <row r="575" ht="30.45" customHeight="1" hidden="1">
      <c r="A575" t="s" s="17">
        <v>39</v>
      </c>
      <c r="B575" t="s" s="5">
        <v>40</v>
      </c>
      <c r="C575" t="s" s="18">
        <v>1069</v>
      </c>
      <c r="D575" t="s" s="7">
        <v>423</v>
      </c>
      <c r="E575" s="41">
        <v>45218</v>
      </c>
      <c r="F575" s="9">
        <v>385</v>
      </c>
      <c r="G575" t="s" s="10">
        <v>1070</v>
      </c>
      <c r="H575" s="26">
        <v>10738.83</v>
      </c>
      <c r="I575" s="26"/>
      <c r="J575" s="15">
        <f>I575-H575</f>
        <v>-10738.83</v>
      </c>
      <c r="K575" t="s" s="14">
        <v>306</v>
      </c>
      <c r="L575" s="15"/>
      <c r="M575" s="27">
        <v>45254</v>
      </c>
      <c r="N575" s="16"/>
      <c r="O575" t="s" s="17">
        <v>24</v>
      </c>
    </row>
    <row r="576" ht="30.45" customHeight="1" hidden="1">
      <c r="A576" t="s" s="17">
        <v>39</v>
      </c>
      <c r="B576" t="s" s="5">
        <v>40</v>
      </c>
      <c r="C576" t="s" s="76">
        <v>1069</v>
      </c>
      <c r="D576" t="s" s="7">
        <v>423</v>
      </c>
      <c r="E576" s="8">
        <v>45526</v>
      </c>
      <c r="F576" t="s" s="10">
        <v>1071</v>
      </c>
      <c r="G576" t="s" s="10">
        <v>1072</v>
      </c>
      <c r="H576" s="24">
        <v>13326.48</v>
      </c>
      <c r="I576" s="26"/>
      <c r="J576" s="15">
        <f>I576-H576</f>
        <v>-13326.48</v>
      </c>
      <c r="K576" t="s" s="14">
        <v>306</v>
      </c>
      <c r="L576" s="20"/>
      <c r="M576" s="16"/>
      <c r="N576" t="s" s="21">
        <v>704</v>
      </c>
      <c r="O576" t="s" s="17">
        <v>24</v>
      </c>
    </row>
    <row r="577" ht="30.45" customHeight="1" hidden="1">
      <c r="A577" t="s" s="17">
        <v>49</v>
      </c>
      <c r="B577" t="s" s="5">
        <v>40</v>
      </c>
      <c r="C577" t="s" s="28">
        <v>1069</v>
      </c>
      <c r="D577" t="s" s="7">
        <v>423</v>
      </c>
      <c r="E577" s="8">
        <v>45743</v>
      </c>
      <c r="F577" t="s" s="10">
        <v>1073</v>
      </c>
      <c r="G577" t="s" s="10">
        <v>1074</v>
      </c>
      <c r="H577" s="29">
        <v>13778.03</v>
      </c>
      <c r="I577" s="12">
        <v>13778</v>
      </c>
      <c r="J577" s="15">
        <f>I577-H577</f>
        <v>-0.03</v>
      </c>
      <c r="K577" t="s" s="14">
        <v>306</v>
      </c>
      <c r="L577" s="20"/>
      <c r="M577" s="16"/>
      <c r="N577" s="20"/>
      <c r="O577" t="s" s="17">
        <v>24</v>
      </c>
    </row>
    <row r="578" ht="30.45" customHeight="1" hidden="1">
      <c r="A578" t="s" s="17">
        <v>49</v>
      </c>
      <c r="B578" t="s" s="5">
        <v>40</v>
      </c>
      <c r="C578" t="s" s="18">
        <v>1069</v>
      </c>
      <c r="D578" t="s" s="7">
        <v>423</v>
      </c>
      <c r="E578" s="8">
        <v>45902</v>
      </c>
      <c r="F578" t="s" s="10">
        <v>1075</v>
      </c>
      <c r="G578" t="s" s="10">
        <v>1076</v>
      </c>
      <c r="H578" s="19">
        <v>38491.4</v>
      </c>
      <c r="I578" s="12">
        <v>38491</v>
      </c>
      <c r="J578" s="15">
        <f>I578-H578</f>
        <v>-0.4</v>
      </c>
      <c r="K578" t="s" s="14">
        <v>306</v>
      </c>
      <c r="L578" s="20"/>
      <c r="M578" s="16"/>
      <c r="N578" s="20"/>
      <c r="O578" t="s" s="17">
        <v>24</v>
      </c>
    </row>
    <row r="579" ht="30.45" customHeight="1" hidden="1">
      <c r="A579" t="s" s="21">
        <v>49</v>
      </c>
      <c r="B579" t="s" s="5">
        <v>40</v>
      </c>
      <c r="C579" t="s" s="18">
        <v>1069</v>
      </c>
      <c r="D579" t="s" s="7">
        <v>423</v>
      </c>
      <c r="E579" s="8">
        <v>46083</v>
      </c>
      <c r="F579" t="s" s="10">
        <v>1077</v>
      </c>
      <c r="G579" t="s" s="10">
        <v>1078</v>
      </c>
      <c r="H579" s="19">
        <v>41013.99</v>
      </c>
      <c r="I579" s="12">
        <f>H579</f>
        <v>41013.99</v>
      </c>
      <c r="J579" s="15">
        <f>I579-H579</f>
        <v>0</v>
      </c>
      <c r="K579" t="s" s="14">
        <v>306</v>
      </c>
      <c r="L579" s="20"/>
      <c r="M579" s="16"/>
      <c r="N579" s="20"/>
      <c r="O579" t="s" s="17">
        <v>24</v>
      </c>
    </row>
    <row r="580" ht="30.45" customHeight="1" hidden="1">
      <c r="A580" t="s" s="17">
        <v>39</v>
      </c>
      <c r="B580" t="s" s="5">
        <v>633</v>
      </c>
      <c r="C580" t="s" s="28">
        <v>1079</v>
      </c>
      <c r="D580" t="s" s="7">
        <v>15</v>
      </c>
      <c r="E580" s="8">
        <v>45834</v>
      </c>
      <c r="F580" t="s" s="10">
        <v>1080</v>
      </c>
      <c r="G580" t="s" s="10">
        <v>1081</v>
      </c>
      <c r="H580" s="29">
        <v>10545.43</v>
      </c>
      <c r="I580" s="12">
        <v>10545.43</v>
      </c>
      <c r="J580" s="13">
        <f>I580-H580</f>
        <v>0</v>
      </c>
      <c r="K580" t="s" s="14">
        <v>17</v>
      </c>
      <c r="L580" s="20"/>
      <c r="M580" s="16"/>
      <c r="N580" s="20"/>
      <c r="O580" t="s" s="17">
        <v>24</v>
      </c>
    </row>
    <row r="581" ht="30.45" customHeight="1" hidden="1">
      <c r="A581" t="s" s="17">
        <v>49</v>
      </c>
      <c r="B581" t="s" s="5">
        <v>633</v>
      </c>
      <c r="C581" t="s" s="18">
        <v>1079</v>
      </c>
      <c r="D581" t="s" s="7">
        <v>15</v>
      </c>
      <c r="E581" s="8">
        <v>46064</v>
      </c>
      <c r="F581" t="s" s="10">
        <v>1082</v>
      </c>
      <c r="G581" t="s" s="10">
        <v>1083</v>
      </c>
      <c r="H581" s="42">
        <v>26443.46</v>
      </c>
      <c r="I581" s="12">
        <f>H581</f>
        <v>26443.46</v>
      </c>
      <c r="J581" s="13">
        <f>I581-H581</f>
        <v>0</v>
      </c>
      <c r="K581" t="s" s="14">
        <v>17</v>
      </c>
      <c r="L581" s="20"/>
      <c r="M581" s="16"/>
      <c r="N581" s="20"/>
      <c r="O581" t="s" s="17">
        <v>24</v>
      </c>
    </row>
    <row r="582" ht="30.45" customHeight="1" hidden="1">
      <c r="A582" t="s" s="17">
        <v>20</v>
      </c>
      <c r="B582" t="s" s="5">
        <v>79</v>
      </c>
      <c r="C582" t="s" s="23">
        <v>1079</v>
      </c>
      <c r="D582" t="s" s="7">
        <v>15</v>
      </c>
      <c r="E582" s="25">
        <v>45502</v>
      </c>
      <c r="F582" t="s" s="10">
        <v>583</v>
      </c>
      <c r="G582" t="s" s="10">
        <v>1084</v>
      </c>
      <c r="H582" s="19">
        <v>19257</v>
      </c>
      <c r="I582" s="12">
        <v>19250</v>
      </c>
      <c r="J582" s="13">
        <f>I582-H582</f>
        <v>-7</v>
      </c>
      <c r="K582" t="s" s="14">
        <v>24</v>
      </c>
      <c r="L582" s="20"/>
      <c r="M582" s="16"/>
      <c r="N582" s="20"/>
      <c r="O582" t="s" s="17">
        <v>24</v>
      </c>
    </row>
    <row r="583" ht="30.45" customHeight="1" hidden="1">
      <c r="A583" t="s" s="30">
        <v>39</v>
      </c>
      <c r="B583" t="s" s="5">
        <v>79</v>
      </c>
      <c r="C583" t="s" s="28">
        <v>1079</v>
      </c>
      <c r="D583" t="s" s="7">
        <v>15</v>
      </c>
      <c r="E583" s="25">
        <v>45772</v>
      </c>
      <c r="F583" t="s" s="10">
        <v>905</v>
      </c>
      <c r="G583" t="s" s="10">
        <v>1085</v>
      </c>
      <c r="H583" s="50">
        <v>4680.96</v>
      </c>
      <c r="I583" s="12">
        <v>4673</v>
      </c>
      <c r="J583" s="13">
        <f>I583-H583</f>
        <v>-7.96</v>
      </c>
      <c r="K583" t="s" s="14">
        <v>17</v>
      </c>
      <c r="L583" s="20"/>
      <c r="M583" s="16"/>
      <c r="N583" s="20"/>
      <c r="O583" t="s" s="17">
        <v>24</v>
      </c>
    </row>
    <row r="584" ht="30.45" customHeight="1" hidden="1">
      <c r="A584" t="s" s="17">
        <v>39</v>
      </c>
      <c r="B584" t="s" s="5">
        <v>47</v>
      </c>
      <c r="C584" t="s" s="18">
        <v>1079</v>
      </c>
      <c r="D584" t="s" s="7">
        <v>15</v>
      </c>
      <c r="E584" s="8">
        <v>45219</v>
      </c>
      <c r="F584" s="9">
        <v>912</v>
      </c>
      <c r="G584" t="s" s="10">
        <v>1086</v>
      </c>
      <c r="H584" s="26">
        <v>8162.38</v>
      </c>
      <c r="I584" s="26">
        <v>8160</v>
      </c>
      <c r="J584" s="15">
        <f>I584-H584</f>
        <v>-2.38</v>
      </c>
      <c r="K584" t="s" s="14">
        <v>17</v>
      </c>
      <c r="L584" s="15"/>
      <c r="M584" s="27">
        <v>45249</v>
      </c>
      <c r="N584" s="20"/>
      <c r="O584" t="s" s="17">
        <v>24</v>
      </c>
    </row>
    <row r="585" ht="30.45" customHeight="1" hidden="1">
      <c r="A585" t="s" s="30">
        <v>49</v>
      </c>
      <c r="B585" t="s" s="5">
        <v>47</v>
      </c>
      <c r="C585" t="s" s="28">
        <v>1079</v>
      </c>
      <c r="D585" t="s" s="7">
        <v>15</v>
      </c>
      <c r="E585" s="8">
        <v>45603</v>
      </c>
      <c r="F585" t="s" s="10">
        <v>1087</v>
      </c>
      <c r="G585" t="s" s="10">
        <v>1088</v>
      </c>
      <c r="H585" s="29">
        <v>11263.19</v>
      </c>
      <c r="I585" s="12">
        <v>11263.19</v>
      </c>
      <c r="J585" s="15"/>
      <c r="K585" t="s" s="14">
        <v>17</v>
      </c>
      <c r="L585" s="20"/>
      <c r="M585" s="8"/>
      <c r="N585" s="20"/>
      <c r="O585" t="s" s="17">
        <v>24</v>
      </c>
    </row>
    <row r="586" ht="30.45" customHeight="1" hidden="1">
      <c r="A586" t="s" s="30">
        <v>49</v>
      </c>
      <c r="B586" t="s" s="5">
        <v>47</v>
      </c>
      <c r="C586" t="s" s="18">
        <v>1079</v>
      </c>
      <c r="D586" t="s" s="7">
        <v>15</v>
      </c>
      <c r="E586" s="8">
        <v>45747</v>
      </c>
      <c r="F586" t="s" s="10">
        <v>854</v>
      </c>
      <c r="G586" t="s" s="10">
        <v>1089</v>
      </c>
      <c r="H586" s="15">
        <v>18759.92</v>
      </c>
      <c r="I586" s="12">
        <v>18759</v>
      </c>
      <c r="J586" s="15">
        <f>I586-H586</f>
        <v>-0.92</v>
      </c>
      <c r="K586" t="s" s="14">
        <v>17</v>
      </c>
      <c r="L586" s="20"/>
      <c r="M586" s="8"/>
      <c r="N586" s="20"/>
      <c r="O586" t="s" s="17">
        <v>24</v>
      </c>
    </row>
    <row r="587" ht="30.45" customHeight="1" hidden="1">
      <c r="A587" t="s" s="17">
        <v>39</v>
      </c>
      <c r="B587" t="s" s="5">
        <v>97</v>
      </c>
      <c r="C587" t="s" s="28">
        <v>1079</v>
      </c>
      <c r="D587" t="s" s="7">
        <v>15</v>
      </c>
      <c r="E587" s="25">
        <v>45694</v>
      </c>
      <c r="F587" t="s" s="10">
        <v>1090</v>
      </c>
      <c r="G587" t="s" s="10">
        <v>1091</v>
      </c>
      <c r="H587" s="50">
        <v>13326.336</v>
      </c>
      <c r="I587" s="12">
        <v>13300</v>
      </c>
      <c r="J587" s="13">
        <f>I587-H587</f>
        <v>-26.336</v>
      </c>
      <c r="K587" t="s" s="14">
        <v>17</v>
      </c>
      <c r="L587" s="20"/>
      <c r="M587" s="16"/>
      <c r="N587" s="20"/>
      <c r="O587" t="s" s="17">
        <v>24</v>
      </c>
    </row>
    <row r="588" ht="30.45" customHeight="1" hidden="1">
      <c r="A588" t="s" s="21">
        <v>20</v>
      </c>
      <c r="B588" t="s" s="5">
        <v>21</v>
      </c>
      <c r="C588" t="s" s="18">
        <v>1092</v>
      </c>
      <c r="D588" t="s" s="7">
        <v>1093</v>
      </c>
      <c r="E588" s="8">
        <v>45989</v>
      </c>
      <c r="F588" t="s" s="10">
        <v>1094</v>
      </c>
      <c r="G588" t="s" s="10">
        <v>1095</v>
      </c>
      <c r="H588" s="19">
        <v>20374.25</v>
      </c>
      <c r="I588" s="12">
        <f>H588</f>
        <v>20374.25</v>
      </c>
      <c r="J588" s="13">
        <f>I588-H588</f>
        <v>0</v>
      </c>
      <c r="K588" t="s" s="14">
        <v>84</v>
      </c>
      <c r="L588" s="20"/>
      <c r="M588" s="16"/>
      <c r="N588" s="74"/>
      <c r="O588" t="s" s="17">
        <v>24</v>
      </c>
    </row>
    <row r="589" ht="30.45" customHeight="1" hidden="1">
      <c r="A589" t="s" s="21">
        <v>20</v>
      </c>
      <c r="B589" t="s" s="5">
        <v>30</v>
      </c>
      <c r="C589" t="s" s="23">
        <v>1092</v>
      </c>
      <c r="D589" t="s" s="7">
        <v>1093</v>
      </c>
      <c r="E589" s="8">
        <v>45870</v>
      </c>
      <c r="F589" s="10"/>
      <c r="G589" t="s" s="10">
        <v>1096</v>
      </c>
      <c r="H589" s="19">
        <v>20246</v>
      </c>
      <c r="I589" s="12">
        <v>20246</v>
      </c>
      <c r="J589" s="13">
        <f>I589-H589</f>
        <v>0</v>
      </c>
      <c r="K589" t="s" s="14">
        <v>84</v>
      </c>
      <c r="L589" s="20"/>
      <c r="M589" s="16"/>
      <c r="N589" s="20"/>
      <c r="O589" t="s" s="17">
        <v>24</v>
      </c>
    </row>
    <row r="590" ht="30.45" customHeight="1" hidden="1">
      <c r="A590" t="s" s="17">
        <v>39</v>
      </c>
      <c r="B590" t="s" s="5">
        <v>47</v>
      </c>
      <c r="C590" t="s" s="28">
        <v>1092</v>
      </c>
      <c r="D590" t="s" s="7">
        <v>1093</v>
      </c>
      <c r="E590" s="8">
        <v>45219</v>
      </c>
      <c r="F590" s="9">
        <v>914</v>
      </c>
      <c r="G590" t="s" s="10">
        <v>1097</v>
      </c>
      <c r="H590" s="26">
        <v>71926.070000000007</v>
      </c>
      <c r="I590" s="12">
        <v>71926.070000000007</v>
      </c>
      <c r="J590" s="15"/>
      <c r="K590" t="s" s="14">
        <v>17</v>
      </c>
      <c r="L590" s="15"/>
      <c r="M590" s="95">
        <v>45226</v>
      </c>
      <c r="N590" t="s" s="63">
        <v>1098</v>
      </c>
      <c r="O590" t="s" s="17">
        <v>24</v>
      </c>
    </row>
    <row r="591" ht="30.45" customHeight="1" hidden="1">
      <c r="A591" t="s" s="17">
        <v>39</v>
      </c>
      <c r="B591" t="s" s="5">
        <v>47</v>
      </c>
      <c r="C591" t="s" s="28">
        <v>1092</v>
      </c>
      <c r="D591" t="s" s="7">
        <v>1093</v>
      </c>
      <c r="E591" s="8">
        <v>45303</v>
      </c>
      <c r="F591" s="9">
        <v>1048</v>
      </c>
      <c r="G591" s="55">
        <v>1800</v>
      </c>
      <c r="H591" s="29">
        <v>26245.74</v>
      </c>
      <c r="I591" s="12">
        <v>26245.74</v>
      </c>
      <c r="J591" s="15"/>
      <c r="K591" t="s" s="14">
        <v>84</v>
      </c>
      <c r="L591" s="20"/>
      <c r="M591" s="8">
        <v>45333</v>
      </c>
      <c r="N591" s="20"/>
      <c r="O591" t="s" s="17">
        <v>24</v>
      </c>
    </row>
    <row r="592" ht="30.45" customHeight="1" hidden="1">
      <c r="A592" t="s" s="17">
        <v>49</v>
      </c>
      <c r="B592" t="s" s="5">
        <v>47</v>
      </c>
      <c r="C592" t="s" s="28">
        <v>1092</v>
      </c>
      <c r="D592" t="s" s="7">
        <v>1093</v>
      </c>
      <c r="E592" s="8">
        <v>45552</v>
      </c>
      <c r="F592" t="s" s="10">
        <v>1099</v>
      </c>
      <c r="G592" t="s" s="10">
        <v>1100</v>
      </c>
      <c r="H592" s="29">
        <v>22296.05</v>
      </c>
      <c r="I592" s="12">
        <v>22296.05</v>
      </c>
      <c r="J592" s="15">
        <f>I592-H592</f>
        <v>0</v>
      </c>
      <c r="K592" t="s" s="14">
        <v>24</v>
      </c>
      <c r="L592" s="20"/>
      <c r="M592" s="8"/>
      <c r="N592" s="20"/>
      <c r="O592" t="s" s="17">
        <v>24</v>
      </c>
    </row>
    <row r="593" ht="30.45" customHeight="1" hidden="1">
      <c r="A593" t="s" s="30">
        <v>49</v>
      </c>
      <c r="B593" t="s" s="5">
        <v>47</v>
      </c>
      <c r="C593" t="s" s="28">
        <v>1092</v>
      </c>
      <c r="D593" t="s" s="7">
        <v>1093</v>
      </c>
      <c r="E593" s="8">
        <v>45735</v>
      </c>
      <c r="F593" t="s" s="10">
        <v>1101</v>
      </c>
      <c r="G593" t="s" s="10">
        <v>1102</v>
      </c>
      <c r="H593" s="29">
        <v>46532.19</v>
      </c>
      <c r="I593" s="12">
        <v>46532.19</v>
      </c>
      <c r="J593" s="15">
        <f>I593-H593</f>
        <v>0</v>
      </c>
      <c r="K593" t="s" s="14">
        <v>84</v>
      </c>
      <c r="L593" s="20"/>
      <c r="M593" s="8"/>
      <c r="N593" s="20"/>
      <c r="O593" t="s" s="17">
        <v>24</v>
      </c>
    </row>
    <row r="594" ht="30.45" customHeight="1" hidden="1">
      <c r="A594" t="s" s="30">
        <v>49</v>
      </c>
      <c r="B594" t="s" s="5">
        <v>47</v>
      </c>
      <c r="C594" t="s" s="28">
        <v>1092</v>
      </c>
      <c r="D594" t="s" s="7">
        <v>1093</v>
      </c>
      <c r="E594" s="8">
        <v>45793</v>
      </c>
      <c r="F594" t="s" s="10">
        <v>1103</v>
      </c>
      <c r="G594" t="s" s="10">
        <v>1104</v>
      </c>
      <c r="H594" s="15">
        <v>24231.93</v>
      </c>
      <c r="I594" s="12">
        <v>24231.93</v>
      </c>
      <c r="J594" s="15">
        <f>I594-H594</f>
        <v>0</v>
      </c>
      <c r="K594" t="s" s="14">
        <v>17</v>
      </c>
      <c r="L594" s="20"/>
      <c r="M594" s="8"/>
      <c r="N594" s="20"/>
      <c r="O594" t="s" s="17">
        <v>24</v>
      </c>
    </row>
    <row r="595" ht="30.45" customHeight="1" hidden="1">
      <c r="A595" t="s" s="17">
        <v>20</v>
      </c>
      <c r="B595" t="s" s="5">
        <v>97</v>
      </c>
      <c r="C595" t="s" s="23">
        <v>1092</v>
      </c>
      <c r="D595" t="s" s="7">
        <v>1093</v>
      </c>
      <c r="E595" s="25">
        <v>45463</v>
      </c>
      <c r="F595" t="s" s="10">
        <v>1105</v>
      </c>
      <c r="G595" t="s" s="10">
        <v>1106</v>
      </c>
      <c r="H595" s="31">
        <v>17895.4</v>
      </c>
      <c r="I595" s="12">
        <v>17895.4</v>
      </c>
      <c r="J595" s="15">
        <f>I595-H595</f>
        <v>0</v>
      </c>
      <c r="K595" t="s" s="14">
        <v>24</v>
      </c>
      <c r="L595" s="15"/>
      <c r="M595" s="16"/>
      <c r="N595" s="20"/>
      <c r="O595" t="s" s="17">
        <v>24</v>
      </c>
    </row>
    <row r="596" ht="30.45" customHeight="1" hidden="1">
      <c r="A596" t="s" s="21">
        <v>20</v>
      </c>
      <c r="B596" t="s" s="5">
        <v>21</v>
      </c>
      <c r="C596" t="s" s="18">
        <v>1092</v>
      </c>
      <c r="D596" t="s" s="7">
        <v>1093</v>
      </c>
      <c r="E596" s="8">
        <v>46157</v>
      </c>
      <c r="F596" t="s" s="10">
        <v>1107</v>
      </c>
      <c r="G596" t="s" s="10">
        <v>1108</v>
      </c>
      <c r="H596" s="19">
        <v>20882.38</v>
      </c>
      <c r="I596" s="12">
        <f>H596</f>
        <v>20882.38</v>
      </c>
      <c r="J596" s="13">
        <f>I596-H596</f>
        <v>0</v>
      </c>
      <c r="K596" t="s" s="14">
        <v>84</v>
      </c>
      <c r="L596" s="20"/>
      <c r="M596" s="16"/>
      <c r="N596" s="22"/>
      <c r="O596" t="s" s="17">
        <v>24</v>
      </c>
    </row>
    <row r="597" ht="30.45" customHeight="1" hidden="1">
      <c r="A597" t="s" s="21">
        <v>20</v>
      </c>
      <c r="B597" t="s" s="5">
        <v>30</v>
      </c>
      <c r="C597" t="s" s="18">
        <v>1092</v>
      </c>
      <c r="D597" t="s" s="7">
        <v>1093</v>
      </c>
      <c r="E597" s="8">
        <v>46160</v>
      </c>
      <c r="F597" s="10"/>
      <c r="G597" t="s" s="10">
        <v>1109</v>
      </c>
      <c r="H597" s="19">
        <v>39770</v>
      </c>
      <c r="I597" s="12">
        <f>H597</f>
        <v>39770</v>
      </c>
      <c r="J597" s="13">
        <f>I597-H597</f>
        <v>0</v>
      </c>
      <c r="K597" t="s" s="14">
        <v>17</v>
      </c>
      <c r="L597" s="20"/>
      <c r="M597" s="16"/>
      <c r="N597" s="20"/>
      <c r="O597" t="s" s="17">
        <v>24</v>
      </c>
    </row>
    <row r="598" ht="30.45" customHeight="1" hidden="1">
      <c r="A598" t="s" s="17">
        <v>732</v>
      </c>
      <c r="B598" t="s" s="5">
        <v>633</v>
      </c>
      <c r="C598" t="s" s="28">
        <v>1092</v>
      </c>
      <c r="D598" t="s" s="7">
        <v>1093</v>
      </c>
      <c r="E598" s="8">
        <v>46171</v>
      </c>
      <c r="F598" t="s" s="10">
        <v>1110</v>
      </c>
      <c r="G598" t="s" s="10">
        <v>1111</v>
      </c>
      <c r="H598" s="50">
        <v>23692.44</v>
      </c>
      <c r="I598" s="12">
        <f>H598</f>
        <v>23692.44</v>
      </c>
      <c r="J598" s="13">
        <f>I598-H598</f>
        <v>0</v>
      </c>
      <c r="K598" t="s" s="14">
        <v>84</v>
      </c>
      <c r="L598" s="20"/>
      <c r="M598" s="16"/>
      <c r="N598" s="20"/>
      <c r="O598" t="s" s="17">
        <v>24</v>
      </c>
    </row>
    <row r="599" ht="30.45" customHeight="1" hidden="1">
      <c r="A599" t="s" s="21">
        <v>1112</v>
      </c>
      <c r="B599" t="s" s="5">
        <v>1113</v>
      </c>
      <c r="C599" t="s" s="6">
        <v>1092</v>
      </c>
      <c r="D599" t="s" s="7">
        <v>1093</v>
      </c>
      <c r="E599" s="8">
        <v>46202</v>
      </c>
      <c r="F599" s="10"/>
      <c r="G599" t="s" s="10">
        <v>1114</v>
      </c>
      <c r="H599" s="15">
        <v>49420.4</v>
      </c>
      <c r="I599" s="26"/>
      <c r="J599" s="15">
        <f>I599-H599</f>
        <v>-49420.4</v>
      </c>
      <c r="K599" t="s" s="14">
        <v>84</v>
      </c>
      <c r="L599" s="20"/>
      <c r="M599" s="16"/>
      <c r="N599" s="20"/>
      <c r="O599" t="s" s="17">
        <v>24</v>
      </c>
    </row>
    <row r="600" ht="30.45" customHeight="1" hidden="1">
      <c r="A600" t="s" s="4">
        <v>49</v>
      </c>
      <c r="B600" t="s" s="5">
        <v>47</v>
      </c>
      <c r="C600" t="s" s="18">
        <v>1115</v>
      </c>
      <c r="D600" t="s" s="7">
        <v>1093</v>
      </c>
      <c r="E600" s="8">
        <v>45958</v>
      </c>
      <c r="F600" t="s" s="10">
        <v>1116</v>
      </c>
      <c r="G600" t="s" s="10">
        <v>1117</v>
      </c>
      <c r="H600" s="19">
        <v>30671.24</v>
      </c>
      <c r="I600" s="12">
        <v>30671.24</v>
      </c>
      <c r="J600" s="15">
        <f>I600-H600</f>
        <v>0</v>
      </c>
      <c r="K600" t="s" s="14">
        <v>17</v>
      </c>
      <c r="L600" s="20"/>
      <c r="M600" s="8"/>
      <c r="N600" s="20"/>
      <c r="O600" t="s" s="17">
        <v>24</v>
      </c>
    </row>
    <row r="601" ht="30.45" customHeight="1" hidden="1">
      <c r="A601" t="s" s="21">
        <v>39</v>
      </c>
      <c r="B601" t="s" s="5">
        <v>97</v>
      </c>
      <c r="C601" t="s" s="18">
        <v>1118</v>
      </c>
      <c r="D601" t="s" s="7">
        <v>90</v>
      </c>
      <c r="E601" s="25">
        <v>45877</v>
      </c>
      <c r="F601" t="s" s="10">
        <v>1119</v>
      </c>
      <c r="G601" t="s" s="10">
        <v>1120</v>
      </c>
      <c r="H601" s="19">
        <v>28757.9</v>
      </c>
      <c r="I601" s="12">
        <v>28758</v>
      </c>
      <c r="J601" s="13">
        <f>I601-H601</f>
        <v>0.1</v>
      </c>
      <c r="K601" t="s" s="14">
        <v>87</v>
      </c>
      <c r="L601" s="20"/>
      <c r="M601" s="16"/>
      <c r="N601" s="20"/>
      <c r="O601" t="s" s="17">
        <v>24</v>
      </c>
    </row>
    <row r="602" ht="30.45" customHeight="1" hidden="1">
      <c r="A602" t="s" s="36">
        <v>1121</v>
      </c>
      <c r="B602" t="s" s="5">
        <v>97</v>
      </c>
      <c r="C602" t="s" s="23">
        <v>1118</v>
      </c>
      <c r="D602" t="s" s="7">
        <v>90</v>
      </c>
      <c r="E602" s="25">
        <v>45995</v>
      </c>
      <c r="F602" t="s" s="10">
        <v>1122</v>
      </c>
      <c r="G602" t="s" s="10">
        <v>1123</v>
      </c>
      <c r="H602" s="19">
        <v>31085.7</v>
      </c>
      <c r="I602" s="12">
        <v>23434.28</v>
      </c>
      <c r="J602" s="13">
        <f>I602-H602</f>
        <v>-7651.42</v>
      </c>
      <c r="K602" t="s" s="14">
        <v>87</v>
      </c>
      <c r="L602" s="20"/>
      <c r="M602" s="16"/>
      <c r="N602" s="20"/>
      <c r="O602" t="s" s="17">
        <v>24</v>
      </c>
    </row>
    <row r="603" ht="30.45" customHeight="1" hidden="1">
      <c r="A603" t="s" s="30">
        <v>39</v>
      </c>
      <c r="B603" t="s" s="5">
        <v>36</v>
      </c>
      <c r="C603" t="s" s="28">
        <v>1124</v>
      </c>
      <c r="D603" t="s" s="7">
        <v>393</v>
      </c>
      <c r="E603" s="8">
        <v>46129</v>
      </c>
      <c r="F603" s="9">
        <v>4065</v>
      </c>
      <c r="G603" t="s" s="10">
        <v>1125</v>
      </c>
      <c r="H603" s="50">
        <v>47887.8</v>
      </c>
      <c r="I603" s="12">
        <f>H603</f>
        <v>47887.8</v>
      </c>
      <c r="J603" s="15">
        <f>I603-H603</f>
        <v>0</v>
      </c>
      <c r="K603" t="s" s="14">
        <v>396</v>
      </c>
      <c r="L603" s="20"/>
      <c r="M603" s="16"/>
      <c r="N603" s="20"/>
      <c r="O603" t="s" s="17">
        <v>24</v>
      </c>
    </row>
    <row r="604" ht="30.45" customHeight="1">
      <c r="A604" t="s" s="17">
        <v>654</v>
      </c>
      <c r="B604" t="s" s="5">
        <v>61</v>
      </c>
      <c r="C604" t="s" s="6">
        <v>1124</v>
      </c>
      <c r="D604" t="s" s="7">
        <v>393</v>
      </c>
      <c r="E604" s="8">
        <v>46206</v>
      </c>
      <c r="F604" t="s" s="10">
        <v>1126</v>
      </c>
      <c r="G604" t="s" s="10">
        <v>1127</v>
      </c>
      <c r="H604" s="48">
        <v>6144.4</v>
      </c>
      <c r="I604" s="26"/>
      <c r="J604" s="15">
        <f>I604-H604</f>
        <v>-6144.4</v>
      </c>
      <c r="K604" t="s" s="14">
        <v>396</v>
      </c>
      <c r="L604" s="20"/>
      <c r="M604" s="16"/>
      <c r="N604" s="20"/>
      <c r="O604" t="s" s="17">
        <v>24</v>
      </c>
    </row>
    <row r="605" ht="30.45" customHeight="1" hidden="1">
      <c r="A605" t="s" s="17">
        <v>39</v>
      </c>
      <c r="B605" t="s" s="5">
        <v>633</v>
      </c>
      <c r="C605" t="s" s="6">
        <v>1128</v>
      </c>
      <c r="D605" t="s" s="7">
        <v>393</v>
      </c>
      <c r="E605" s="8">
        <v>45448</v>
      </c>
      <c r="F605" t="s" s="10">
        <v>232</v>
      </c>
      <c r="G605" t="s" s="10">
        <v>1129</v>
      </c>
      <c r="H605" s="15">
        <v>67914.25</v>
      </c>
      <c r="I605" s="12">
        <v>67914.12</v>
      </c>
      <c r="J605" s="13">
        <f>I605-H605</f>
        <v>-0.13</v>
      </c>
      <c r="K605" t="s" s="14">
        <v>396</v>
      </c>
      <c r="L605" s="15"/>
      <c r="M605" s="16"/>
      <c r="N605" s="20"/>
      <c r="O605" t="s" s="17">
        <v>24</v>
      </c>
    </row>
    <row r="606" ht="30.45" customHeight="1" hidden="1">
      <c r="A606" t="s" s="30">
        <v>49</v>
      </c>
      <c r="B606" t="s" s="5">
        <v>47</v>
      </c>
      <c r="C606" t="s" s="28">
        <v>1128</v>
      </c>
      <c r="D606" t="s" s="7">
        <v>393</v>
      </c>
      <c r="E606" s="8">
        <v>45574</v>
      </c>
      <c r="F606" t="s" s="10">
        <v>1130</v>
      </c>
      <c r="G606" t="s" s="10">
        <v>1131</v>
      </c>
      <c r="H606" s="29">
        <v>22514.81</v>
      </c>
      <c r="I606" s="12">
        <v>22514.81</v>
      </c>
      <c r="J606" s="15">
        <f>I606-H606</f>
        <v>0</v>
      </c>
      <c r="K606" t="s" s="14">
        <v>396</v>
      </c>
      <c r="L606" s="20"/>
      <c r="M606" s="8"/>
      <c r="N606" s="20"/>
      <c r="O606" t="s" s="17">
        <v>24</v>
      </c>
    </row>
    <row r="607" ht="30.45" customHeight="1" hidden="1">
      <c r="A607" t="s" s="17">
        <v>20</v>
      </c>
      <c r="B607" t="s" s="5">
        <v>21</v>
      </c>
      <c r="C607" t="s" s="18">
        <v>1132</v>
      </c>
      <c r="D607" t="s" s="7">
        <v>683</v>
      </c>
      <c r="E607" s="8">
        <v>45693</v>
      </c>
      <c r="F607" t="s" s="10">
        <v>1133</v>
      </c>
      <c r="G607" t="s" s="10">
        <v>1134</v>
      </c>
      <c r="H607" s="19">
        <v>14213.61</v>
      </c>
      <c r="I607" s="12">
        <v>14213.61</v>
      </c>
      <c r="J607" s="13">
        <f>I607-H607</f>
        <v>0</v>
      </c>
      <c r="K607" t="s" s="14">
        <v>467</v>
      </c>
      <c r="L607" s="20"/>
      <c r="M607" s="16"/>
      <c r="N607" s="20"/>
      <c r="O607" t="s" s="17">
        <v>24</v>
      </c>
    </row>
    <row r="608" ht="30.45" customHeight="1" hidden="1">
      <c r="A608" t="s" s="17">
        <v>39</v>
      </c>
      <c r="B608" t="s" s="5">
        <v>21</v>
      </c>
      <c r="C608" t="s" s="23">
        <v>1132</v>
      </c>
      <c r="D608" t="s" s="7">
        <v>683</v>
      </c>
      <c r="E608" s="8">
        <v>45702</v>
      </c>
      <c r="F608" t="s" s="10">
        <v>1135</v>
      </c>
      <c r="G608" t="s" s="10">
        <v>1134</v>
      </c>
      <c r="H608" s="19">
        <v>7861.6</v>
      </c>
      <c r="I608" s="12">
        <v>7861.6</v>
      </c>
      <c r="J608" s="13">
        <f>I608-H608</f>
        <v>0</v>
      </c>
      <c r="K608" t="s" s="14">
        <v>467</v>
      </c>
      <c r="L608" s="20"/>
      <c r="M608" s="16"/>
      <c r="N608" s="20"/>
      <c r="O608" t="s" s="17">
        <v>24</v>
      </c>
    </row>
    <row r="609" ht="30.45" customHeight="1" hidden="1">
      <c r="A609" t="s" s="21">
        <v>20</v>
      </c>
      <c r="B609" t="s" s="5">
        <v>21</v>
      </c>
      <c r="C609" t="s" s="18">
        <v>1132</v>
      </c>
      <c r="D609" t="s" s="7">
        <v>683</v>
      </c>
      <c r="E609" s="8">
        <v>46065</v>
      </c>
      <c r="F609" t="s" s="10">
        <v>1136</v>
      </c>
      <c r="G609" t="s" s="10">
        <v>1137</v>
      </c>
      <c r="H609" s="19">
        <v>8490</v>
      </c>
      <c r="I609" s="12">
        <f>H609</f>
        <v>8490</v>
      </c>
      <c r="J609" s="13">
        <f>I609-H609</f>
        <v>0</v>
      </c>
      <c r="K609" t="s" s="14">
        <v>467</v>
      </c>
      <c r="L609" s="20"/>
      <c r="M609" s="16"/>
      <c r="N609" s="22"/>
      <c r="O609" t="s" s="17">
        <v>24</v>
      </c>
    </row>
    <row r="610" ht="30.45" customHeight="1" hidden="1">
      <c r="A610" t="s" s="17">
        <v>39</v>
      </c>
      <c r="B610" t="s" s="5">
        <v>29</v>
      </c>
      <c r="C610" t="s" s="18">
        <v>1132</v>
      </c>
      <c r="D610" t="s" s="7">
        <v>683</v>
      </c>
      <c r="E610" s="8">
        <v>45264</v>
      </c>
      <c r="F610" t="s" s="10">
        <v>24</v>
      </c>
      <c r="G610" s="55">
        <v>1593</v>
      </c>
      <c r="H610" s="26">
        <v>2760.55</v>
      </c>
      <c r="I610" s="12">
        <v>2760.55</v>
      </c>
      <c r="J610" s="20"/>
      <c r="K610" t="s" s="14">
        <v>467</v>
      </c>
      <c r="L610" s="20"/>
      <c r="M610" s="43">
        <v>45301</v>
      </c>
      <c r="N610" s="16"/>
      <c r="O610" t="s" s="17">
        <v>24</v>
      </c>
    </row>
    <row r="611" ht="30.45" customHeight="1" hidden="1">
      <c r="A611" t="s" s="17">
        <v>20</v>
      </c>
      <c r="B611" t="s" s="5">
        <v>30</v>
      </c>
      <c r="C611" t="s" s="23">
        <v>1132</v>
      </c>
      <c r="D611" t="s" s="7">
        <v>683</v>
      </c>
      <c r="E611" s="8">
        <v>45516</v>
      </c>
      <c r="F611" s="16"/>
      <c r="G611" t="s" s="10">
        <v>1138</v>
      </c>
      <c r="H611" s="19">
        <v>27918</v>
      </c>
      <c r="I611" s="12">
        <v>27918</v>
      </c>
      <c r="J611" s="13">
        <f>I611-H611</f>
        <v>0</v>
      </c>
      <c r="K611" t="s" s="14">
        <v>467</v>
      </c>
      <c r="L611" s="20"/>
      <c r="M611" s="16"/>
      <c r="N611" s="20"/>
      <c r="O611" t="s" s="17">
        <v>24</v>
      </c>
    </row>
    <row r="612" ht="30.45" customHeight="1" hidden="1">
      <c r="A612" t="s" s="21">
        <v>20</v>
      </c>
      <c r="B612" t="s" s="5">
        <v>30</v>
      </c>
      <c r="C612" t="s" s="18">
        <v>1132</v>
      </c>
      <c r="D612" t="s" s="7">
        <v>683</v>
      </c>
      <c r="E612" s="8">
        <v>45617</v>
      </c>
      <c r="F612" s="16"/>
      <c r="G612" t="s" s="10">
        <v>1139</v>
      </c>
      <c r="H612" s="19">
        <v>30392</v>
      </c>
      <c r="I612" s="12">
        <v>30392</v>
      </c>
      <c r="J612" s="13">
        <f>I612-H612</f>
        <v>0</v>
      </c>
      <c r="K612" t="s" s="14">
        <v>467</v>
      </c>
      <c r="L612" s="20"/>
      <c r="M612" s="16"/>
      <c r="N612" s="20"/>
      <c r="O612" t="s" s="17">
        <v>24</v>
      </c>
    </row>
    <row r="613" ht="30.45" customHeight="1" hidden="1">
      <c r="A613" t="s" s="21">
        <v>20</v>
      </c>
      <c r="B613" t="s" s="5">
        <v>30</v>
      </c>
      <c r="C613" t="s" s="23">
        <v>1132</v>
      </c>
      <c r="D613" t="s" s="7">
        <v>683</v>
      </c>
      <c r="E613" s="8">
        <v>45751</v>
      </c>
      <c r="F613" s="16"/>
      <c r="G613" t="s" s="10">
        <v>1140</v>
      </c>
      <c r="H613" s="19">
        <v>23161</v>
      </c>
      <c r="I613" s="12">
        <v>23161</v>
      </c>
      <c r="J613" s="13">
        <f>I613-H613</f>
        <v>0</v>
      </c>
      <c r="K613" t="s" s="14">
        <v>467</v>
      </c>
      <c r="L613" s="20"/>
      <c r="M613" s="16"/>
      <c r="N613" s="20"/>
      <c r="O613" t="s" s="17">
        <v>24</v>
      </c>
    </row>
    <row r="614" ht="30.45" customHeight="1" hidden="1">
      <c r="A614" t="s" s="21">
        <v>20</v>
      </c>
      <c r="B614" t="s" s="5">
        <v>30</v>
      </c>
      <c r="C614" t="s" s="18">
        <v>1132</v>
      </c>
      <c r="D614" t="s" s="7">
        <v>683</v>
      </c>
      <c r="E614" s="8">
        <v>45911</v>
      </c>
      <c r="F614" s="10"/>
      <c r="G614" t="s" s="10">
        <v>1141</v>
      </c>
      <c r="H614" s="19">
        <v>16933</v>
      </c>
      <c r="I614" s="12">
        <v>16933</v>
      </c>
      <c r="J614" s="13">
        <f>I614-H614</f>
        <v>0</v>
      </c>
      <c r="K614" t="s" s="14">
        <v>467</v>
      </c>
      <c r="L614" s="20"/>
      <c r="M614" s="16"/>
      <c r="N614" s="20"/>
      <c r="O614" t="s" s="17">
        <v>24</v>
      </c>
    </row>
    <row r="615" ht="30.45" customHeight="1" hidden="1">
      <c r="A615" t="s" s="21">
        <v>20</v>
      </c>
      <c r="B615" t="s" s="5">
        <v>30</v>
      </c>
      <c r="C615" t="s" s="18">
        <v>1132</v>
      </c>
      <c r="D615" t="s" s="7">
        <v>683</v>
      </c>
      <c r="E615" s="8">
        <v>45958</v>
      </c>
      <c r="F615" s="10"/>
      <c r="G615" t="s" s="10">
        <v>1142</v>
      </c>
      <c r="H615" s="19">
        <v>19234</v>
      </c>
      <c r="I615" s="12">
        <f>H615</f>
        <v>19234</v>
      </c>
      <c r="J615" s="13">
        <f>I615-H615</f>
        <v>0</v>
      </c>
      <c r="K615" t="s" s="14">
        <v>467</v>
      </c>
      <c r="L615" s="20"/>
      <c r="M615" s="16"/>
      <c r="N615" s="20"/>
      <c r="O615" t="s" s="17">
        <v>24</v>
      </c>
    </row>
    <row r="616" ht="30.45" customHeight="1" hidden="1">
      <c r="A616" t="s" s="21">
        <v>20</v>
      </c>
      <c r="B616" t="s" s="5">
        <v>30</v>
      </c>
      <c r="C616" t="s" s="18">
        <v>1132</v>
      </c>
      <c r="D616" t="s" s="7">
        <v>683</v>
      </c>
      <c r="E616" s="8">
        <v>46101</v>
      </c>
      <c r="F616" s="10"/>
      <c r="G616" t="s" s="10">
        <v>1143</v>
      </c>
      <c r="H616" s="19">
        <v>34284</v>
      </c>
      <c r="I616" s="12">
        <f>H616</f>
        <v>34284</v>
      </c>
      <c r="J616" s="13">
        <f>I616-H616</f>
        <v>0</v>
      </c>
      <c r="K616" t="s" s="14">
        <v>24</v>
      </c>
      <c r="L616" s="20"/>
      <c r="M616" s="16"/>
      <c r="N616" s="20"/>
      <c r="O616" t="s" s="17">
        <v>24</v>
      </c>
    </row>
    <row r="617" ht="30.45" customHeight="1" hidden="1">
      <c r="A617" t="s" s="21">
        <v>20</v>
      </c>
      <c r="B617" t="s" s="5">
        <v>36</v>
      </c>
      <c r="C617" t="s" s="18">
        <v>1132</v>
      </c>
      <c r="D617" t="s" s="7">
        <v>683</v>
      </c>
      <c r="E617" s="8">
        <v>45624</v>
      </c>
      <c r="F617" t="s" s="10">
        <v>799</v>
      </c>
      <c r="G617" t="s" s="10">
        <v>1144</v>
      </c>
      <c r="H617" s="19">
        <v>10668.5</v>
      </c>
      <c r="I617" s="12">
        <v>10668.5</v>
      </c>
      <c r="J617" s="13">
        <f>I617-H617</f>
        <v>0</v>
      </c>
      <c r="K617" t="s" s="14">
        <v>467</v>
      </c>
      <c r="L617" s="20"/>
      <c r="M617" s="16"/>
      <c r="N617" s="20"/>
      <c r="O617" t="s" s="17">
        <v>24</v>
      </c>
    </row>
    <row r="618" ht="30.45" customHeight="1" hidden="1">
      <c r="A618" t="s" s="21">
        <v>20</v>
      </c>
      <c r="B618" t="s" s="5">
        <v>36</v>
      </c>
      <c r="C618" t="s" s="18">
        <v>1132</v>
      </c>
      <c r="D618" t="s" s="7">
        <v>683</v>
      </c>
      <c r="E618" s="8">
        <v>46129</v>
      </c>
      <c r="F618" s="9">
        <v>4061</v>
      </c>
      <c r="G618" t="s" s="10">
        <v>1145</v>
      </c>
      <c r="H618" s="19">
        <v>11757.98</v>
      </c>
      <c r="I618" s="12">
        <v>11757.19</v>
      </c>
      <c r="J618" s="15">
        <f>I618-H618</f>
        <v>-0.79</v>
      </c>
      <c r="K618" t="s" s="14">
        <v>467</v>
      </c>
      <c r="L618" s="20"/>
      <c r="M618" s="16"/>
      <c r="N618" s="20"/>
      <c r="O618" t="s" s="17">
        <v>24</v>
      </c>
    </row>
    <row r="619" ht="30.45" customHeight="1" hidden="1">
      <c r="A619" t="s" s="21">
        <v>20</v>
      </c>
      <c r="B619" t="s" s="5">
        <v>40</v>
      </c>
      <c r="C619" t="s" s="18">
        <v>1132</v>
      </c>
      <c r="D619" t="s" s="7">
        <v>683</v>
      </c>
      <c r="E619" s="8">
        <v>45924</v>
      </c>
      <c r="F619" t="s" s="10">
        <v>1146</v>
      </c>
      <c r="G619" t="s" s="10">
        <v>1147</v>
      </c>
      <c r="H619" s="19">
        <v>18782.4</v>
      </c>
      <c r="I619" s="12">
        <v>18782.4</v>
      </c>
      <c r="J619" s="15">
        <f>I619-H619</f>
        <v>0</v>
      </c>
      <c r="K619" t="s" s="14">
        <v>17</v>
      </c>
      <c r="L619" s="20"/>
      <c r="M619" s="16"/>
      <c r="N619" s="20"/>
      <c r="O619" t="s" s="17">
        <v>24</v>
      </c>
    </row>
    <row r="620" ht="30.45" customHeight="1" hidden="1">
      <c r="A620" t="s" s="21">
        <v>20</v>
      </c>
      <c r="B620" t="s" s="5">
        <v>97</v>
      </c>
      <c r="C620" t="s" s="23">
        <v>1132</v>
      </c>
      <c r="D620" t="s" s="7">
        <v>683</v>
      </c>
      <c r="E620" s="25">
        <v>45777</v>
      </c>
      <c r="F620" t="s" s="10">
        <v>1148</v>
      </c>
      <c r="G620" t="s" s="10">
        <v>1149</v>
      </c>
      <c r="H620" s="19">
        <v>11636</v>
      </c>
      <c r="I620" s="12">
        <v>11636</v>
      </c>
      <c r="J620" s="13">
        <f>I620-H620</f>
        <v>0</v>
      </c>
      <c r="K620" t="s" s="14">
        <v>467</v>
      </c>
      <c r="L620" s="20"/>
      <c r="M620" s="16"/>
      <c r="N620" s="20"/>
      <c r="O620" t="s" s="17">
        <v>24</v>
      </c>
    </row>
    <row r="621" ht="30.45" customHeight="1" hidden="1">
      <c r="A621" t="s" s="21">
        <v>20</v>
      </c>
      <c r="B621" t="s" s="5">
        <v>61</v>
      </c>
      <c r="C621" t="s" s="23">
        <v>1132</v>
      </c>
      <c r="D621" t="s" s="7">
        <v>683</v>
      </c>
      <c r="E621" s="25">
        <v>45878</v>
      </c>
      <c r="F621" t="s" s="10">
        <v>1150</v>
      </c>
      <c r="G621" t="s" s="10">
        <v>1151</v>
      </c>
      <c r="H621" s="31">
        <v>12472.5</v>
      </c>
      <c r="I621" s="12">
        <v>12472.5</v>
      </c>
      <c r="J621" s="15">
        <f>I621-H621</f>
        <v>0</v>
      </c>
      <c r="K621" t="s" s="14">
        <v>467</v>
      </c>
      <c r="L621" s="15"/>
      <c r="M621" s="16"/>
      <c r="N621" s="20"/>
      <c r="O621" t="s" s="17">
        <v>24</v>
      </c>
    </row>
    <row r="622" ht="30.45" customHeight="1" hidden="1">
      <c r="A622" t="s" s="21">
        <v>1112</v>
      </c>
      <c r="B622" t="s" s="5">
        <v>1113</v>
      </c>
      <c r="C622" t="s" s="6">
        <v>1132</v>
      </c>
      <c r="D622" t="s" s="7">
        <v>683</v>
      </c>
      <c r="E622" s="8">
        <v>46202</v>
      </c>
      <c r="F622" s="10"/>
      <c r="G622" t="s" s="10">
        <v>1152</v>
      </c>
      <c r="H622" s="15">
        <v>30402</v>
      </c>
      <c r="I622" s="26"/>
      <c r="J622" s="15">
        <f>I622-H622</f>
        <v>-30402</v>
      </c>
      <c r="K622" t="s" s="14">
        <v>467</v>
      </c>
      <c r="L622" s="20"/>
      <c r="M622" s="16"/>
      <c r="N622" s="20"/>
      <c r="O622" t="s" s="17">
        <v>24</v>
      </c>
    </row>
    <row r="623" ht="30.45" customHeight="1" hidden="1">
      <c r="A623" t="s" s="36">
        <v>12</v>
      </c>
      <c r="B623" t="s" s="5">
        <v>79</v>
      </c>
      <c r="C623" t="s" s="37">
        <v>1153</v>
      </c>
      <c r="D623" s="7"/>
      <c r="E623" s="25">
        <v>45910</v>
      </c>
      <c r="F623" t="s" s="10">
        <v>416</v>
      </c>
      <c r="G623" s="10"/>
      <c r="H623" s="38">
        <v>41250.6</v>
      </c>
      <c r="I623" s="12">
        <v>41251</v>
      </c>
      <c r="J623" s="13">
        <f>I623-H623</f>
        <v>0.4</v>
      </c>
      <c r="K623" t="s" s="14">
        <v>467</v>
      </c>
      <c r="L623" s="20"/>
      <c r="M623" s="16"/>
      <c r="N623" s="20"/>
      <c r="O623" t="s" s="17">
        <v>19</v>
      </c>
    </row>
    <row r="624" ht="30.45" customHeight="1" hidden="1">
      <c r="A624" t="s" s="21">
        <v>20</v>
      </c>
      <c r="B624" t="s" s="5">
        <v>40</v>
      </c>
      <c r="C624" t="s" s="18">
        <v>1154</v>
      </c>
      <c r="D624" t="s" s="7">
        <v>683</v>
      </c>
      <c r="E624" s="8">
        <v>45946</v>
      </c>
      <c r="F624" t="s" s="10">
        <v>1155</v>
      </c>
      <c r="G624" t="s" s="10">
        <v>1156</v>
      </c>
      <c r="H624" s="19">
        <v>7672.56</v>
      </c>
      <c r="I624" s="12">
        <v>7672.56</v>
      </c>
      <c r="J624" s="15">
        <f>I624-H624</f>
        <v>0</v>
      </c>
      <c r="K624" t="s" s="14">
        <v>17</v>
      </c>
      <c r="L624" s="20"/>
      <c r="M624" s="16"/>
      <c r="N624" s="20"/>
      <c r="O624" t="s" s="17">
        <v>24</v>
      </c>
    </row>
    <row r="625" ht="30.45" customHeight="1" hidden="1">
      <c r="A625" t="s" s="47">
        <v>133</v>
      </c>
      <c r="B625" t="s" s="5">
        <v>633</v>
      </c>
      <c r="C625" t="s" s="18">
        <v>1157</v>
      </c>
      <c r="D625" t="s" s="7">
        <v>468</v>
      </c>
      <c r="E625" s="8">
        <v>45607</v>
      </c>
      <c r="F625" t="s" s="10">
        <v>782</v>
      </c>
      <c r="G625" t="s" s="10">
        <v>1158</v>
      </c>
      <c r="H625" s="19">
        <v>16448.85</v>
      </c>
      <c r="I625" s="12">
        <v>17234.77</v>
      </c>
      <c r="J625" s="13">
        <f>I625-H625</f>
        <v>785.92</v>
      </c>
      <c r="K625" t="s" s="14">
        <v>467</v>
      </c>
      <c r="L625" s="20"/>
      <c r="M625" s="27">
        <v>45638</v>
      </c>
      <c r="N625" t="s" s="36">
        <v>1159</v>
      </c>
      <c r="O625" t="s" s="17">
        <v>19</v>
      </c>
    </row>
    <row r="626" ht="30.45" customHeight="1" hidden="1">
      <c r="A626" t="s" s="30">
        <v>49</v>
      </c>
      <c r="B626" t="s" s="5">
        <v>47</v>
      </c>
      <c r="C626" t="s" s="18">
        <v>1157</v>
      </c>
      <c r="D626" t="s" s="7">
        <v>468</v>
      </c>
      <c r="E626" s="8">
        <v>45747</v>
      </c>
      <c r="F626" t="s" s="10">
        <v>1160</v>
      </c>
      <c r="G626" t="s" s="10">
        <v>1161</v>
      </c>
      <c r="H626" s="15">
        <v>16489.05</v>
      </c>
      <c r="I626" s="12">
        <v>16489</v>
      </c>
      <c r="J626" s="15">
        <f>I626-H626</f>
        <v>-0.05</v>
      </c>
      <c r="K626" t="s" s="14">
        <v>467</v>
      </c>
      <c r="L626" s="20"/>
      <c r="M626" s="8"/>
      <c r="N626" s="20"/>
      <c r="O626" t="s" s="17">
        <v>24</v>
      </c>
    </row>
    <row r="627" ht="30.45" customHeight="1" hidden="1">
      <c r="A627" t="s" s="17">
        <v>39</v>
      </c>
      <c r="B627" t="s" s="5">
        <v>21</v>
      </c>
      <c r="C627" t="s" s="28">
        <v>1162</v>
      </c>
      <c r="D627" t="s" s="7">
        <v>319</v>
      </c>
      <c r="E627" s="8">
        <v>45693</v>
      </c>
      <c r="F627" t="s" s="10">
        <v>1163</v>
      </c>
      <c r="G627" t="s" s="10">
        <v>1164</v>
      </c>
      <c r="H627" s="42">
        <v>86552.95</v>
      </c>
      <c r="I627" s="12">
        <v>86552.95</v>
      </c>
      <c r="J627" s="13">
        <f>I627-H627</f>
        <v>0</v>
      </c>
      <c r="K627" t="s" s="14">
        <v>17</v>
      </c>
      <c r="L627" s="20"/>
      <c r="M627" s="16"/>
      <c r="N627" t="s" s="47">
        <v>1165</v>
      </c>
      <c r="O627" t="s" s="17">
        <v>24</v>
      </c>
    </row>
    <row r="628" ht="30.45" customHeight="1" hidden="1">
      <c r="A628" t="s" s="21">
        <v>39</v>
      </c>
      <c r="B628" t="s" s="5">
        <v>21</v>
      </c>
      <c r="C628" t="s" s="23">
        <v>1162</v>
      </c>
      <c r="D628" t="s" s="7">
        <v>319</v>
      </c>
      <c r="E628" s="8">
        <v>45770</v>
      </c>
      <c r="F628" s="10"/>
      <c r="G628" s="10"/>
      <c r="H628" s="19">
        <v>468</v>
      </c>
      <c r="I628" s="12">
        <v>468</v>
      </c>
      <c r="J628" s="13">
        <f>I628-H628</f>
        <v>0</v>
      </c>
      <c r="K628" t="s" s="14">
        <v>17</v>
      </c>
      <c r="L628" s="20"/>
      <c r="M628" s="16"/>
      <c r="N628" s="74"/>
      <c r="O628" t="s" s="17">
        <v>24</v>
      </c>
    </row>
    <row r="629" ht="30.45" customHeight="1" hidden="1">
      <c r="A629" t="s" s="17">
        <v>20</v>
      </c>
      <c r="B629" t="s" s="5">
        <v>30</v>
      </c>
      <c r="C629" t="s" s="18">
        <v>1162</v>
      </c>
      <c r="D629" t="s" s="7">
        <v>319</v>
      </c>
      <c r="E629" s="8">
        <v>45371</v>
      </c>
      <c r="F629" s="16"/>
      <c r="G629" s="9">
        <v>1935</v>
      </c>
      <c r="H629" s="19">
        <v>34942</v>
      </c>
      <c r="I629" s="40">
        <v>34942</v>
      </c>
      <c r="J629" s="15"/>
      <c r="K629" t="s" s="14">
        <v>17</v>
      </c>
      <c r="L629" s="15"/>
      <c r="M629" s="43">
        <v>45408</v>
      </c>
      <c r="N629" s="16"/>
      <c r="O629" t="s" s="17">
        <v>24</v>
      </c>
    </row>
    <row r="630" ht="30.45" customHeight="1" hidden="1">
      <c r="A630" t="s" s="4">
        <v>39</v>
      </c>
      <c r="B630" t="s" s="5">
        <v>30</v>
      </c>
      <c r="C630" t="s" s="18">
        <v>1162</v>
      </c>
      <c r="D630" t="s" s="7">
        <v>319</v>
      </c>
      <c r="E630" s="8">
        <v>45751</v>
      </c>
      <c r="F630" s="16"/>
      <c r="G630" t="s" s="10">
        <v>1166</v>
      </c>
      <c r="H630" s="19">
        <v>10277</v>
      </c>
      <c r="I630" s="12">
        <v>10277</v>
      </c>
      <c r="J630" s="13">
        <f>I630-H630</f>
        <v>0</v>
      </c>
      <c r="K630" t="s" s="14">
        <v>17</v>
      </c>
      <c r="L630" s="20"/>
      <c r="M630" s="16"/>
      <c r="N630" s="20"/>
      <c r="O630" t="s" s="17">
        <v>24</v>
      </c>
    </row>
    <row r="631" ht="30.45" customHeight="1" hidden="1">
      <c r="A631" t="s" s="17">
        <v>20</v>
      </c>
      <c r="B631" t="s" s="5">
        <v>36</v>
      </c>
      <c r="C631" t="s" s="18">
        <v>1162</v>
      </c>
      <c r="D631" t="s" s="7">
        <v>319</v>
      </c>
      <c r="E631" s="25">
        <v>45388</v>
      </c>
      <c r="F631" s="9">
        <v>3501</v>
      </c>
      <c r="G631" s="9">
        <v>2050</v>
      </c>
      <c r="H631" s="19">
        <v>64891.8</v>
      </c>
      <c r="I631" s="40">
        <v>64891.84</v>
      </c>
      <c r="J631" s="15">
        <f>I631-H631</f>
        <v>0.04</v>
      </c>
      <c r="K631" t="s" s="14">
        <v>17</v>
      </c>
      <c r="L631" s="15"/>
      <c r="M631" s="8">
        <v>45422</v>
      </c>
      <c r="N631" t="s" s="14">
        <v>1167</v>
      </c>
      <c r="O631" t="s" s="17">
        <v>24</v>
      </c>
    </row>
    <row r="632" ht="30.45" customHeight="1" hidden="1">
      <c r="A632" t="s" s="4">
        <v>133</v>
      </c>
      <c r="B632" t="s" s="5">
        <v>36</v>
      </c>
      <c r="C632" t="s" s="18">
        <v>1162</v>
      </c>
      <c r="D632" t="s" s="7">
        <v>319</v>
      </c>
      <c r="E632" s="8">
        <v>46129</v>
      </c>
      <c r="F632" s="9">
        <v>4060</v>
      </c>
      <c r="G632" t="s" s="10">
        <v>1168</v>
      </c>
      <c r="H632" s="19">
        <v>15556.75</v>
      </c>
      <c r="I632" s="12">
        <v>15913.74</v>
      </c>
      <c r="J632" s="15">
        <f>I632-H632</f>
        <v>356.99</v>
      </c>
      <c r="K632" t="s" s="14">
        <v>17</v>
      </c>
      <c r="L632" s="20"/>
      <c r="M632" s="16"/>
      <c r="N632" s="20"/>
      <c r="O632" t="s" s="17">
        <v>24</v>
      </c>
    </row>
    <row r="633" ht="30.45" customHeight="1" hidden="1">
      <c r="A633" t="s" s="30">
        <v>39</v>
      </c>
      <c r="B633" t="s" s="5">
        <v>47</v>
      </c>
      <c r="C633" t="s" s="18">
        <v>1162</v>
      </c>
      <c r="D633" t="s" s="7">
        <v>319</v>
      </c>
      <c r="E633" s="8">
        <v>45562</v>
      </c>
      <c r="F633" t="s" s="10">
        <v>1169</v>
      </c>
      <c r="G633" t="s" s="10">
        <v>1170</v>
      </c>
      <c r="H633" s="29">
        <v>31395.21</v>
      </c>
      <c r="I633" s="12">
        <v>31395.21</v>
      </c>
      <c r="J633" s="15">
        <f>I633-H633</f>
        <v>0</v>
      </c>
      <c r="K633" t="s" s="14">
        <v>467</v>
      </c>
      <c r="L633" s="20"/>
      <c r="M633" s="8"/>
      <c r="N633" s="20"/>
      <c r="O633" t="s" s="17">
        <v>24</v>
      </c>
    </row>
    <row r="634" ht="30.45" customHeight="1" hidden="1">
      <c r="A634" t="s" s="30">
        <v>49</v>
      </c>
      <c r="B634" t="s" s="5">
        <v>47</v>
      </c>
      <c r="C634" t="s" s="28">
        <v>1162</v>
      </c>
      <c r="D634" t="s" s="7">
        <v>319</v>
      </c>
      <c r="E634" s="8">
        <v>45735</v>
      </c>
      <c r="F634" t="s" s="10">
        <v>1171</v>
      </c>
      <c r="G634" t="s" s="10">
        <v>1172</v>
      </c>
      <c r="H634" s="29">
        <v>73784.83</v>
      </c>
      <c r="I634" s="12"/>
      <c r="J634" s="15">
        <f>I634-H634</f>
        <v>-73784.83</v>
      </c>
      <c r="K634" t="s" s="14">
        <v>17</v>
      </c>
      <c r="L634" s="20"/>
      <c r="M634" s="8"/>
      <c r="N634" s="20"/>
      <c r="O634" t="s" s="17">
        <v>24</v>
      </c>
    </row>
    <row r="635" ht="30.45" customHeight="1" hidden="1">
      <c r="A635" t="s" s="30">
        <v>599</v>
      </c>
      <c r="B635" t="s" s="5">
        <v>47</v>
      </c>
      <c r="C635" t="s" s="28">
        <v>1162</v>
      </c>
      <c r="D635" t="s" s="7">
        <v>319</v>
      </c>
      <c r="E635" s="8">
        <v>45958</v>
      </c>
      <c r="F635" t="s" s="10">
        <v>1173</v>
      </c>
      <c r="G635" t="s" s="10">
        <v>1174</v>
      </c>
      <c r="H635" s="50">
        <v>16437.96</v>
      </c>
      <c r="I635" s="12">
        <f>H635</f>
        <v>16437.96</v>
      </c>
      <c r="J635" s="15">
        <f>I635-H635</f>
        <v>0</v>
      </c>
      <c r="K635" t="s" s="14">
        <v>17</v>
      </c>
      <c r="L635" s="20"/>
      <c r="M635" s="8"/>
      <c r="N635" s="20"/>
      <c r="O635" t="s" s="17">
        <v>19</v>
      </c>
    </row>
    <row r="636" ht="30.45" customHeight="1" hidden="1">
      <c r="A636" t="s" s="30">
        <v>599</v>
      </c>
      <c r="B636" t="s" s="5">
        <v>47</v>
      </c>
      <c r="C636" t="s" s="28">
        <v>1162</v>
      </c>
      <c r="D636" t="s" s="7">
        <v>319</v>
      </c>
      <c r="E636" t="s" s="10">
        <v>1175</v>
      </c>
      <c r="F636" t="s" s="10">
        <v>1176</v>
      </c>
      <c r="G636" t="s" s="10">
        <v>1174</v>
      </c>
      <c r="H636" s="50">
        <v>37530.53</v>
      </c>
      <c r="I636" s="12">
        <f>H636</f>
        <v>37530.53</v>
      </c>
      <c r="J636" s="15">
        <f>I636-H636</f>
        <v>0</v>
      </c>
      <c r="K636" t="s" s="14">
        <v>17</v>
      </c>
      <c r="L636" s="20"/>
      <c r="M636" s="8"/>
      <c r="N636" s="20"/>
      <c r="O636" t="s" s="17">
        <v>19</v>
      </c>
    </row>
    <row r="637" ht="30.45" customHeight="1" hidden="1">
      <c r="A637" t="s" s="17">
        <v>12</v>
      </c>
      <c r="B637" t="s" s="5">
        <v>61</v>
      </c>
      <c r="C637" t="s" s="52">
        <v>1162</v>
      </c>
      <c r="D637" t="s" s="7">
        <v>319</v>
      </c>
      <c r="E637" s="8">
        <v>45181</v>
      </c>
      <c r="F637" s="9">
        <v>7446</v>
      </c>
      <c r="G637" t="s" s="10">
        <v>1177</v>
      </c>
      <c r="H637" s="44">
        <v>35214.91</v>
      </c>
      <c r="I637" s="12">
        <v>4402.9</v>
      </c>
      <c r="J637" s="62">
        <f>I637-H637</f>
        <v>-30812.01</v>
      </c>
      <c r="K637" t="s" s="14">
        <v>17</v>
      </c>
      <c r="L637" s="15"/>
      <c r="M637" s="16"/>
      <c r="N637" s="16"/>
      <c r="O637" t="s" s="17">
        <v>19</v>
      </c>
    </row>
    <row r="638" ht="30.45" customHeight="1" hidden="1">
      <c r="A638" t="s" s="4">
        <v>12</v>
      </c>
      <c r="B638" t="s" s="5">
        <v>13</v>
      </c>
      <c r="C638" t="s" s="6">
        <v>1178</v>
      </c>
      <c r="D638" t="s" s="7">
        <v>117</v>
      </c>
      <c r="E638" s="8"/>
      <c r="F638" s="9"/>
      <c r="G638" s="10"/>
      <c r="H638" t="s" s="11">
        <v>16</v>
      </c>
      <c r="I638" s="12">
        <v>15942</v>
      </c>
      <c r="J638" s="13"/>
      <c r="K638" t="s" s="14">
        <v>92</v>
      </c>
      <c r="L638" s="15"/>
      <c r="M638" s="16"/>
      <c r="N638" t="s" s="11">
        <v>1179</v>
      </c>
      <c r="O638" t="s" s="17">
        <v>19</v>
      </c>
    </row>
    <row r="639" ht="30.45" customHeight="1" hidden="1">
      <c r="A639" t="s" s="17">
        <v>39</v>
      </c>
      <c r="B639" t="s" s="5">
        <v>21</v>
      </c>
      <c r="C639" t="s" s="23">
        <v>1178</v>
      </c>
      <c r="D639" t="s" s="7">
        <v>117</v>
      </c>
      <c r="E639" s="8">
        <v>45429</v>
      </c>
      <c r="F639" t="s" s="10">
        <v>1180</v>
      </c>
      <c r="G639" t="s" s="10">
        <v>1181</v>
      </c>
      <c r="H639" s="19">
        <v>26698.87</v>
      </c>
      <c r="I639" s="12">
        <v>26698.87</v>
      </c>
      <c r="J639" s="15">
        <f>I639-H639</f>
        <v>0</v>
      </c>
      <c r="K639" t="s" s="14">
        <v>92</v>
      </c>
      <c r="L639" s="15"/>
      <c r="M639" s="8">
        <v>45465</v>
      </c>
      <c r="N639" t="s" s="86">
        <v>926</v>
      </c>
      <c r="O639" t="s" s="17">
        <v>24</v>
      </c>
    </row>
    <row r="640" ht="30.45" customHeight="1" hidden="1">
      <c r="A640" t="s" s="17">
        <v>20</v>
      </c>
      <c r="B640" t="s" s="5">
        <v>21</v>
      </c>
      <c r="C640" t="s" s="18">
        <v>1178</v>
      </c>
      <c r="D640" t="s" s="7">
        <v>117</v>
      </c>
      <c r="E640" s="8">
        <v>45702</v>
      </c>
      <c r="F640" t="s" s="10">
        <v>1182</v>
      </c>
      <c r="G640" t="s" s="10">
        <v>1183</v>
      </c>
      <c r="H640" s="19">
        <v>43596.05</v>
      </c>
      <c r="I640" s="12">
        <v>43596.04</v>
      </c>
      <c r="J640" s="13">
        <f>I640-H640</f>
        <v>-0.01</v>
      </c>
      <c r="K640" t="s" s="14">
        <v>92</v>
      </c>
      <c r="L640" s="20"/>
      <c r="M640" s="16"/>
      <c r="N640" s="20"/>
      <c r="O640" t="s" s="17">
        <v>24</v>
      </c>
    </row>
    <row r="641" ht="30.45" customHeight="1" hidden="1">
      <c r="A641" t="s" s="21">
        <v>39</v>
      </c>
      <c r="B641" t="s" s="5">
        <v>21</v>
      </c>
      <c r="C641" t="s" s="18">
        <v>1178</v>
      </c>
      <c r="D641" t="s" s="7">
        <v>117</v>
      </c>
      <c r="E641" s="8">
        <v>45808</v>
      </c>
      <c r="F641" t="s" s="10">
        <v>1184</v>
      </c>
      <c r="G641" t="s" s="10">
        <v>1185</v>
      </c>
      <c r="H641" s="19">
        <v>52161.89</v>
      </c>
      <c r="I641" s="12">
        <v>52161.89</v>
      </c>
      <c r="J641" s="13">
        <f>I641-H641</f>
        <v>0</v>
      </c>
      <c r="K641" t="s" s="14">
        <v>92</v>
      </c>
      <c r="L641" s="20"/>
      <c r="M641" s="16"/>
      <c r="N641" s="20"/>
      <c r="O641" t="s" s="17">
        <v>24</v>
      </c>
    </row>
    <row r="642" ht="30.45" customHeight="1" hidden="1">
      <c r="A642" t="s" s="21">
        <v>20</v>
      </c>
      <c r="B642" t="s" s="5">
        <v>79</v>
      </c>
      <c r="C642" t="s" s="18">
        <v>1178</v>
      </c>
      <c r="D642" t="s" s="7">
        <v>117</v>
      </c>
      <c r="E642" s="25">
        <v>45762</v>
      </c>
      <c r="F642" t="s" s="10">
        <v>416</v>
      </c>
      <c r="G642" t="s" s="10">
        <v>1186</v>
      </c>
      <c r="H642" s="19">
        <v>28707.6</v>
      </c>
      <c r="I642" s="12">
        <v>28707.6</v>
      </c>
      <c r="J642" s="13">
        <f>I642-H642</f>
        <v>0</v>
      </c>
      <c r="K642" t="s" s="14">
        <v>92</v>
      </c>
      <c r="L642" s="20"/>
      <c r="M642" s="16"/>
      <c r="N642" s="20"/>
      <c r="O642" t="s" s="17">
        <v>24</v>
      </c>
    </row>
    <row r="643" ht="30.45" customHeight="1" hidden="1">
      <c r="A643" t="s" s="30">
        <v>39</v>
      </c>
      <c r="B643" t="s" s="5">
        <v>88</v>
      </c>
      <c r="C643" t="s" s="28">
        <v>1178</v>
      </c>
      <c r="D643" t="s" s="7">
        <v>117</v>
      </c>
      <c r="E643" s="25">
        <v>45633</v>
      </c>
      <c r="F643" s="10"/>
      <c r="G643" t="s" s="10">
        <v>1187</v>
      </c>
      <c r="H643" s="50">
        <v>35824.15</v>
      </c>
      <c r="I643" s="12">
        <v>9900.15</v>
      </c>
      <c r="J643" s="15">
        <f>I643-H643</f>
        <v>-25924</v>
      </c>
      <c r="K643" t="s" s="14">
        <v>92</v>
      </c>
      <c r="L643" s="20"/>
      <c r="M643" s="16"/>
      <c r="N643" s="20"/>
      <c r="O643" t="s" s="17">
        <v>24</v>
      </c>
    </row>
    <row r="644" ht="30.45" customHeight="1" hidden="1">
      <c r="A644" t="s" s="17">
        <v>39</v>
      </c>
      <c r="B644" t="s" s="5">
        <v>40</v>
      </c>
      <c r="C644" t="s" s="18">
        <v>1178</v>
      </c>
      <c r="D644" t="s" s="7">
        <v>117</v>
      </c>
      <c r="E644" s="41">
        <v>45218</v>
      </c>
      <c r="F644" s="9">
        <v>383</v>
      </c>
      <c r="G644" t="s" s="10">
        <v>1188</v>
      </c>
      <c r="H644" s="26">
        <v>26224.6</v>
      </c>
      <c r="I644" s="26">
        <v>26224.61</v>
      </c>
      <c r="J644" s="15">
        <f>I644-H644</f>
        <v>0.01</v>
      </c>
      <c r="K644" t="s" s="14">
        <v>92</v>
      </c>
      <c r="L644" s="15"/>
      <c r="M644" s="27">
        <v>45254</v>
      </c>
      <c r="N644" s="16"/>
      <c r="O644" t="s" s="17">
        <v>24</v>
      </c>
    </row>
    <row r="645" ht="30.45" customHeight="1" hidden="1">
      <c r="A645" t="s" s="17">
        <v>39</v>
      </c>
      <c r="B645" t="s" s="5">
        <v>40</v>
      </c>
      <c r="C645" t="s" s="18">
        <v>1178</v>
      </c>
      <c r="D645" t="s" s="7">
        <v>117</v>
      </c>
      <c r="E645" s="25">
        <v>45274</v>
      </c>
      <c r="F645" s="9">
        <v>428</v>
      </c>
      <c r="G645" t="s" s="10">
        <v>1189</v>
      </c>
      <c r="H645" s="26">
        <v>18160.35</v>
      </c>
      <c r="I645" s="12">
        <v>18160.34</v>
      </c>
      <c r="J645" s="15">
        <f>I645-H645</f>
        <v>-0.01</v>
      </c>
      <c r="K645" t="s" s="14">
        <v>92</v>
      </c>
      <c r="L645" s="15"/>
      <c r="M645" s="8">
        <v>45311</v>
      </c>
      <c r="N645" s="16"/>
      <c r="O645" t="s" s="17">
        <v>24</v>
      </c>
    </row>
    <row r="646" ht="30.45" customHeight="1" hidden="1">
      <c r="A646" t="s" s="30">
        <v>49</v>
      </c>
      <c r="B646" t="s" s="5">
        <v>47</v>
      </c>
      <c r="C646" t="s" s="28">
        <v>1178</v>
      </c>
      <c r="D646" t="s" s="7">
        <v>117</v>
      </c>
      <c r="E646" s="8">
        <v>45811</v>
      </c>
      <c r="F646" t="s" s="10">
        <v>1190</v>
      </c>
      <c r="G646" t="s" s="10">
        <v>1191</v>
      </c>
      <c r="H646" s="50">
        <v>1033.14</v>
      </c>
      <c r="I646" s="12">
        <v>1033.14</v>
      </c>
      <c r="J646" s="15">
        <f>I646-H646</f>
        <v>0</v>
      </c>
      <c r="K646" t="s" s="14">
        <v>92</v>
      </c>
      <c r="L646" s="20"/>
      <c r="M646" s="8"/>
      <c r="N646" s="20"/>
      <c r="O646" t="s" s="17">
        <v>24</v>
      </c>
    </row>
    <row r="647" ht="30.45" customHeight="1" hidden="1">
      <c r="A647" t="s" s="21">
        <v>49</v>
      </c>
      <c r="B647" t="s" s="5">
        <v>47</v>
      </c>
      <c r="C647" t="s" s="18">
        <v>1178</v>
      </c>
      <c r="D647" t="s" s="7">
        <v>117</v>
      </c>
      <c r="E647" s="8">
        <v>45911</v>
      </c>
      <c r="F647" t="s" s="10">
        <v>1192</v>
      </c>
      <c r="G647" t="s" s="10">
        <v>1193</v>
      </c>
      <c r="H647" s="19">
        <v>16434.57</v>
      </c>
      <c r="I647" s="12">
        <v>16434.57</v>
      </c>
      <c r="J647" s="15">
        <f>I647-H647</f>
        <v>0</v>
      </c>
      <c r="K647" t="s" s="14">
        <v>92</v>
      </c>
      <c r="L647" s="20"/>
      <c r="M647" s="8"/>
      <c r="N647" s="20"/>
      <c r="O647" t="s" s="17">
        <v>24</v>
      </c>
    </row>
    <row r="648" ht="30.45" customHeight="1" hidden="1">
      <c r="A648" t="s" s="17">
        <v>39</v>
      </c>
      <c r="B648" t="s" s="5">
        <v>97</v>
      </c>
      <c r="C648" t="s" s="23">
        <v>1178</v>
      </c>
      <c r="D648" t="s" s="7">
        <v>117</v>
      </c>
      <c r="E648" s="25">
        <v>45485</v>
      </c>
      <c r="F648" t="s" s="10">
        <v>1194</v>
      </c>
      <c r="G648" t="s" s="10">
        <v>1195</v>
      </c>
      <c r="H648" s="19">
        <v>17024</v>
      </c>
      <c r="I648" s="12">
        <v>17024</v>
      </c>
      <c r="J648" s="13">
        <f>I648-H648</f>
        <v>0</v>
      </c>
      <c r="K648" t="s" s="14">
        <v>92</v>
      </c>
      <c r="L648" s="20"/>
      <c r="M648" s="16"/>
      <c r="N648" s="20"/>
      <c r="O648" t="s" s="17">
        <v>24</v>
      </c>
    </row>
    <row r="649" ht="30.45" customHeight="1" hidden="1">
      <c r="A649" t="s" s="17">
        <v>20</v>
      </c>
      <c r="B649" t="s" s="5">
        <v>97</v>
      </c>
      <c r="C649" t="s" s="23">
        <v>1178</v>
      </c>
      <c r="D649" t="s" s="7">
        <v>117</v>
      </c>
      <c r="E649" s="25">
        <v>45546</v>
      </c>
      <c r="F649" t="s" s="10">
        <v>1196</v>
      </c>
      <c r="G649" t="s" s="10">
        <v>1197</v>
      </c>
      <c r="H649" s="19">
        <v>40449.1</v>
      </c>
      <c r="I649" s="12">
        <v>40449</v>
      </c>
      <c r="J649" s="13">
        <f>I649-H649</f>
        <v>-0.1</v>
      </c>
      <c r="K649" t="s" s="14">
        <v>92</v>
      </c>
      <c r="L649" s="20"/>
      <c r="M649" s="16"/>
      <c r="N649" s="20"/>
      <c r="O649" t="s" s="17">
        <v>24</v>
      </c>
    </row>
    <row r="650" ht="30.45" customHeight="1" hidden="1">
      <c r="A650" t="s" s="21">
        <v>20</v>
      </c>
      <c r="B650" t="s" s="5">
        <v>97</v>
      </c>
      <c r="C650" t="s" s="18">
        <v>1178</v>
      </c>
      <c r="D650" t="s" s="7">
        <v>117</v>
      </c>
      <c r="E650" s="25">
        <v>45947</v>
      </c>
      <c r="F650" t="s" s="10">
        <v>1198</v>
      </c>
      <c r="G650" t="s" s="10">
        <v>1199</v>
      </c>
      <c r="H650" s="19">
        <v>66995.2</v>
      </c>
      <c r="I650" s="12">
        <f>H650</f>
        <v>66995.2</v>
      </c>
      <c r="J650" s="13">
        <f>I650-H650</f>
        <v>0</v>
      </c>
      <c r="K650" t="s" s="14">
        <v>92</v>
      </c>
      <c r="L650" s="20"/>
      <c r="M650" s="16"/>
      <c r="N650" s="20"/>
      <c r="O650" t="s" s="17">
        <v>24</v>
      </c>
    </row>
    <row r="651" ht="30.45" customHeight="1" hidden="1">
      <c r="A651" t="s" s="21">
        <v>20</v>
      </c>
      <c r="B651" t="s" s="5">
        <v>97</v>
      </c>
      <c r="C651" t="s" s="18">
        <v>1178</v>
      </c>
      <c r="D651" t="s" s="7">
        <v>117</v>
      </c>
      <c r="E651" s="25">
        <v>46051</v>
      </c>
      <c r="F651" t="s" s="10">
        <v>1200</v>
      </c>
      <c r="G651" t="s" s="10">
        <v>1201</v>
      </c>
      <c r="H651" s="19">
        <v>38521.6</v>
      </c>
      <c r="I651" s="12">
        <f>H651</f>
        <v>38521.6</v>
      </c>
      <c r="J651" s="13">
        <f>I651-H651</f>
        <v>0</v>
      </c>
      <c r="K651" t="s" s="14">
        <v>92</v>
      </c>
      <c r="L651" s="20"/>
      <c r="M651" s="16"/>
      <c r="N651" s="20"/>
      <c r="O651" t="s" s="17">
        <v>24</v>
      </c>
    </row>
    <row r="652" ht="30.45" customHeight="1" hidden="1">
      <c r="A652" t="s" s="17">
        <v>39</v>
      </c>
      <c r="B652" t="s" s="5">
        <v>488</v>
      </c>
      <c r="C652" t="s" s="18">
        <v>1178</v>
      </c>
      <c r="D652" t="s" s="7">
        <v>117</v>
      </c>
      <c r="E652" s="25">
        <v>45226</v>
      </c>
      <c r="F652" s="9">
        <v>1</v>
      </c>
      <c r="G652" t="s" s="10">
        <v>1202</v>
      </c>
      <c r="H652" s="19">
        <v>16889.4</v>
      </c>
      <c r="I652" s="12">
        <v>16889.4</v>
      </c>
      <c r="J652" s="15"/>
      <c r="K652" t="s" s="14">
        <v>92</v>
      </c>
      <c r="L652" s="15"/>
      <c r="M652" s="58">
        <v>45257</v>
      </c>
      <c r="N652" s="20"/>
      <c r="O652" t="s" s="17">
        <v>24</v>
      </c>
    </row>
    <row r="653" ht="30.45" customHeight="1" hidden="1">
      <c r="A653" t="s" s="96">
        <v>1121</v>
      </c>
      <c r="B653" t="s" s="5">
        <v>488</v>
      </c>
      <c r="C653" t="s" s="23">
        <v>1203</v>
      </c>
      <c r="D653" t="s" s="7">
        <v>90</v>
      </c>
      <c r="E653" s="25">
        <v>45202</v>
      </c>
      <c r="F653" t="s" s="10">
        <v>86</v>
      </c>
      <c r="G653" t="s" s="10">
        <v>1204</v>
      </c>
      <c r="H653" s="19">
        <v>17517.6</v>
      </c>
      <c r="I653" s="26">
        <v>5839.2</v>
      </c>
      <c r="J653" s="15">
        <f>I653-H653</f>
        <v>-11678.4</v>
      </c>
      <c r="K653" t="s" s="14">
        <v>87</v>
      </c>
      <c r="L653" s="97">
        <v>11678.4</v>
      </c>
      <c r="M653" s="70">
        <v>45253</v>
      </c>
      <c r="N653" s="20"/>
      <c r="O653" t="s" s="17">
        <v>19</v>
      </c>
    </row>
    <row r="654" ht="30.45" customHeight="1" hidden="1">
      <c r="A654" t="s" s="96">
        <v>1121</v>
      </c>
      <c r="B654" t="s" s="5">
        <v>488</v>
      </c>
      <c r="C654" t="s" s="23">
        <v>1203</v>
      </c>
      <c r="D654" t="s" s="7">
        <v>90</v>
      </c>
      <c r="E654" s="25">
        <v>45239</v>
      </c>
      <c r="F654" t="s" s="10">
        <v>416</v>
      </c>
      <c r="G654" t="s" s="10">
        <v>1205</v>
      </c>
      <c r="H654" s="19">
        <v>18525</v>
      </c>
      <c r="I654" s="26"/>
      <c r="J654" s="15">
        <f>I654-H654</f>
        <v>-18525</v>
      </c>
      <c r="K654" t="s" s="14">
        <v>87</v>
      </c>
      <c r="L654" s="97">
        <v>6175</v>
      </c>
      <c r="M654" s="68">
        <v>45269</v>
      </c>
      <c r="N654" s="20"/>
      <c r="O654" t="s" s="17">
        <v>19</v>
      </c>
    </row>
    <row r="655" ht="30.45" customHeight="1" hidden="1">
      <c r="A655" t="s" s="17">
        <v>696</v>
      </c>
      <c r="B655" t="s" s="5">
        <v>40</v>
      </c>
      <c r="C655" t="s" s="76">
        <v>1206</v>
      </c>
      <c r="D655" t="s" s="7">
        <v>423</v>
      </c>
      <c r="E655" s="8">
        <v>45902</v>
      </c>
      <c r="F655" t="s" s="10">
        <v>1207</v>
      </c>
      <c r="G655" t="s" s="10">
        <v>1208</v>
      </c>
      <c r="H655" s="98">
        <v>8301.93</v>
      </c>
      <c r="I655" s="26"/>
      <c r="J655" s="15">
        <f>I655-H655</f>
        <v>-8301.93</v>
      </c>
      <c r="K655" t="s" s="14">
        <v>306</v>
      </c>
      <c r="L655" s="20"/>
      <c r="M655" s="16"/>
      <c r="N655" s="20"/>
      <c r="O655" t="s" s="17">
        <v>19</v>
      </c>
    </row>
    <row r="656" ht="30.45" customHeight="1" hidden="1">
      <c r="A656" t="s" s="17">
        <v>39</v>
      </c>
      <c r="B656" t="s" s="5">
        <v>79</v>
      </c>
      <c r="C656" t="s" s="18">
        <v>1209</v>
      </c>
      <c r="D656" t="s" s="7">
        <v>379</v>
      </c>
      <c r="E656" s="25">
        <v>45379</v>
      </c>
      <c r="F656" t="s" s="10">
        <v>977</v>
      </c>
      <c r="G656" t="s" s="10">
        <v>1210</v>
      </c>
      <c r="H656" s="19">
        <v>15045</v>
      </c>
      <c r="I656" s="12">
        <v>15045</v>
      </c>
      <c r="J656" s="15">
        <f>I656-H656</f>
        <v>0</v>
      </c>
      <c r="K656" t="s" s="14">
        <v>87</v>
      </c>
      <c r="L656" s="15"/>
      <c r="M656" s="8">
        <v>45414</v>
      </c>
      <c r="N656" t="s" s="88">
        <v>1211</v>
      </c>
      <c r="O656" t="s" s="17">
        <v>24</v>
      </c>
    </row>
    <row r="657" ht="30.45" customHeight="1" hidden="1">
      <c r="A657" t="s" s="17">
        <v>39</v>
      </c>
      <c r="B657" t="s" s="5">
        <v>30</v>
      </c>
      <c r="C657" t="s" s="18">
        <v>1209</v>
      </c>
      <c r="D657" t="s" s="7">
        <v>379</v>
      </c>
      <c r="E657" s="8">
        <v>45400</v>
      </c>
      <c r="F657" s="16"/>
      <c r="G657" t="s" s="10">
        <v>1212</v>
      </c>
      <c r="H657" s="31">
        <v>18978.42</v>
      </c>
      <c r="I657" s="99">
        <v>18978.42</v>
      </c>
      <c r="J657" s="39"/>
      <c r="K657" t="s" s="14">
        <v>87</v>
      </c>
      <c r="L657" s="20"/>
      <c r="M657" s="8">
        <v>45434</v>
      </c>
      <c r="N657" s="20"/>
      <c r="O657" t="s" s="17">
        <v>24</v>
      </c>
    </row>
    <row r="658" ht="30.45" customHeight="1" hidden="1">
      <c r="A658" t="s" s="17">
        <v>39</v>
      </c>
      <c r="B658" t="s" s="5">
        <v>30</v>
      </c>
      <c r="C658" t="s" s="23">
        <v>1209</v>
      </c>
      <c r="D658" t="s" s="7">
        <v>379</v>
      </c>
      <c r="E658" s="8">
        <v>45481</v>
      </c>
      <c r="F658" s="16"/>
      <c r="G658" t="s" s="10">
        <v>1213</v>
      </c>
      <c r="H658" s="19">
        <v>20151.4</v>
      </c>
      <c r="I658" s="12">
        <v>20151.36</v>
      </c>
      <c r="J658" s="13">
        <f>I658-H658</f>
        <v>-0.04</v>
      </c>
      <c r="K658" t="s" s="14">
        <v>87</v>
      </c>
      <c r="L658" s="20"/>
      <c r="M658" s="16"/>
      <c r="N658" t="s" s="14">
        <v>982</v>
      </c>
      <c r="O658" t="s" s="17">
        <v>24</v>
      </c>
    </row>
    <row r="659" ht="30.45" customHeight="1" hidden="1">
      <c r="A659" t="s" s="17">
        <v>12</v>
      </c>
      <c r="B659" t="s" s="5">
        <v>61</v>
      </c>
      <c r="C659" t="s" s="23">
        <v>1209</v>
      </c>
      <c r="D659" t="s" s="7">
        <v>379</v>
      </c>
      <c r="E659" s="25">
        <v>45443</v>
      </c>
      <c r="F659" t="s" s="10">
        <v>1214</v>
      </c>
      <c r="G659" t="s" s="10">
        <v>1215</v>
      </c>
      <c r="H659" s="93"/>
      <c r="I659" s="12">
        <v>7009.74</v>
      </c>
      <c r="J659" s="15">
        <f>I659-H659</f>
        <v>7009.74</v>
      </c>
      <c r="K659" t="s" s="14">
        <v>87</v>
      </c>
      <c r="L659" s="15"/>
      <c r="M659" s="16"/>
      <c r="N659" t="s" s="14">
        <v>1216</v>
      </c>
      <c r="O659" t="s" s="17">
        <v>19</v>
      </c>
    </row>
    <row r="660" ht="30.45" customHeight="1" hidden="1">
      <c r="A660" t="s" s="47">
        <v>112</v>
      </c>
      <c r="B660" t="s" s="5">
        <v>30</v>
      </c>
      <c r="C660" t="s" s="23">
        <v>1217</v>
      </c>
      <c r="D660" t="s" s="7">
        <v>90</v>
      </c>
      <c r="E660" s="8">
        <v>46198</v>
      </c>
      <c r="F660" s="10"/>
      <c r="G660" t="s" s="10">
        <v>1218</v>
      </c>
      <c r="H660" s="19">
        <v>25454</v>
      </c>
      <c r="I660" s="26"/>
      <c r="J660" s="13">
        <f>I660-H660</f>
        <v>-25454</v>
      </c>
      <c r="K660" t="s" s="14">
        <v>87</v>
      </c>
      <c r="L660" s="20"/>
      <c r="M660" s="16"/>
      <c r="N660" s="20"/>
      <c r="O660" t="s" s="17">
        <v>24</v>
      </c>
    </row>
    <row r="661" ht="30.45" customHeight="1" hidden="1">
      <c r="A661" t="s" s="36">
        <v>1121</v>
      </c>
      <c r="B661" t="s" s="5">
        <v>40</v>
      </c>
      <c r="C661" t="s" s="23">
        <v>1219</v>
      </c>
      <c r="D661" t="s" s="7">
        <v>379</v>
      </c>
      <c r="E661" s="8">
        <v>46142</v>
      </c>
      <c r="F661" t="s" s="10">
        <v>1220</v>
      </c>
      <c r="G661" t="s" s="10">
        <v>1221</v>
      </c>
      <c r="H661" s="19">
        <v>16373.53</v>
      </c>
      <c r="I661" s="12">
        <v>12796.46</v>
      </c>
      <c r="J661" s="15">
        <f>I661-H661</f>
        <v>-3577.07</v>
      </c>
      <c r="K661" t="s" s="14">
        <v>87</v>
      </c>
      <c r="L661" s="20"/>
      <c r="M661" s="16"/>
      <c r="N661" s="20"/>
      <c r="O661" t="s" s="17">
        <v>24</v>
      </c>
    </row>
    <row r="662" ht="30.45" customHeight="1" hidden="1">
      <c r="A662" t="s" s="21">
        <v>20</v>
      </c>
      <c r="B662" t="s" s="5">
        <v>40</v>
      </c>
      <c r="C662" t="s" s="18">
        <v>1219</v>
      </c>
      <c r="D662" t="s" s="7">
        <v>379</v>
      </c>
      <c r="E662" s="8">
        <v>45946</v>
      </c>
      <c r="F662" t="s" s="10">
        <v>1222</v>
      </c>
      <c r="G662" t="s" s="10">
        <v>1223</v>
      </c>
      <c r="H662" s="19">
        <v>40467.78</v>
      </c>
      <c r="I662" s="12">
        <v>41686</v>
      </c>
      <c r="J662" s="15">
        <f>I662-H662</f>
        <v>1218.22</v>
      </c>
      <c r="K662" t="s" s="14">
        <v>87</v>
      </c>
      <c r="L662" s="20"/>
      <c r="M662" s="16"/>
      <c r="N662" t="s" s="21">
        <v>1224</v>
      </c>
      <c r="O662" t="s" s="17">
        <v>24</v>
      </c>
    </row>
    <row r="663" ht="30.45" customHeight="1" hidden="1">
      <c r="A663" t="s" s="17">
        <v>20</v>
      </c>
      <c r="B663" t="s" s="5">
        <v>30</v>
      </c>
      <c r="C663" t="s" s="18">
        <v>1225</v>
      </c>
      <c r="D663" t="s" s="7">
        <v>451</v>
      </c>
      <c r="E663" s="8">
        <v>45527</v>
      </c>
      <c r="F663" s="16"/>
      <c r="G663" t="s" s="10">
        <v>1226</v>
      </c>
      <c r="H663" s="19">
        <v>11263</v>
      </c>
      <c r="I663" s="12">
        <v>11263</v>
      </c>
      <c r="J663" s="13">
        <f>I663-H663</f>
        <v>0</v>
      </c>
      <c r="K663" t="s" s="14">
        <v>84</v>
      </c>
      <c r="L663" s="20"/>
      <c r="M663" s="16"/>
      <c r="N663" s="20"/>
      <c r="O663" t="s" s="17">
        <v>24</v>
      </c>
    </row>
    <row r="664" ht="30.45" customHeight="1" hidden="1">
      <c r="A664" t="s" s="4">
        <v>20</v>
      </c>
      <c r="B664" t="s" s="5">
        <v>30</v>
      </c>
      <c r="C664" t="s" s="18">
        <v>1225</v>
      </c>
      <c r="D664" t="s" s="7">
        <v>451</v>
      </c>
      <c r="E664" s="8">
        <v>45958</v>
      </c>
      <c r="F664" s="10"/>
      <c r="G664" t="s" s="10">
        <v>1227</v>
      </c>
      <c r="H664" s="19">
        <v>32410</v>
      </c>
      <c r="I664" s="12">
        <v>34570</v>
      </c>
      <c r="J664" s="13">
        <f>I664-H664</f>
        <v>2160</v>
      </c>
      <c r="K664" t="s" s="14">
        <v>84</v>
      </c>
      <c r="L664" s="20"/>
      <c r="M664" s="16"/>
      <c r="N664" t="s" s="65">
        <v>1228</v>
      </c>
      <c r="O664" t="s" s="17">
        <v>24</v>
      </c>
    </row>
    <row r="665" ht="30.45" customHeight="1" hidden="1">
      <c r="A665" t="s" s="21">
        <v>20</v>
      </c>
      <c r="B665" t="s" s="5">
        <v>30</v>
      </c>
      <c r="C665" t="s" s="18">
        <v>1225</v>
      </c>
      <c r="D665" t="s" s="7">
        <v>451</v>
      </c>
      <c r="E665" s="8">
        <v>46023</v>
      </c>
      <c r="F665" s="10"/>
      <c r="G665" t="s" s="10">
        <v>1229</v>
      </c>
      <c r="H665" s="19">
        <v>52938</v>
      </c>
      <c r="I665" s="12">
        <v>50778</v>
      </c>
      <c r="J665" s="13">
        <f>I665-H665</f>
        <v>-2160</v>
      </c>
      <c r="K665" t="s" s="14">
        <v>84</v>
      </c>
      <c r="L665" s="20"/>
      <c r="M665" s="16"/>
      <c r="N665" t="s" s="65">
        <v>1230</v>
      </c>
      <c r="O665" t="s" s="17">
        <v>24</v>
      </c>
    </row>
    <row r="666" ht="30.45" customHeight="1" hidden="1">
      <c r="A666" t="s" s="21">
        <v>20</v>
      </c>
      <c r="B666" t="s" s="5">
        <v>40</v>
      </c>
      <c r="C666" t="s" s="18">
        <v>1225</v>
      </c>
      <c r="D666" t="s" s="7">
        <v>451</v>
      </c>
      <c r="E666" s="8">
        <v>45995</v>
      </c>
      <c r="F666" t="s" s="10">
        <v>1231</v>
      </c>
      <c r="G666" t="s" s="10">
        <v>1232</v>
      </c>
      <c r="H666" s="19">
        <v>23480.01</v>
      </c>
      <c r="I666" s="12">
        <v>23480</v>
      </c>
      <c r="J666" s="15">
        <f>I666-H666</f>
        <v>-0.01</v>
      </c>
      <c r="K666" t="s" s="14">
        <v>84</v>
      </c>
      <c r="L666" s="20"/>
      <c r="M666" s="16"/>
      <c r="N666" s="20"/>
      <c r="O666" t="s" s="17">
        <v>24</v>
      </c>
    </row>
    <row r="667" ht="30.45" customHeight="1" hidden="1">
      <c r="A667" t="s" s="21">
        <v>20</v>
      </c>
      <c r="B667" t="s" s="5">
        <v>420</v>
      </c>
      <c r="C667" t="s" s="64">
        <v>1225</v>
      </c>
      <c r="D667" t="s" s="7">
        <v>451</v>
      </c>
      <c r="E667" s="8">
        <v>46069</v>
      </c>
      <c r="F667" s="16"/>
      <c r="G667" s="10"/>
      <c r="H667" s="19">
        <v>12000</v>
      </c>
      <c r="I667" s="12">
        <f>H667</f>
        <v>12000</v>
      </c>
      <c r="J667" s="13">
        <f>I667-H667</f>
        <v>0</v>
      </c>
      <c r="K667" t="s" s="14">
        <v>84</v>
      </c>
      <c r="L667" s="20"/>
      <c r="M667" s="16"/>
      <c r="N667" s="20"/>
      <c r="O667" t="s" s="17">
        <v>24</v>
      </c>
    </row>
    <row r="668" ht="30.45" customHeight="1" hidden="1">
      <c r="A668" t="s" s="21">
        <v>39</v>
      </c>
      <c r="B668" t="s" s="5">
        <v>420</v>
      </c>
      <c r="C668" t="s" s="18">
        <v>1225</v>
      </c>
      <c r="D668" t="s" s="7">
        <v>451</v>
      </c>
      <c r="E668" s="25">
        <v>46122</v>
      </c>
      <c r="F668" s="16"/>
      <c r="G668" s="16"/>
      <c r="H668" s="19">
        <v>16800</v>
      </c>
      <c r="I668" s="12">
        <f>H668</f>
        <v>16800</v>
      </c>
      <c r="J668" s="15">
        <f>I668-H668</f>
        <v>0</v>
      </c>
      <c r="K668" t="s" s="14">
        <v>84</v>
      </c>
      <c r="L668" s="15"/>
      <c r="M668" s="16"/>
      <c r="N668" s="20"/>
      <c r="O668" t="s" s="17">
        <v>24</v>
      </c>
    </row>
    <row r="669" ht="30.45" customHeight="1" hidden="1">
      <c r="A669" t="s" s="21">
        <v>39</v>
      </c>
      <c r="B669" t="s" s="5">
        <v>61</v>
      </c>
      <c r="C669" t="s" s="23">
        <v>1225</v>
      </c>
      <c r="D669" t="s" s="7">
        <v>451</v>
      </c>
      <c r="E669" s="25">
        <v>45525</v>
      </c>
      <c r="F669" t="s" s="10">
        <v>1233</v>
      </c>
      <c r="G669" t="s" s="10">
        <v>1234</v>
      </c>
      <c r="H669" s="19">
        <v>31698.36</v>
      </c>
      <c r="I669" s="12">
        <v>31698.36</v>
      </c>
      <c r="J669" s="13">
        <f>I669-H669</f>
        <v>0</v>
      </c>
      <c r="K669" t="s" s="14">
        <v>84</v>
      </c>
      <c r="L669" s="15"/>
      <c r="M669" s="16"/>
      <c r="N669" s="20"/>
      <c r="O669" t="s" s="17">
        <v>24</v>
      </c>
    </row>
    <row r="670" ht="30.45" customHeight="1" hidden="1">
      <c r="A670" t="s" s="21">
        <v>20</v>
      </c>
      <c r="B670" t="s" s="5">
        <v>61</v>
      </c>
      <c r="C670" t="s" s="23">
        <v>1225</v>
      </c>
      <c r="D670" t="s" s="7">
        <v>451</v>
      </c>
      <c r="E670" s="25">
        <v>45762</v>
      </c>
      <c r="F670" t="s" s="10">
        <v>1235</v>
      </c>
      <c r="G670" t="s" s="10">
        <v>1236</v>
      </c>
      <c r="H670" s="31">
        <v>15611.25</v>
      </c>
      <c r="I670" s="12">
        <v>15611.25</v>
      </c>
      <c r="J670" s="15">
        <f>I670-H670</f>
        <v>0</v>
      </c>
      <c r="K670" t="s" s="14">
        <v>84</v>
      </c>
      <c r="L670" s="15"/>
      <c r="M670" s="16"/>
      <c r="N670" s="20"/>
      <c r="O670" t="s" s="17">
        <v>24</v>
      </c>
    </row>
    <row r="671" ht="30.45" customHeight="1">
      <c r="A671" t="s" s="47">
        <v>203</v>
      </c>
      <c r="B671" t="s" s="5">
        <v>61</v>
      </c>
      <c r="C671" t="s" s="18">
        <v>1225</v>
      </c>
      <c r="D671" t="s" s="7">
        <v>451</v>
      </c>
      <c r="E671" s="8">
        <v>46052</v>
      </c>
      <c r="F671" t="s" s="10">
        <v>1237</v>
      </c>
      <c r="G671" t="s" s="10">
        <v>1238</v>
      </c>
      <c r="H671" s="31">
        <v>30798.4</v>
      </c>
      <c r="I671" s="12">
        <v>30373.64</v>
      </c>
      <c r="J671" s="15">
        <f>I671-H671</f>
        <v>-424.76</v>
      </c>
      <c r="K671" t="s" s="14">
        <v>84</v>
      </c>
      <c r="L671" s="20"/>
      <c r="M671" s="16"/>
      <c r="N671" s="20"/>
      <c r="O671" t="s" s="17">
        <v>24</v>
      </c>
    </row>
    <row r="672" ht="30.45" customHeight="1" hidden="1">
      <c r="A672" t="s" s="96">
        <v>1121</v>
      </c>
      <c r="B672" t="s" s="5">
        <v>61</v>
      </c>
      <c r="C672" t="s" s="100">
        <v>1239</v>
      </c>
      <c r="D672" t="s" s="7">
        <v>206</v>
      </c>
      <c r="E672" s="25">
        <v>45762</v>
      </c>
      <c r="F672" t="s" s="10">
        <v>1240</v>
      </c>
      <c r="G672" t="s" s="10">
        <v>1241</v>
      </c>
      <c r="H672" s="31">
        <v>40450</v>
      </c>
      <c r="I672" s="12">
        <v>9538</v>
      </c>
      <c r="J672" s="15">
        <f>I672-H672</f>
        <v>-30912</v>
      </c>
      <c r="K672" t="s" s="14">
        <v>209</v>
      </c>
      <c r="L672" s="15"/>
      <c r="M672" s="16"/>
      <c r="N672" s="20"/>
      <c r="O672" t="s" s="17">
        <v>19</v>
      </c>
    </row>
    <row r="673" ht="30.45" customHeight="1" hidden="1">
      <c r="A673" t="s" s="17">
        <v>39</v>
      </c>
      <c r="B673" t="s" s="5">
        <v>68</v>
      </c>
      <c r="C673" t="s" s="23">
        <v>1242</v>
      </c>
      <c r="D673" t="s" s="7">
        <v>1243</v>
      </c>
      <c r="E673" s="25">
        <v>45254</v>
      </c>
      <c r="F673" s="16"/>
      <c r="G673" s="16"/>
      <c r="H673" s="19">
        <v>9380</v>
      </c>
      <c r="I673" s="16"/>
      <c r="J673" s="20"/>
      <c r="K673" t="s" s="14">
        <v>467</v>
      </c>
      <c r="L673" s="15"/>
      <c r="M673" s="58">
        <v>45288</v>
      </c>
      <c r="N673" t="s" s="63">
        <v>1244</v>
      </c>
      <c r="O673" t="s" s="17">
        <v>24</v>
      </c>
    </row>
    <row r="674" ht="30.45" customHeight="1" hidden="1">
      <c r="A674" t="s" s="17">
        <v>133</v>
      </c>
      <c r="B674" t="s" s="5">
        <v>420</v>
      </c>
      <c r="C674" t="s" s="79">
        <v>1245</v>
      </c>
      <c r="D674" t="s" s="7">
        <v>379</v>
      </c>
      <c r="E674" s="25">
        <v>45457</v>
      </c>
      <c r="F674" s="16"/>
      <c r="G674" s="16"/>
      <c r="H674" s="19">
        <v>16000</v>
      </c>
      <c r="I674" s="12">
        <v>15999.8</v>
      </c>
      <c r="J674" s="15">
        <f>I674-H674</f>
        <v>-0.2</v>
      </c>
      <c r="K674" t="s" s="14">
        <v>87</v>
      </c>
      <c r="L674" s="15"/>
      <c r="M674" s="16"/>
      <c r="N674" s="20"/>
      <c r="O674" t="s" s="17">
        <v>19</v>
      </c>
    </row>
    <row r="675" ht="30.45" customHeight="1" hidden="1">
      <c r="A675" t="s" s="17">
        <v>133</v>
      </c>
      <c r="B675" t="s" s="5">
        <v>420</v>
      </c>
      <c r="C675" t="s" s="79">
        <v>1245</v>
      </c>
      <c r="D675" t="s" s="7">
        <v>379</v>
      </c>
      <c r="E675" s="25">
        <v>45502</v>
      </c>
      <c r="F675" s="16"/>
      <c r="G675" s="16"/>
      <c r="H675" s="19">
        <v>13650</v>
      </c>
      <c r="I675" s="12">
        <v>13650</v>
      </c>
      <c r="J675" s="15">
        <f>I675-H675</f>
        <v>0</v>
      </c>
      <c r="K675" t="s" s="14">
        <v>87</v>
      </c>
      <c r="L675" s="15"/>
      <c r="M675" s="16"/>
      <c r="N675" s="20"/>
      <c r="O675" t="s" s="17">
        <v>19</v>
      </c>
    </row>
    <row r="676" ht="30.45" customHeight="1" hidden="1">
      <c r="A676" t="s" s="47">
        <v>797</v>
      </c>
      <c r="B676" t="s" s="5">
        <v>420</v>
      </c>
      <c r="C676" t="s" s="79">
        <v>1245</v>
      </c>
      <c r="D676" t="s" s="7">
        <v>379</v>
      </c>
      <c r="E676" s="25">
        <v>45531</v>
      </c>
      <c r="F676" s="16"/>
      <c r="G676" s="16"/>
      <c r="H676" s="19">
        <v>23100</v>
      </c>
      <c r="I676" s="12"/>
      <c r="J676" s="15">
        <f>I676-H676</f>
        <v>-23100</v>
      </c>
      <c r="K676" t="s" s="14">
        <v>87</v>
      </c>
      <c r="L676" s="15"/>
      <c r="M676" s="16"/>
      <c r="N676" s="20"/>
      <c r="O676" t="s" s="17">
        <v>19</v>
      </c>
    </row>
    <row r="677" ht="30.45" customHeight="1" hidden="1">
      <c r="A677" t="s" s="17">
        <v>96</v>
      </c>
      <c r="B677" t="s" s="5">
        <v>68</v>
      </c>
      <c r="C677" t="s" s="23">
        <v>1245</v>
      </c>
      <c r="D677" t="s" s="7">
        <v>379</v>
      </c>
      <c r="E677" s="25">
        <v>45530</v>
      </c>
      <c r="F677" s="16"/>
      <c r="G677" s="10"/>
      <c r="H677" s="19">
        <v>10804.5</v>
      </c>
      <c r="I677" s="12">
        <v>10804.5</v>
      </c>
      <c r="J677" s="15">
        <f>I677-H677</f>
        <v>0</v>
      </c>
      <c r="K677" t="s" s="14">
        <v>87</v>
      </c>
      <c r="L677" s="15"/>
      <c r="M677" s="22"/>
      <c r="N677" s="20"/>
      <c r="O677" t="s" s="17">
        <v>19</v>
      </c>
    </row>
    <row r="678" ht="30.45" customHeight="1" hidden="1">
      <c r="A678" t="s" s="21">
        <v>39</v>
      </c>
      <c r="B678" t="s" s="5">
        <v>40</v>
      </c>
      <c r="C678" t="s" s="28">
        <v>1246</v>
      </c>
      <c r="D678" t="s" s="7">
        <v>379</v>
      </c>
      <c r="E678" s="8">
        <v>45946</v>
      </c>
      <c r="F678" t="s" s="10">
        <v>1247</v>
      </c>
      <c r="G678" t="s" s="10">
        <v>1248</v>
      </c>
      <c r="H678" s="50">
        <v>16126.82</v>
      </c>
      <c r="I678" s="12">
        <v>15926</v>
      </c>
      <c r="J678" s="15">
        <f>I678-H678</f>
        <v>-200.82</v>
      </c>
      <c r="K678" t="s" s="14">
        <v>87</v>
      </c>
      <c r="L678" s="20"/>
      <c r="M678" s="16"/>
      <c r="N678" s="20"/>
      <c r="O678" t="s" s="17">
        <v>24</v>
      </c>
    </row>
    <row r="679" ht="30.45" customHeight="1" hidden="1">
      <c r="A679" t="s" s="21">
        <v>49</v>
      </c>
      <c r="B679" t="s" s="5">
        <v>633</v>
      </c>
      <c r="C679" t="s" s="23">
        <v>1249</v>
      </c>
      <c r="D679" t="s" s="7">
        <v>129</v>
      </c>
      <c r="E679" s="8">
        <v>45926</v>
      </c>
      <c r="F679" t="s" s="10">
        <v>1250</v>
      </c>
      <c r="G679" t="s" s="10">
        <v>1251</v>
      </c>
      <c r="H679" s="19">
        <v>42487.06</v>
      </c>
      <c r="I679" s="12">
        <v>42487.05</v>
      </c>
      <c r="J679" s="13">
        <f>I679-H679</f>
        <v>-0.01</v>
      </c>
      <c r="K679" t="s" s="14">
        <v>84</v>
      </c>
      <c r="L679" s="20"/>
      <c r="M679" s="16"/>
      <c r="N679" s="20"/>
      <c r="O679" t="s" s="17">
        <v>24</v>
      </c>
    </row>
    <row r="680" ht="30.45" customHeight="1" hidden="1">
      <c r="A680" t="s" s="17">
        <v>39</v>
      </c>
      <c r="B680" t="s" s="5">
        <v>79</v>
      </c>
      <c r="C680" t="s" s="28">
        <v>1249</v>
      </c>
      <c r="D680" t="s" s="7">
        <v>129</v>
      </c>
      <c r="E680" s="25">
        <v>45828</v>
      </c>
      <c r="F680" t="s" s="10">
        <v>135</v>
      </c>
      <c r="G680" t="s" s="10">
        <v>1252</v>
      </c>
      <c r="H680" s="50">
        <v>7225</v>
      </c>
      <c r="I680" s="12">
        <v>7225</v>
      </c>
      <c r="J680" s="13">
        <f>I680-H680</f>
        <v>0</v>
      </c>
      <c r="K680" t="s" s="14">
        <v>84</v>
      </c>
      <c r="L680" s="20"/>
      <c r="M680" s="16"/>
      <c r="N680" s="20"/>
      <c r="O680" t="s" s="17">
        <v>24</v>
      </c>
    </row>
    <row r="681" ht="30.45" customHeight="1" hidden="1">
      <c r="A681" t="s" s="17">
        <v>39</v>
      </c>
      <c r="B681" t="s" s="5">
        <v>30</v>
      </c>
      <c r="C681" t="s" s="18">
        <v>1249</v>
      </c>
      <c r="D681" t="s" s="7">
        <v>129</v>
      </c>
      <c r="E681" s="8">
        <v>45323</v>
      </c>
      <c r="F681" s="16"/>
      <c r="G681" s="9">
        <v>1810</v>
      </c>
      <c r="H681" s="19">
        <v>9306</v>
      </c>
      <c r="I681" s="12">
        <v>9306</v>
      </c>
      <c r="J681" s="15"/>
      <c r="K681" t="s" s="14">
        <v>84</v>
      </c>
      <c r="L681" s="15"/>
      <c r="M681" s="8">
        <v>45358</v>
      </c>
      <c r="N681" s="16"/>
      <c r="O681" t="s" s="17">
        <v>24</v>
      </c>
    </row>
    <row r="682" ht="30.45" customHeight="1" hidden="1">
      <c r="A682" t="s" s="17">
        <v>20</v>
      </c>
      <c r="B682" t="s" s="5">
        <v>30</v>
      </c>
      <c r="C682" t="s" s="18">
        <v>1249</v>
      </c>
      <c r="D682" t="s" s="7">
        <v>129</v>
      </c>
      <c r="E682" s="8">
        <v>45411</v>
      </c>
      <c r="F682" s="16"/>
      <c r="G682" t="s" s="10">
        <v>1253</v>
      </c>
      <c r="H682" s="19">
        <v>20623</v>
      </c>
      <c r="I682" s="12">
        <v>20623</v>
      </c>
      <c r="J682" s="15">
        <f>I682-H682</f>
        <v>0</v>
      </c>
      <c r="K682" t="s" s="14">
        <v>84</v>
      </c>
      <c r="L682" s="15"/>
      <c r="M682" s="16"/>
      <c r="N682" s="20"/>
      <c r="O682" t="s" s="17">
        <v>24</v>
      </c>
    </row>
    <row r="683" ht="30.45" customHeight="1" hidden="1">
      <c r="A683" t="s" s="17">
        <v>39</v>
      </c>
      <c r="B683" t="s" s="5">
        <v>30</v>
      </c>
      <c r="C683" t="s" s="18">
        <v>1249</v>
      </c>
      <c r="D683" t="s" s="7">
        <v>129</v>
      </c>
      <c r="E683" s="8">
        <v>45579</v>
      </c>
      <c r="F683" s="16"/>
      <c r="G683" t="s" s="10">
        <v>1254</v>
      </c>
      <c r="H683" s="19">
        <v>16230</v>
      </c>
      <c r="I683" s="12">
        <v>16230</v>
      </c>
      <c r="J683" s="13">
        <f>I683-H683</f>
        <v>0</v>
      </c>
      <c r="K683" t="s" s="14">
        <v>84</v>
      </c>
      <c r="L683" s="20"/>
      <c r="M683" s="16"/>
      <c r="N683" s="20"/>
      <c r="O683" t="s" s="17">
        <v>24</v>
      </c>
    </row>
    <row r="684" ht="30.45" customHeight="1" hidden="1">
      <c r="A684" t="s" s="17">
        <v>39</v>
      </c>
      <c r="B684" t="s" s="5">
        <v>30</v>
      </c>
      <c r="C684" t="s" s="18">
        <v>1249</v>
      </c>
      <c r="D684" t="s" s="7">
        <v>129</v>
      </c>
      <c r="E684" s="8">
        <v>45617</v>
      </c>
      <c r="F684" s="16"/>
      <c r="G684" t="s" s="10">
        <v>1255</v>
      </c>
      <c r="H684" s="19">
        <v>17285</v>
      </c>
      <c r="I684" s="12">
        <v>17285</v>
      </c>
      <c r="J684" s="13">
        <f>I684-H684</f>
        <v>0</v>
      </c>
      <c r="K684" t="s" s="14">
        <v>84</v>
      </c>
      <c r="L684" s="43">
        <v>45708</v>
      </c>
      <c r="M684" s="16"/>
      <c r="N684" s="20"/>
      <c r="O684" t="s" s="17">
        <v>24</v>
      </c>
    </row>
    <row r="685" ht="30.45" customHeight="1" hidden="1">
      <c r="A685" t="s" s="17">
        <v>20</v>
      </c>
      <c r="B685" t="s" s="5">
        <v>30</v>
      </c>
      <c r="C685" t="s" s="18">
        <v>1249</v>
      </c>
      <c r="D685" t="s" s="7">
        <v>129</v>
      </c>
      <c r="E685" s="8">
        <v>45717</v>
      </c>
      <c r="F685" s="16"/>
      <c r="G685" t="s" s="10">
        <v>1256</v>
      </c>
      <c r="H685" s="19">
        <v>16159</v>
      </c>
      <c r="I685" s="12">
        <v>16159</v>
      </c>
      <c r="J685" s="13">
        <f>I685-H685</f>
        <v>0</v>
      </c>
      <c r="K685" t="s" s="14">
        <v>84</v>
      </c>
      <c r="L685" s="20"/>
      <c r="M685" s="16"/>
      <c r="N685" s="20"/>
      <c r="O685" t="s" s="17">
        <v>24</v>
      </c>
    </row>
    <row r="686" ht="30.45" customHeight="1" hidden="1">
      <c r="A686" t="s" s="21">
        <v>20</v>
      </c>
      <c r="B686" t="s" s="5">
        <v>30</v>
      </c>
      <c r="C686" t="s" s="18">
        <v>1249</v>
      </c>
      <c r="D686" t="s" s="7">
        <v>129</v>
      </c>
      <c r="E686" s="8">
        <v>45859</v>
      </c>
      <c r="F686" s="10"/>
      <c r="G686" t="s" s="10">
        <v>1257</v>
      </c>
      <c r="H686" s="19">
        <v>28720</v>
      </c>
      <c r="I686" s="12">
        <v>28720</v>
      </c>
      <c r="J686" s="13">
        <f>I686-H686</f>
        <v>0</v>
      </c>
      <c r="K686" t="s" s="14">
        <v>84</v>
      </c>
      <c r="L686" s="20"/>
      <c r="M686" s="16"/>
      <c r="N686" s="20"/>
      <c r="O686" t="s" s="17">
        <v>24</v>
      </c>
    </row>
    <row r="687" ht="30.45" customHeight="1" hidden="1">
      <c r="A687" t="s" s="17">
        <v>39</v>
      </c>
      <c r="B687" t="s" s="5">
        <v>30</v>
      </c>
      <c r="C687" t="s" s="18">
        <v>1249</v>
      </c>
      <c r="D687" t="s" s="7">
        <v>129</v>
      </c>
      <c r="E687" s="8">
        <v>46038</v>
      </c>
      <c r="F687" s="10"/>
      <c r="G687" t="s" s="10">
        <v>1258</v>
      </c>
      <c r="H687" s="19">
        <v>28083.92</v>
      </c>
      <c r="I687" s="12">
        <f>H687</f>
        <v>28083.92</v>
      </c>
      <c r="J687" s="13">
        <f>I687-H687</f>
        <v>0</v>
      </c>
      <c r="K687" t="s" s="14">
        <v>84</v>
      </c>
      <c r="L687" s="20"/>
      <c r="M687" s="16"/>
      <c r="N687" s="20"/>
      <c r="O687" t="s" s="17">
        <v>24</v>
      </c>
    </row>
    <row r="688" ht="30.45" customHeight="1" hidden="1">
      <c r="A688" t="s" s="21">
        <v>20</v>
      </c>
      <c r="B688" t="s" s="5">
        <v>30</v>
      </c>
      <c r="C688" t="s" s="18">
        <v>1249</v>
      </c>
      <c r="D688" t="s" s="7">
        <v>129</v>
      </c>
      <c r="E688" s="8">
        <v>46101</v>
      </c>
      <c r="F688" s="10"/>
      <c r="G688" t="s" s="10">
        <v>1259</v>
      </c>
      <c r="H688" s="19">
        <v>8330</v>
      </c>
      <c r="I688" s="12">
        <f>H688</f>
        <v>8330</v>
      </c>
      <c r="J688" s="13">
        <f>I688-H688</f>
        <v>0</v>
      </c>
      <c r="K688" t="s" s="14">
        <v>84</v>
      </c>
      <c r="L688" s="20"/>
      <c r="M688" s="16"/>
      <c r="N688" s="20"/>
      <c r="O688" t="s" s="17">
        <v>24</v>
      </c>
    </row>
    <row r="689" ht="30.45" customHeight="1" hidden="1">
      <c r="A689" t="s" s="17">
        <v>20</v>
      </c>
      <c r="B689" t="s" s="5">
        <v>36</v>
      </c>
      <c r="C689" t="s" s="18">
        <v>1249</v>
      </c>
      <c r="D689" t="s" s="7">
        <v>129</v>
      </c>
      <c r="E689" s="8">
        <v>45576</v>
      </c>
      <c r="F689" t="s" s="10">
        <v>1260</v>
      </c>
      <c r="G689" t="s" s="10">
        <v>1261</v>
      </c>
      <c r="H689" s="19">
        <v>64541.5</v>
      </c>
      <c r="I689" s="12">
        <v>64541.5</v>
      </c>
      <c r="J689" s="15">
        <f>I689-H689</f>
        <v>0</v>
      </c>
      <c r="K689" t="s" s="14">
        <v>84</v>
      </c>
      <c r="L689" s="20"/>
      <c r="M689" s="16"/>
      <c r="N689" s="20"/>
      <c r="O689" t="s" s="17">
        <v>24</v>
      </c>
    </row>
    <row r="690" ht="30.45" customHeight="1" hidden="1">
      <c r="A690" t="s" s="17">
        <v>20</v>
      </c>
      <c r="B690" t="s" s="5">
        <v>40</v>
      </c>
      <c r="C690" t="s" s="23">
        <v>1249</v>
      </c>
      <c r="D690" t="s" s="7">
        <v>129</v>
      </c>
      <c r="E690" s="8">
        <v>45525</v>
      </c>
      <c r="F690" t="s" s="10">
        <v>1262</v>
      </c>
      <c r="G690" t="s" s="10">
        <v>1263</v>
      </c>
      <c r="H690" s="15">
        <v>13200.78</v>
      </c>
      <c r="I690" s="12">
        <v>13200.78</v>
      </c>
      <c r="J690" s="15">
        <f>I690-H690</f>
        <v>0</v>
      </c>
      <c r="K690" t="s" s="14">
        <v>84</v>
      </c>
      <c r="L690" s="20"/>
      <c r="M690" s="16"/>
      <c r="N690" s="20"/>
      <c r="O690" t="s" s="17">
        <v>24</v>
      </c>
    </row>
    <row r="691" ht="30.45" customHeight="1" hidden="1">
      <c r="A691" t="s" s="21">
        <v>20</v>
      </c>
      <c r="B691" t="s" s="5">
        <v>40</v>
      </c>
      <c r="C691" t="s" s="18">
        <v>1249</v>
      </c>
      <c r="D691" t="s" s="7">
        <v>129</v>
      </c>
      <c r="E691" s="8">
        <v>45924</v>
      </c>
      <c r="F691" t="s" s="10">
        <v>1264</v>
      </c>
      <c r="G691" t="s" s="10">
        <v>1265</v>
      </c>
      <c r="H691" s="19">
        <v>15484.84</v>
      </c>
      <c r="I691" s="12">
        <f>H691</f>
        <v>15484.84</v>
      </c>
      <c r="J691" s="15">
        <f>I691-H691</f>
        <v>0</v>
      </c>
      <c r="K691" t="s" s="14">
        <v>84</v>
      </c>
      <c r="L691" s="20"/>
      <c r="M691" s="16"/>
      <c r="N691" s="20"/>
      <c r="O691" t="s" s="17">
        <v>24</v>
      </c>
    </row>
    <row r="692" ht="30.45" customHeight="1" hidden="1">
      <c r="A692" t="s" s="21">
        <v>20</v>
      </c>
      <c r="B692" t="s" s="5">
        <v>420</v>
      </c>
      <c r="C692" t="s" s="18">
        <v>1249</v>
      </c>
      <c r="D692" t="s" s="7">
        <v>129</v>
      </c>
      <c r="E692" s="25">
        <v>45600</v>
      </c>
      <c r="F692" s="16"/>
      <c r="G692" s="16"/>
      <c r="H692" s="19">
        <v>19300</v>
      </c>
      <c r="I692" s="12">
        <v>19300</v>
      </c>
      <c r="J692" s="15">
        <f>I692-H692</f>
        <v>0</v>
      </c>
      <c r="K692" t="s" s="14">
        <v>84</v>
      </c>
      <c r="L692" s="15"/>
      <c r="M692" s="16"/>
      <c r="N692" s="20"/>
      <c r="O692" t="s" s="17">
        <v>24</v>
      </c>
    </row>
    <row r="693" ht="30.45" customHeight="1" hidden="1">
      <c r="A693" t="s" s="17">
        <v>133</v>
      </c>
      <c r="B693" t="s" s="5">
        <v>420</v>
      </c>
      <c r="C693" t="s" s="6">
        <v>1249</v>
      </c>
      <c r="D693" t="s" s="7">
        <v>129</v>
      </c>
      <c r="E693" s="8">
        <v>45600</v>
      </c>
      <c r="F693" s="16"/>
      <c r="G693" s="10"/>
      <c r="H693" s="39">
        <v>19300</v>
      </c>
      <c r="I693" s="12">
        <v>19300</v>
      </c>
      <c r="J693" s="13">
        <f>I693-H693</f>
        <v>0</v>
      </c>
      <c r="K693" t="s" s="14">
        <v>84</v>
      </c>
      <c r="L693" s="20"/>
      <c r="M693" s="16"/>
      <c r="N693" s="20"/>
      <c r="O693" t="s" s="17">
        <v>19</v>
      </c>
    </row>
    <row r="694" ht="30.45" customHeight="1" hidden="1">
      <c r="A694" t="s" s="21">
        <v>20</v>
      </c>
      <c r="B694" t="s" s="5">
        <v>97</v>
      </c>
      <c r="C694" t="s" s="23">
        <v>1249</v>
      </c>
      <c r="D694" t="s" s="7">
        <v>129</v>
      </c>
      <c r="E694" s="25">
        <v>45793</v>
      </c>
      <c r="F694" t="s" s="10">
        <v>1266</v>
      </c>
      <c r="G694" t="s" s="10">
        <v>1267</v>
      </c>
      <c r="H694" s="19">
        <v>36450.5</v>
      </c>
      <c r="I694" s="12">
        <v>36450.5</v>
      </c>
      <c r="J694" s="13">
        <f>I694-H694</f>
        <v>0</v>
      </c>
      <c r="K694" t="s" s="14">
        <v>84</v>
      </c>
      <c r="L694" s="20"/>
      <c r="M694" s="16"/>
      <c r="N694" s="20"/>
      <c r="O694" t="s" s="17">
        <v>24</v>
      </c>
    </row>
    <row r="695" ht="30.45" customHeight="1" hidden="1">
      <c r="A695" t="s" s="21">
        <v>501</v>
      </c>
      <c r="B695" t="s" s="5">
        <v>79</v>
      </c>
      <c r="C695" t="s" s="23">
        <v>1249</v>
      </c>
      <c r="D695" t="s" s="7">
        <v>129</v>
      </c>
      <c r="E695" s="25">
        <v>46148</v>
      </c>
      <c r="F695" t="s" s="10">
        <v>82</v>
      </c>
      <c r="G695" t="s" s="10">
        <v>1268</v>
      </c>
      <c r="H695" s="19">
        <v>4959</v>
      </c>
      <c r="I695" s="12">
        <v>3306</v>
      </c>
      <c r="J695" s="13">
        <f>I695-H695</f>
        <v>-1653</v>
      </c>
      <c r="K695" t="s" s="14">
        <v>84</v>
      </c>
      <c r="L695" s="20"/>
      <c r="M695" s="16"/>
      <c r="N695" s="20"/>
      <c r="O695" t="s" s="17">
        <v>24</v>
      </c>
    </row>
    <row r="696" ht="30.45" customHeight="1" hidden="1">
      <c r="A696" t="s" s="21">
        <v>49</v>
      </c>
      <c r="B696" t="s" s="5">
        <v>47</v>
      </c>
      <c r="C696" t="s" s="18">
        <v>1269</v>
      </c>
      <c r="D696" t="s" s="7">
        <v>1270</v>
      </c>
      <c r="E696" s="8">
        <v>45793</v>
      </c>
      <c r="F696" t="s" s="10">
        <v>1271</v>
      </c>
      <c r="G696" t="s" s="10">
        <v>1272</v>
      </c>
      <c r="H696" s="15">
        <v>4411.18</v>
      </c>
      <c r="I696" s="12">
        <v>4411.18</v>
      </c>
      <c r="J696" s="15">
        <f>I696-H696</f>
        <v>0</v>
      </c>
      <c r="K696" t="s" s="14">
        <v>386</v>
      </c>
      <c r="L696" s="20"/>
      <c r="M696" s="8"/>
      <c r="N696" s="20"/>
      <c r="O696" t="s" s="17">
        <v>24</v>
      </c>
    </row>
    <row r="697" ht="30.45" customHeight="1" hidden="1">
      <c r="A697" t="s" s="4">
        <v>49</v>
      </c>
      <c r="B697" t="s" s="5">
        <v>47</v>
      </c>
      <c r="C697" t="s" s="18">
        <v>1269</v>
      </c>
      <c r="D697" t="s" s="7">
        <v>1270</v>
      </c>
      <c r="E697" s="8">
        <v>45960</v>
      </c>
      <c r="F697" t="s" s="10">
        <v>1273</v>
      </c>
      <c r="G697" t="s" s="10">
        <v>1274</v>
      </c>
      <c r="H697" s="19">
        <v>45452.63</v>
      </c>
      <c r="I697" s="12">
        <f>H697</f>
        <v>45452.63</v>
      </c>
      <c r="J697" s="15">
        <f>I697-H697</f>
        <v>0</v>
      </c>
      <c r="K697" t="s" s="14">
        <v>386</v>
      </c>
      <c r="L697" s="20"/>
      <c r="M697" s="8"/>
      <c r="N697" s="20"/>
      <c r="O697" t="s" s="17">
        <v>24</v>
      </c>
    </row>
    <row r="698" ht="30.45" customHeight="1" hidden="1">
      <c r="A698" t="s" s="21">
        <v>49</v>
      </c>
      <c r="B698" t="s" s="5">
        <v>47</v>
      </c>
      <c r="C698" t="s" s="18">
        <v>1269</v>
      </c>
      <c r="D698" t="s" s="7">
        <v>1270</v>
      </c>
      <c r="E698" s="8">
        <v>46108</v>
      </c>
      <c r="F698" t="s" s="10">
        <v>1275</v>
      </c>
      <c r="G698" t="s" s="10">
        <v>1276</v>
      </c>
      <c r="H698" s="19">
        <v>53120.71</v>
      </c>
      <c r="I698" s="12">
        <f>H698</f>
        <v>53120.71</v>
      </c>
      <c r="J698" s="15">
        <f>I698-H698</f>
        <v>0</v>
      </c>
      <c r="K698" t="s" s="14">
        <v>386</v>
      </c>
      <c r="L698" s="20"/>
      <c r="M698" s="8"/>
      <c r="N698" s="20"/>
      <c r="O698" t="s" s="17">
        <v>24</v>
      </c>
    </row>
    <row r="699" ht="30.45" customHeight="1" hidden="1">
      <c r="A699" t="s" s="17">
        <v>20</v>
      </c>
      <c r="B699" t="s" s="5">
        <v>97</v>
      </c>
      <c r="C699" t="s" s="23">
        <v>1269</v>
      </c>
      <c r="D699" t="s" s="7">
        <v>1270</v>
      </c>
      <c r="E699" s="25">
        <v>45499</v>
      </c>
      <c r="F699" t="s" s="10">
        <v>1277</v>
      </c>
      <c r="G699" t="s" s="10">
        <v>1278</v>
      </c>
      <c r="H699" s="19">
        <v>62374.7</v>
      </c>
      <c r="I699" s="12">
        <v>62374.7</v>
      </c>
      <c r="J699" s="15">
        <f>I699-H699</f>
        <v>0</v>
      </c>
      <c r="K699" t="s" s="14">
        <v>386</v>
      </c>
      <c r="L699" s="20"/>
      <c r="M699" s="16"/>
      <c r="N699" s="20"/>
      <c r="O699" t="s" s="17">
        <v>24</v>
      </c>
    </row>
    <row r="700" ht="30.45" customHeight="1" hidden="1">
      <c r="A700" t="s" s="17">
        <v>12</v>
      </c>
      <c r="B700" t="s" s="5">
        <v>79</v>
      </c>
      <c r="C700" t="s" s="28">
        <v>1279</v>
      </c>
      <c r="D700" s="7"/>
      <c r="E700" s="25"/>
      <c r="F700" s="10"/>
      <c r="G700" s="10"/>
      <c r="H700" s="39"/>
      <c r="I700" s="15"/>
      <c r="J700" s="13">
        <f>I700-H700</f>
        <v>0</v>
      </c>
      <c r="K700" t="s" s="14">
        <v>24</v>
      </c>
      <c r="L700" s="20"/>
      <c r="M700" s="16"/>
      <c r="N700" s="20"/>
      <c r="O700" t="s" s="17">
        <v>19</v>
      </c>
    </row>
    <row r="701" ht="30.45" customHeight="1" hidden="1">
      <c r="A701" t="s" s="21">
        <v>49</v>
      </c>
      <c r="B701" t="s" s="5">
        <v>633</v>
      </c>
      <c r="C701" t="s" s="18">
        <v>1280</v>
      </c>
      <c r="D701" t="s" s="7">
        <v>390</v>
      </c>
      <c r="E701" s="8">
        <v>46137</v>
      </c>
      <c r="F701" t="s" s="10">
        <v>1281</v>
      </c>
      <c r="G701" t="s" s="10">
        <v>1282</v>
      </c>
      <c r="H701" s="49">
        <v>43636.6</v>
      </c>
      <c r="I701" s="12">
        <v>60049</v>
      </c>
      <c r="J701" s="13">
        <f>I701-H701</f>
        <v>16412.4</v>
      </c>
      <c r="K701" t="s" s="14">
        <v>92</v>
      </c>
      <c r="L701" s="20"/>
      <c r="M701" s="16"/>
      <c r="N701" s="20"/>
      <c r="O701" t="s" s="17">
        <v>24</v>
      </c>
    </row>
    <row r="702" ht="30.45" customHeight="1" hidden="1">
      <c r="A702" t="s" s="17">
        <v>39</v>
      </c>
      <c r="B702" t="s" s="5">
        <v>21</v>
      </c>
      <c r="C702" t="s" s="28">
        <v>1283</v>
      </c>
      <c r="D702" t="s" s="7">
        <v>246</v>
      </c>
      <c r="E702" s="41">
        <v>45219</v>
      </c>
      <c r="F702" s="9">
        <v>459</v>
      </c>
      <c r="G702" t="s" s="10">
        <v>1284</v>
      </c>
      <c r="H702" s="44">
        <v>58136.75</v>
      </c>
      <c r="I702" s="26"/>
      <c r="J702" s="26"/>
      <c r="K702" t="s" s="14">
        <v>153</v>
      </c>
      <c r="L702" s="26"/>
      <c r="M702" t="s" s="14">
        <v>142</v>
      </c>
      <c r="N702" t="s" s="14">
        <v>1285</v>
      </c>
      <c r="O702" t="s" s="17">
        <v>24</v>
      </c>
    </row>
    <row r="703" ht="30.45" customHeight="1" hidden="1">
      <c r="A703" t="s" s="17">
        <v>39</v>
      </c>
      <c r="B703" t="s" s="5">
        <v>21</v>
      </c>
      <c r="C703" t="s" s="28">
        <v>1286</v>
      </c>
      <c r="D703" t="s" s="7">
        <v>246</v>
      </c>
      <c r="E703" s="41">
        <v>45219</v>
      </c>
      <c r="F703" s="9">
        <v>459</v>
      </c>
      <c r="G703" t="s" s="10">
        <v>1284</v>
      </c>
      <c r="H703" s="44">
        <v>45587.2</v>
      </c>
      <c r="I703" s="26"/>
      <c r="J703" s="26"/>
      <c r="K703" t="s" s="14">
        <v>153</v>
      </c>
      <c r="L703" s="26"/>
      <c r="M703" t="s" s="14">
        <v>142</v>
      </c>
      <c r="N703" t="s" s="14">
        <v>1285</v>
      </c>
      <c r="O703" t="s" s="17">
        <v>24</v>
      </c>
    </row>
    <row r="704" ht="30.45" customHeight="1" hidden="1">
      <c r="A704" t="s" s="17">
        <v>39</v>
      </c>
      <c r="B704" t="s" s="5">
        <v>21</v>
      </c>
      <c r="C704" t="s" s="28">
        <v>1287</v>
      </c>
      <c r="D704" t="s" s="7">
        <v>246</v>
      </c>
      <c r="E704" s="41">
        <v>45219</v>
      </c>
      <c r="F704" s="9">
        <v>459</v>
      </c>
      <c r="G704" t="s" s="10">
        <v>1284</v>
      </c>
      <c r="H704" s="101"/>
      <c r="I704" s="26"/>
      <c r="J704" s="26"/>
      <c r="K704" t="s" s="14">
        <v>153</v>
      </c>
      <c r="L704" s="26"/>
      <c r="M704" t="s" s="14">
        <v>142</v>
      </c>
      <c r="N704" t="s" s="102">
        <v>1288</v>
      </c>
      <c r="O704" t="s" s="17">
        <v>24</v>
      </c>
    </row>
    <row r="705" ht="30.45" customHeight="1" hidden="1">
      <c r="A705" t="s" s="17">
        <v>39</v>
      </c>
      <c r="B705" t="s" s="5">
        <v>21</v>
      </c>
      <c r="C705" t="s" s="28">
        <v>1289</v>
      </c>
      <c r="D705" t="s" s="7">
        <v>246</v>
      </c>
      <c r="E705" s="8">
        <v>45694</v>
      </c>
      <c r="F705" t="s" s="10">
        <v>1290</v>
      </c>
      <c r="G705" t="s" s="10">
        <v>1291</v>
      </c>
      <c r="H705" s="50">
        <v>79103.9975</v>
      </c>
      <c r="I705" s="12">
        <v>79104</v>
      </c>
      <c r="J705" s="13">
        <f>I705-H705</f>
        <v>0.0025</v>
      </c>
      <c r="K705" t="s" s="14">
        <v>153</v>
      </c>
      <c r="L705" s="20"/>
      <c r="M705" s="16"/>
      <c r="N705" s="20"/>
      <c r="O705" t="s" s="17">
        <v>24</v>
      </c>
    </row>
    <row r="706" ht="30.45" customHeight="1" hidden="1">
      <c r="A706" t="s" s="30">
        <v>39</v>
      </c>
      <c r="B706" t="s" s="5">
        <v>30</v>
      </c>
      <c r="C706" t="s" s="28">
        <v>1289</v>
      </c>
      <c r="D706" t="s" s="7">
        <v>246</v>
      </c>
      <c r="E706" s="8">
        <v>46132</v>
      </c>
      <c r="F706" s="10"/>
      <c r="G706" t="s" s="10">
        <v>1292</v>
      </c>
      <c r="H706" s="50">
        <v>31649</v>
      </c>
      <c r="I706" s="12">
        <f>H706</f>
        <v>31649</v>
      </c>
      <c r="J706" s="13">
        <f>I706-H706</f>
        <v>0</v>
      </c>
      <c r="K706" t="s" s="14">
        <v>153</v>
      </c>
      <c r="L706" s="20"/>
      <c r="M706" s="16"/>
      <c r="N706" s="20"/>
      <c r="O706" t="s" s="17">
        <v>24</v>
      </c>
    </row>
    <row r="707" ht="30.45" customHeight="1" hidden="1">
      <c r="A707" t="s" s="17">
        <v>39</v>
      </c>
      <c r="B707" t="s" s="5">
        <v>317</v>
      </c>
      <c r="C707" t="s" s="28">
        <v>1289</v>
      </c>
      <c r="D707" t="s" s="7">
        <v>246</v>
      </c>
      <c r="E707" s="8">
        <v>45295</v>
      </c>
      <c r="F707" s="9">
        <v>122</v>
      </c>
      <c r="G707" t="s" s="10">
        <v>59</v>
      </c>
      <c r="H707" s="26">
        <v>16442.47</v>
      </c>
      <c r="I707" s="12">
        <v>16442.47</v>
      </c>
      <c r="J707" s="15"/>
      <c r="K707" t="s" s="14">
        <v>153</v>
      </c>
      <c r="L707" s="15"/>
      <c r="M707" t="s" s="10">
        <v>142</v>
      </c>
      <c r="N707" s="16"/>
      <c r="O707" t="s" s="17">
        <v>24</v>
      </c>
    </row>
    <row r="708" ht="30.45" customHeight="1" hidden="1">
      <c r="A708" t="s" s="17">
        <v>39</v>
      </c>
      <c r="B708" t="s" s="5">
        <v>40</v>
      </c>
      <c r="C708" t="s" s="28">
        <v>1289</v>
      </c>
      <c r="D708" t="s" s="7">
        <v>246</v>
      </c>
      <c r="E708" s="8">
        <v>45707</v>
      </c>
      <c r="F708" t="s" s="10">
        <v>357</v>
      </c>
      <c r="G708" t="s" s="10">
        <v>1293</v>
      </c>
      <c r="H708" s="50">
        <v>40011.8112</v>
      </c>
      <c r="I708" s="12">
        <v>40011.8112</v>
      </c>
      <c r="J708" s="15">
        <f>I708-H708</f>
        <v>0</v>
      </c>
      <c r="K708" t="s" s="14">
        <v>153</v>
      </c>
      <c r="L708" s="20"/>
      <c r="M708" s="16"/>
      <c r="N708" s="20"/>
      <c r="O708" t="s" s="17">
        <v>24</v>
      </c>
    </row>
    <row r="709" ht="30.45" customHeight="1" hidden="1">
      <c r="A709" t="s" s="30">
        <v>49</v>
      </c>
      <c r="B709" t="s" s="5">
        <v>47</v>
      </c>
      <c r="C709" t="s" s="23">
        <v>1289</v>
      </c>
      <c r="D709" t="s" s="7">
        <v>246</v>
      </c>
      <c r="E709" s="8">
        <v>45847</v>
      </c>
      <c r="F709" t="s" s="10">
        <v>503</v>
      </c>
      <c r="G709" t="s" s="10">
        <v>1294</v>
      </c>
      <c r="H709" s="19">
        <v>19972.25</v>
      </c>
      <c r="I709" s="12">
        <v>19972.25</v>
      </c>
      <c r="J709" s="15">
        <f>I709-H709</f>
        <v>0</v>
      </c>
      <c r="K709" t="s" s="14">
        <v>153</v>
      </c>
      <c r="L709" s="20"/>
      <c r="M709" s="8"/>
      <c r="N709" s="20"/>
      <c r="O709" t="s" s="17">
        <v>24</v>
      </c>
    </row>
    <row r="710" ht="30.45" customHeight="1" hidden="1">
      <c r="A710" t="s" s="30">
        <v>39</v>
      </c>
      <c r="B710" t="s" s="5">
        <v>47</v>
      </c>
      <c r="C710" t="s" s="28">
        <v>1289</v>
      </c>
      <c r="D710" t="s" s="7">
        <v>246</v>
      </c>
      <c r="E710" s="8">
        <v>45950</v>
      </c>
      <c r="F710" t="s" s="10">
        <v>1295</v>
      </c>
      <c r="G710" t="s" s="10">
        <v>1296</v>
      </c>
      <c r="H710" s="38">
        <v>35376.2</v>
      </c>
      <c r="I710" s="12">
        <v>35376.2</v>
      </c>
      <c r="J710" s="15">
        <f>I710-H710</f>
        <v>0</v>
      </c>
      <c r="K710" t="s" s="14">
        <v>153</v>
      </c>
      <c r="L710" s="20"/>
      <c r="M710" s="8"/>
      <c r="N710" s="20"/>
      <c r="O710" t="s" s="17">
        <v>24</v>
      </c>
    </row>
    <row r="711" ht="30.45" customHeight="1" hidden="1">
      <c r="A711" t="s" s="17">
        <v>39</v>
      </c>
      <c r="B711" t="s" s="5">
        <v>97</v>
      </c>
      <c r="C711" t="s" s="28">
        <v>1289</v>
      </c>
      <c r="D711" t="s" s="7">
        <v>246</v>
      </c>
      <c r="E711" s="25">
        <v>45793</v>
      </c>
      <c r="F711" t="s" s="10">
        <v>1297</v>
      </c>
      <c r="G711" t="s" s="10">
        <v>1298</v>
      </c>
      <c r="H711" s="50">
        <v>55259.25</v>
      </c>
      <c r="I711" s="12">
        <v>55259.25</v>
      </c>
      <c r="J711" s="13">
        <f>I711-H711</f>
        <v>0</v>
      </c>
      <c r="K711" t="s" s="14">
        <v>153</v>
      </c>
      <c r="L711" s="20"/>
      <c r="M711" s="16"/>
      <c r="N711" s="20"/>
      <c r="O711" t="s" s="17">
        <v>24</v>
      </c>
    </row>
    <row r="712" ht="30.45" customHeight="1" hidden="1">
      <c r="A712" t="s" s="21">
        <v>39</v>
      </c>
      <c r="B712" t="s" s="5">
        <v>61</v>
      </c>
      <c r="C712" t="s" s="23">
        <v>1299</v>
      </c>
      <c r="D712" s="92"/>
      <c r="E712" s="25">
        <v>45525</v>
      </c>
      <c r="F712" s="10"/>
      <c r="G712" t="s" s="10">
        <v>1300</v>
      </c>
      <c r="H712" s="31">
        <v>8887.950000000001</v>
      </c>
      <c r="I712" s="12">
        <v>8627.950000000001</v>
      </c>
      <c r="J712" s="15">
        <f>I712-H712</f>
        <v>-260</v>
      </c>
      <c r="K712" t="s" s="14">
        <v>24</v>
      </c>
      <c r="L712" s="15"/>
      <c r="M712" s="16"/>
      <c r="N712" s="20"/>
      <c r="O712" t="s" s="17">
        <v>24</v>
      </c>
    </row>
    <row r="713" ht="30.45" customHeight="1" hidden="1">
      <c r="A713" t="s" s="17">
        <v>20</v>
      </c>
      <c r="B713" t="s" s="5">
        <v>97</v>
      </c>
      <c r="C713" t="s" s="23">
        <v>1301</v>
      </c>
      <c r="D713" t="s" s="7">
        <v>1302</v>
      </c>
      <c r="E713" s="25">
        <v>45484</v>
      </c>
      <c r="F713" t="s" s="10">
        <v>1303</v>
      </c>
      <c r="G713" t="s" s="10">
        <v>1304</v>
      </c>
      <c r="H713" s="19">
        <v>26786.5</v>
      </c>
      <c r="I713" s="12">
        <v>26786.5</v>
      </c>
      <c r="J713" s="15">
        <f>I713-H713</f>
        <v>0</v>
      </c>
      <c r="K713" t="s" s="14">
        <v>396</v>
      </c>
      <c r="L713" s="20"/>
      <c r="M713" s="16"/>
      <c r="N713" s="20"/>
      <c r="O713" t="s" s="17">
        <v>24</v>
      </c>
    </row>
    <row r="714" ht="30.45" customHeight="1" hidden="1">
      <c r="A714" t="s" s="17">
        <v>39</v>
      </c>
      <c r="B714" t="s" s="5">
        <v>21</v>
      </c>
      <c r="C714" t="s" s="18">
        <v>1305</v>
      </c>
      <c r="D714" t="s" s="7">
        <v>379</v>
      </c>
      <c r="E714" s="41">
        <v>45219</v>
      </c>
      <c r="F714" s="9">
        <v>461</v>
      </c>
      <c r="G714" t="s" s="10">
        <v>1306</v>
      </c>
      <c r="H714" s="19">
        <v>25569.17</v>
      </c>
      <c r="I714" s="29">
        <v>25569.17</v>
      </c>
      <c r="J714" s="15">
        <f>I714-H714</f>
        <v>0</v>
      </c>
      <c r="K714" t="s" s="14">
        <v>87</v>
      </c>
      <c r="L714" s="15"/>
      <c r="M714" t="s" s="14">
        <v>142</v>
      </c>
      <c r="N714" s="20"/>
      <c r="O714" t="s" s="17">
        <v>24</v>
      </c>
    </row>
    <row r="715" ht="30.45" customHeight="1" hidden="1">
      <c r="A715" t="s" s="17">
        <v>39</v>
      </c>
      <c r="B715" t="s" s="5">
        <v>21</v>
      </c>
      <c r="C715" t="s" s="18">
        <v>1305</v>
      </c>
      <c r="D715" t="s" s="7">
        <v>379</v>
      </c>
      <c r="E715" s="41">
        <v>45255</v>
      </c>
      <c r="F715" t="s" s="10">
        <v>1307</v>
      </c>
      <c r="G715" t="s" s="10">
        <v>1308</v>
      </c>
      <c r="H715" s="39">
        <v>44048.48</v>
      </c>
      <c r="I715" s="26">
        <v>44033.42</v>
      </c>
      <c r="J715" s="15">
        <f>I715-H715</f>
        <v>-15.06</v>
      </c>
      <c r="K715" t="s" s="14">
        <v>87</v>
      </c>
      <c r="L715" s="15"/>
      <c r="M715" s="20"/>
      <c r="N715" t="s" s="14">
        <v>1285</v>
      </c>
      <c r="O715" t="s" s="17">
        <v>24</v>
      </c>
    </row>
    <row r="716" ht="30.45" customHeight="1" hidden="1">
      <c r="A716" t="s" s="21">
        <v>20</v>
      </c>
      <c r="B716" t="s" s="5">
        <v>21</v>
      </c>
      <c r="C716" t="s" s="18">
        <v>1305</v>
      </c>
      <c r="D716" t="s" s="7">
        <v>379</v>
      </c>
      <c r="E716" s="8">
        <v>45989</v>
      </c>
      <c r="F716" t="s" s="10">
        <v>1309</v>
      </c>
      <c r="G716" t="s" s="10">
        <v>1310</v>
      </c>
      <c r="H716" s="19">
        <v>13240.9365</v>
      </c>
      <c r="I716" s="12">
        <v>13237.9</v>
      </c>
      <c r="J716" s="13">
        <f>I716-H716</f>
        <v>-3.0365</v>
      </c>
      <c r="K716" t="s" s="14">
        <v>87</v>
      </c>
      <c r="L716" s="20"/>
      <c r="M716" s="16"/>
      <c r="N716" s="74"/>
      <c r="O716" t="s" s="17">
        <v>24</v>
      </c>
    </row>
    <row r="717" ht="30.45" customHeight="1" hidden="1">
      <c r="A717" t="s" s="21">
        <v>39</v>
      </c>
      <c r="B717" t="s" s="5">
        <v>79</v>
      </c>
      <c r="C717" t="s" s="18">
        <v>1305</v>
      </c>
      <c r="D717" t="s" s="7">
        <v>379</v>
      </c>
      <c r="E717" s="25">
        <v>45917</v>
      </c>
      <c r="F717" t="s" s="10">
        <v>135</v>
      </c>
      <c r="G717" t="s" s="10">
        <v>1311</v>
      </c>
      <c r="H717" s="50">
        <v>7836</v>
      </c>
      <c r="I717" s="12">
        <v>7836</v>
      </c>
      <c r="J717" s="13">
        <f>I717-H717</f>
        <v>0</v>
      </c>
      <c r="K717" t="s" s="14">
        <v>87</v>
      </c>
      <c r="L717" s="20"/>
      <c r="M717" s="16"/>
      <c r="N717" s="20"/>
      <c r="O717" t="s" s="17">
        <v>24</v>
      </c>
    </row>
    <row r="718" ht="30.45" customHeight="1" hidden="1">
      <c r="A718" t="s" s="30">
        <v>39</v>
      </c>
      <c r="B718" t="s" s="5">
        <v>79</v>
      </c>
      <c r="C718" t="s" s="28">
        <v>1305</v>
      </c>
      <c r="D718" t="s" s="7">
        <v>379</v>
      </c>
      <c r="E718" s="25">
        <v>46029</v>
      </c>
      <c r="F718" t="s" s="10">
        <v>583</v>
      </c>
      <c r="G718" t="s" s="10">
        <v>1312</v>
      </c>
      <c r="H718" s="50">
        <v>17556.48</v>
      </c>
      <c r="I718" s="12">
        <f>H718</f>
        <v>17556.48</v>
      </c>
      <c r="J718" s="13">
        <f>I718-H718</f>
        <v>0</v>
      </c>
      <c r="K718" t="s" s="14">
        <v>87</v>
      </c>
      <c r="L718" s="20"/>
      <c r="M718" s="16"/>
      <c r="N718" s="20"/>
      <c r="O718" t="s" s="17">
        <v>24</v>
      </c>
    </row>
    <row r="719" ht="30.45" customHeight="1" hidden="1">
      <c r="A719" t="s" s="17">
        <v>39</v>
      </c>
      <c r="B719" t="s" s="5">
        <v>30</v>
      </c>
      <c r="C719" t="s" s="23">
        <v>1305</v>
      </c>
      <c r="D719" t="s" s="7">
        <v>379</v>
      </c>
      <c r="E719" s="8">
        <v>45527</v>
      </c>
      <c r="F719" s="16"/>
      <c r="G719" t="s" s="10">
        <v>1313</v>
      </c>
      <c r="H719" s="19">
        <v>23534.4</v>
      </c>
      <c r="I719" s="12">
        <v>23534.4</v>
      </c>
      <c r="J719" s="13">
        <f>I719-H719</f>
        <v>0</v>
      </c>
      <c r="K719" t="s" s="14">
        <v>87</v>
      </c>
      <c r="L719" s="20"/>
      <c r="M719" s="16"/>
      <c r="N719" s="20"/>
      <c r="O719" t="s" s="17">
        <v>24</v>
      </c>
    </row>
    <row r="720" ht="30.45" customHeight="1" hidden="1">
      <c r="A720" t="s" s="21">
        <v>39</v>
      </c>
      <c r="B720" t="s" s="5">
        <v>30</v>
      </c>
      <c r="C720" t="s" s="28">
        <v>1305</v>
      </c>
      <c r="D720" t="s" s="7">
        <v>379</v>
      </c>
      <c r="E720" s="8">
        <v>45911</v>
      </c>
      <c r="F720" s="10"/>
      <c r="G720" t="s" s="10">
        <v>1314</v>
      </c>
      <c r="H720" s="19">
        <v>23288.2</v>
      </c>
      <c r="I720" s="12">
        <v>23288.6</v>
      </c>
      <c r="J720" s="13">
        <f>I720-H720</f>
        <v>0.4</v>
      </c>
      <c r="K720" t="s" s="14">
        <v>87</v>
      </c>
      <c r="L720" s="20"/>
      <c r="M720" s="16"/>
      <c r="N720" s="20"/>
      <c r="O720" t="s" s="17">
        <v>24</v>
      </c>
    </row>
    <row r="721" ht="30.45" customHeight="1" hidden="1">
      <c r="A721" t="s" s="21">
        <v>39</v>
      </c>
      <c r="B721" t="s" s="5">
        <v>30</v>
      </c>
      <c r="C721" t="s" s="18">
        <v>1305</v>
      </c>
      <c r="D721" t="s" s="7">
        <v>379</v>
      </c>
      <c r="E721" s="8">
        <v>46101</v>
      </c>
      <c r="F721" s="10"/>
      <c r="G721" t="s" s="10">
        <v>1315</v>
      </c>
      <c r="H721" s="19">
        <v>47537.2</v>
      </c>
      <c r="I721" s="12">
        <f>H721</f>
        <v>47537.2</v>
      </c>
      <c r="J721" s="13">
        <f>I721-H721</f>
        <v>0</v>
      </c>
      <c r="K721" t="s" s="14">
        <v>87</v>
      </c>
      <c r="L721" s="20"/>
      <c r="M721" s="16"/>
      <c r="N721" s="20"/>
      <c r="O721" t="s" s="17">
        <v>24</v>
      </c>
    </row>
    <row r="722" ht="30.45" customHeight="1" hidden="1">
      <c r="A722" t="s" s="21">
        <v>39</v>
      </c>
      <c r="B722" t="s" s="5">
        <v>88</v>
      </c>
      <c r="C722" t="s" s="23">
        <v>1305</v>
      </c>
      <c r="D722" t="s" s="7">
        <v>379</v>
      </c>
      <c r="E722" s="25">
        <v>45633</v>
      </c>
      <c r="F722" s="10"/>
      <c r="G722" t="s" s="10">
        <v>1316</v>
      </c>
      <c r="H722" s="19">
        <v>21152.5</v>
      </c>
      <c r="I722" s="12">
        <v>21152.5</v>
      </c>
      <c r="J722" s="15">
        <f>I722-H722</f>
        <v>0</v>
      </c>
      <c r="K722" t="s" s="14">
        <v>87</v>
      </c>
      <c r="L722" s="20"/>
      <c r="M722" s="8">
        <v>45724</v>
      </c>
      <c r="N722" s="20"/>
      <c r="O722" t="s" s="17">
        <v>24</v>
      </c>
    </row>
    <row r="723" ht="30.45" customHeight="1" hidden="1">
      <c r="A723" t="s" s="17">
        <v>39</v>
      </c>
      <c r="B723" t="s" s="5">
        <v>40</v>
      </c>
      <c r="C723" t="s" s="18">
        <v>1305</v>
      </c>
      <c r="D723" t="s" s="7">
        <v>379</v>
      </c>
      <c r="E723" s="25">
        <v>45342</v>
      </c>
      <c r="F723" t="s" s="10">
        <v>1317</v>
      </c>
      <c r="G723" t="s" s="10">
        <v>1318</v>
      </c>
      <c r="H723" s="26">
        <v>31193.86</v>
      </c>
      <c r="I723" s="12">
        <v>32002</v>
      </c>
      <c r="J723" s="39">
        <f>I723-H723</f>
        <v>808.14</v>
      </c>
      <c r="K723" t="s" s="14">
        <v>87</v>
      </c>
      <c r="L723" s="20"/>
      <c r="M723" s="8">
        <v>45379</v>
      </c>
      <c r="N723" s="16"/>
      <c r="O723" t="s" s="17">
        <v>24</v>
      </c>
    </row>
    <row r="724" ht="30.45" customHeight="1" hidden="1">
      <c r="A724" t="s" s="17">
        <v>39</v>
      </c>
      <c r="B724" t="s" s="5">
        <v>40</v>
      </c>
      <c r="C724" t="s" s="18">
        <v>1305</v>
      </c>
      <c r="D724" t="s" s="7">
        <v>379</v>
      </c>
      <c r="E724" s="25">
        <v>45365</v>
      </c>
      <c r="F724" t="s" s="10">
        <v>1319</v>
      </c>
      <c r="G724" t="s" s="10">
        <v>1320</v>
      </c>
      <c r="H724" s="15">
        <v>48723.355</v>
      </c>
      <c r="I724" s="29">
        <v>47913</v>
      </c>
      <c r="J724" s="15">
        <f>I724-H724</f>
        <v>-810.355</v>
      </c>
      <c r="K724" t="s" s="14">
        <v>87</v>
      </c>
      <c r="L724" s="15"/>
      <c r="M724" t="s" s="14">
        <v>142</v>
      </c>
      <c r="N724" s="16"/>
      <c r="O724" t="s" s="17">
        <v>24</v>
      </c>
    </row>
    <row r="725" ht="30.45" customHeight="1" hidden="1">
      <c r="A725" t="s" s="17">
        <v>39</v>
      </c>
      <c r="B725" t="s" s="5">
        <v>40</v>
      </c>
      <c r="C725" t="s" s="6">
        <v>1305</v>
      </c>
      <c r="D725" t="s" s="7">
        <v>379</v>
      </c>
      <c r="E725" s="8">
        <v>45483</v>
      </c>
      <c r="F725" t="s" s="10">
        <v>1321</v>
      </c>
      <c r="G725" t="s" s="10">
        <v>1322</v>
      </c>
      <c r="H725" s="29">
        <v>34341.02</v>
      </c>
      <c r="I725" s="12">
        <v>34341</v>
      </c>
      <c r="J725" s="15">
        <f>I725-H725</f>
        <v>-0.02</v>
      </c>
      <c r="K725" t="s" s="14">
        <v>87</v>
      </c>
      <c r="L725" s="20"/>
      <c r="M725" s="8">
        <v>45519</v>
      </c>
      <c r="N725" s="20"/>
      <c r="O725" t="s" s="17">
        <v>24</v>
      </c>
    </row>
    <row r="726" ht="30.45" customHeight="1" hidden="1">
      <c r="A726" t="s" s="17">
        <v>49</v>
      </c>
      <c r="B726" t="s" s="5">
        <v>40</v>
      </c>
      <c r="C726" t="s" s="28">
        <v>1305</v>
      </c>
      <c r="D726" t="s" s="7">
        <v>379</v>
      </c>
      <c r="E726" s="8">
        <v>45553</v>
      </c>
      <c r="F726" t="s" s="10">
        <v>1323</v>
      </c>
      <c r="G726" t="s" s="10">
        <v>1324</v>
      </c>
      <c r="H726" s="29">
        <v>25829.546</v>
      </c>
      <c r="I726" s="12">
        <v>25829.546</v>
      </c>
      <c r="J726" s="15">
        <f>I726-H726</f>
        <v>0</v>
      </c>
      <c r="K726" t="s" s="14">
        <v>87</v>
      </c>
      <c r="L726" s="20"/>
      <c r="M726" s="16"/>
      <c r="N726" s="20"/>
      <c r="O726" t="s" s="17">
        <v>24</v>
      </c>
    </row>
    <row r="727" ht="30.45" customHeight="1" hidden="1">
      <c r="A727" t="s" s="47">
        <v>39</v>
      </c>
      <c r="B727" t="s" s="5">
        <v>40</v>
      </c>
      <c r="C727" t="s" s="23">
        <v>1305</v>
      </c>
      <c r="D727" t="s" s="7">
        <v>379</v>
      </c>
      <c r="E727" s="8">
        <v>45638</v>
      </c>
      <c r="F727" t="s" s="10">
        <v>1325</v>
      </c>
      <c r="G727" t="s" s="10">
        <v>1326</v>
      </c>
      <c r="H727" s="19">
        <v>16482.44</v>
      </c>
      <c r="I727" s="12">
        <v>16482.44</v>
      </c>
      <c r="J727" s="15">
        <f>I727-H727</f>
        <v>0</v>
      </c>
      <c r="K727" t="s" s="14">
        <v>87</v>
      </c>
      <c r="L727" s="20"/>
      <c r="M727" s="8">
        <v>45729</v>
      </c>
      <c r="N727" s="20"/>
      <c r="O727" t="s" s="17">
        <v>24</v>
      </c>
    </row>
    <row r="728" ht="30.45" customHeight="1" hidden="1">
      <c r="A728" t="s" s="21">
        <v>20</v>
      </c>
      <c r="B728" t="s" s="5">
        <v>40</v>
      </c>
      <c r="C728" t="s" s="18">
        <v>1305</v>
      </c>
      <c r="D728" t="s" s="7">
        <v>379</v>
      </c>
      <c r="E728" s="8">
        <v>45798</v>
      </c>
      <c r="F728" t="s" s="10">
        <v>1327</v>
      </c>
      <c r="G728" t="s" s="10">
        <v>1328</v>
      </c>
      <c r="H728" s="15">
        <v>42351.85</v>
      </c>
      <c r="I728" s="12">
        <v>42351.85</v>
      </c>
      <c r="J728" s="15">
        <f>I728-H728</f>
        <v>0</v>
      </c>
      <c r="K728" t="s" s="14">
        <v>87</v>
      </c>
      <c r="L728" s="20"/>
      <c r="M728" s="16"/>
      <c r="N728" s="20"/>
      <c r="O728" t="s" s="17">
        <v>24</v>
      </c>
    </row>
    <row r="729" ht="30.45" customHeight="1" hidden="1">
      <c r="A729" t="s" s="30">
        <v>39</v>
      </c>
      <c r="B729" t="s" s="5">
        <v>40</v>
      </c>
      <c r="C729" t="s" s="28">
        <v>1305</v>
      </c>
      <c r="D729" t="s" s="7">
        <v>379</v>
      </c>
      <c r="E729" s="8">
        <v>45875</v>
      </c>
      <c r="F729" t="s" s="10">
        <v>1329</v>
      </c>
      <c r="G729" t="s" s="10">
        <v>1330</v>
      </c>
      <c r="H729" s="50">
        <v>13253.201</v>
      </c>
      <c r="I729" s="12">
        <v>13252.201</v>
      </c>
      <c r="J729" s="15">
        <f>I729-H729</f>
        <v>-1</v>
      </c>
      <c r="K729" t="s" s="14">
        <v>87</v>
      </c>
      <c r="L729" s="20"/>
      <c r="M729" s="16"/>
      <c r="N729" s="20"/>
      <c r="O729" t="s" s="17">
        <v>24</v>
      </c>
    </row>
    <row r="730" ht="30.45" customHeight="1" hidden="1">
      <c r="A730" t="s" s="30">
        <v>39</v>
      </c>
      <c r="B730" t="s" s="5">
        <v>40</v>
      </c>
      <c r="C730" t="s" s="28">
        <v>1305</v>
      </c>
      <c r="D730" t="s" s="7">
        <v>379</v>
      </c>
      <c r="E730" s="8">
        <v>46083</v>
      </c>
      <c r="F730" t="s" s="10">
        <v>1331</v>
      </c>
      <c r="G730" t="s" s="10">
        <v>1332</v>
      </c>
      <c r="H730" s="50">
        <v>35029.536</v>
      </c>
      <c r="I730" s="12">
        <f>H730</f>
        <v>35029.536</v>
      </c>
      <c r="J730" s="15">
        <f>I730-H730</f>
        <v>0</v>
      </c>
      <c r="K730" t="s" s="14">
        <v>87</v>
      </c>
      <c r="L730" s="20"/>
      <c r="M730" s="16"/>
      <c r="N730" s="20"/>
      <c r="O730" t="s" s="17">
        <v>24</v>
      </c>
    </row>
    <row r="731" ht="30.45" customHeight="1" hidden="1">
      <c r="A731" t="s" s="30">
        <v>39</v>
      </c>
      <c r="B731" t="s" s="5">
        <v>40</v>
      </c>
      <c r="C731" t="s" s="28">
        <v>1305</v>
      </c>
      <c r="D731" t="s" s="7">
        <v>379</v>
      </c>
      <c r="E731" s="8">
        <v>46083</v>
      </c>
      <c r="F731" t="s" s="10">
        <v>185</v>
      </c>
      <c r="G731" t="s" s="10">
        <v>1333</v>
      </c>
      <c r="H731" s="50">
        <v>8409.9</v>
      </c>
      <c r="I731" s="12">
        <v>7689.904</v>
      </c>
      <c r="J731" s="15">
        <f>I731-H731</f>
        <v>-719.996</v>
      </c>
      <c r="K731" t="s" s="14">
        <v>87</v>
      </c>
      <c r="L731" s="20"/>
      <c r="M731" s="16"/>
      <c r="N731" s="20"/>
      <c r="O731" t="s" s="17">
        <v>24</v>
      </c>
    </row>
    <row r="732" ht="30.45" customHeight="1" hidden="1">
      <c r="A732" t="s" s="17">
        <v>49</v>
      </c>
      <c r="B732" t="s" s="5">
        <v>47</v>
      </c>
      <c r="C732" t="s" s="28">
        <v>1305</v>
      </c>
      <c r="D732" t="s" s="7">
        <v>379</v>
      </c>
      <c r="E732" s="8">
        <v>45562</v>
      </c>
      <c r="F732" t="s" s="10">
        <v>1334</v>
      </c>
      <c r="G732" t="s" s="10">
        <v>1335</v>
      </c>
      <c r="H732" s="29">
        <v>42902.37</v>
      </c>
      <c r="I732" s="12">
        <v>42902.37</v>
      </c>
      <c r="J732" s="15">
        <f>I732-H732</f>
        <v>0</v>
      </c>
      <c r="K732" t="s" s="14">
        <v>87</v>
      </c>
      <c r="L732" s="20"/>
      <c r="M732" s="8"/>
      <c r="N732" s="20"/>
      <c r="O732" t="s" s="17">
        <v>24</v>
      </c>
    </row>
    <row r="733" ht="30.45" customHeight="1" hidden="1">
      <c r="A733" t="s" s="17">
        <v>49</v>
      </c>
      <c r="B733" t="s" s="5">
        <v>47</v>
      </c>
      <c r="C733" t="s" s="28">
        <v>1305</v>
      </c>
      <c r="D733" t="s" s="7">
        <v>379</v>
      </c>
      <c r="E733" s="8">
        <v>45562</v>
      </c>
      <c r="F733" t="s" s="10">
        <v>1336</v>
      </c>
      <c r="G733" t="s" s="10">
        <v>1335</v>
      </c>
      <c r="H733" s="29">
        <v>19037.64</v>
      </c>
      <c r="I733" s="12">
        <v>19085.07</v>
      </c>
      <c r="J733" s="15">
        <f>I733-H733</f>
        <v>47.43</v>
      </c>
      <c r="K733" t="s" s="14">
        <v>87</v>
      </c>
      <c r="L733" s="20"/>
      <c r="M733" s="8"/>
      <c r="N733" s="20"/>
      <c r="O733" t="s" s="17">
        <v>24</v>
      </c>
    </row>
    <row r="734" ht="30.45" customHeight="1" hidden="1">
      <c r="A734" t="s" s="30">
        <v>39</v>
      </c>
      <c r="B734" t="s" s="5">
        <v>47</v>
      </c>
      <c r="C734" t="s" s="28">
        <v>1305</v>
      </c>
      <c r="D734" t="s" s="7">
        <v>379</v>
      </c>
      <c r="E734" s="8">
        <v>45603</v>
      </c>
      <c r="F734" t="s" s="10">
        <v>1337</v>
      </c>
      <c r="G734" t="s" s="10">
        <v>1338</v>
      </c>
      <c r="H734" s="29">
        <v>17849.12</v>
      </c>
      <c r="I734" s="12">
        <v>17849</v>
      </c>
      <c r="J734" s="15">
        <f>I734-H734</f>
        <v>-0.12</v>
      </c>
      <c r="K734" t="s" s="14">
        <v>87</v>
      </c>
      <c r="L734" s="20"/>
      <c r="M734" s="8"/>
      <c r="N734" s="20"/>
      <c r="O734" t="s" s="17">
        <v>24</v>
      </c>
    </row>
    <row r="735" ht="30.45" customHeight="1" hidden="1">
      <c r="A735" t="s" s="21">
        <v>49</v>
      </c>
      <c r="B735" t="s" s="5">
        <v>47</v>
      </c>
      <c r="C735" t="s" s="18">
        <v>1305</v>
      </c>
      <c r="D735" t="s" s="7">
        <v>379</v>
      </c>
      <c r="E735" s="8">
        <v>45784</v>
      </c>
      <c r="F735" t="s" s="10">
        <v>1339</v>
      </c>
      <c r="G735" t="s" s="10">
        <v>1340</v>
      </c>
      <c r="H735" s="15">
        <v>8351.24</v>
      </c>
      <c r="I735" s="12">
        <v>8314.799999999999</v>
      </c>
      <c r="J735" s="15">
        <f>I735-H735</f>
        <v>-36.44</v>
      </c>
      <c r="K735" t="s" s="14">
        <v>87</v>
      </c>
      <c r="L735" s="20"/>
      <c r="M735" s="8"/>
      <c r="N735" s="20"/>
      <c r="O735" t="s" s="17">
        <v>24</v>
      </c>
    </row>
    <row r="736" ht="30.45" customHeight="1" hidden="1">
      <c r="A736" t="s" s="21">
        <v>20</v>
      </c>
      <c r="B736" t="s" s="5">
        <v>97</v>
      </c>
      <c r="C736" t="s" s="18">
        <v>1305</v>
      </c>
      <c r="D736" t="s" s="7">
        <v>379</v>
      </c>
      <c r="E736" s="25">
        <v>45919</v>
      </c>
      <c r="F736" t="s" s="10">
        <v>1341</v>
      </c>
      <c r="G736" t="s" s="10">
        <v>1342</v>
      </c>
      <c r="H736" s="19">
        <v>75702</v>
      </c>
      <c r="I736" s="12">
        <v>75702</v>
      </c>
      <c r="J736" s="13">
        <f>I736-H736</f>
        <v>0</v>
      </c>
      <c r="K736" t="s" s="14">
        <v>87</v>
      </c>
      <c r="L736" s="20"/>
      <c r="M736" s="16"/>
      <c r="N736" s="20"/>
      <c r="O736" t="s" s="17">
        <v>24</v>
      </c>
    </row>
    <row r="737" ht="30.45" customHeight="1" hidden="1">
      <c r="A737" t="s" s="17">
        <v>96</v>
      </c>
      <c r="B737" t="s" s="5">
        <v>61</v>
      </c>
      <c r="C737" t="s" s="6">
        <v>1305</v>
      </c>
      <c r="D737" t="s" s="7">
        <v>379</v>
      </c>
      <c r="E737" s="8">
        <v>45181</v>
      </c>
      <c r="F737" t="s" s="10">
        <v>1343</v>
      </c>
      <c r="G737" t="s" s="10">
        <v>1344</v>
      </c>
      <c r="H737" s="42">
        <v>10528.9</v>
      </c>
      <c r="I737" s="12">
        <v>10200</v>
      </c>
      <c r="J737" s="15">
        <f>I737-H737</f>
        <v>-328.9</v>
      </c>
      <c r="K737" t="s" s="14">
        <v>87</v>
      </c>
      <c r="L737" s="39"/>
      <c r="M737" s="72">
        <v>45216</v>
      </c>
      <c r="N737" s="20"/>
      <c r="O737" t="s" s="17">
        <v>19</v>
      </c>
    </row>
    <row r="738" ht="30.45" customHeight="1" hidden="1">
      <c r="A738" t="s" s="21">
        <v>797</v>
      </c>
      <c r="B738" t="s" s="5">
        <v>61</v>
      </c>
      <c r="C738" t="s" s="23">
        <v>1305</v>
      </c>
      <c r="D738" t="s" s="7">
        <v>379</v>
      </c>
      <c r="E738" s="25">
        <v>45989</v>
      </c>
      <c r="F738" t="s" s="10">
        <v>1345</v>
      </c>
      <c r="G738" t="s" s="10">
        <v>1346</v>
      </c>
      <c r="H738" s="31">
        <v>55014.904</v>
      </c>
      <c r="I738" s="12">
        <v>55010.32</v>
      </c>
      <c r="J738" s="15">
        <f>I738-H738</f>
        <v>-4.584</v>
      </c>
      <c r="K738" t="s" s="14">
        <v>87</v>
      </c>
      <c r="L738" s="15"/>
      <c r="M738" s="16"/>
      <c r="N738" s="20"/>
      <c r="O738" t="s" s="17">
        <v>19</v>
      </c>
    </row>
    <row r="739" ht="30.45" customHeight="1" hidden="1">
      <c r="A739" t="s" s="4">
        <v>39</v>
      </c>
      <c r="B739" t="s" s="5">
        <v>488</v>
      </c>
      <c r="C739" t="s" s="18">
        <v>1305</v>
      </c>
      <c r="D739" t="s" s="7">
        <v>379</v>
      </c>
      <c r="E739" s="8">
        <v>46064</v>
      </c>
      <c r="F739" t="s" s="10">
        <v>583</v>
      </c>
      <c r="G739" t="s" s="10">
        <v>1347</v>
      </c>
      <c r="H739" s="19">
        <v>8750.950000000001</v>
      </c>
      <c r="I739" s="12">
        <f>H739</f>
        <v>8750.950000000001</v>
      </c>
      <c r="J739" s="15">
        <f>I739-H739</f>
        <v>0</v>
      </c>
      <c r="K739" t="s" s="14">
        <v>87</v>
      </c>
      <c r="L739" s="20"/>
      <c r="M739" s="16"/>
      <c r="N739" s="20"/>
      <c r="O739" t="s" s="17">
        <v>24</v>
      </c>
    </row>
    <row r="740" ht="30.45" customHeight="1" hidden="1">
      <c r="A740" s="32"/>
      <c r="B740" t="s" s="5">
        <v>40</v>
      </c>
      <c r="C740" t="s" s="33">
        <v>1305</v>
      </c>
      <c r="D740" t="s" s="7">
        <v>379</v>
      </c>
      <c r="E740" s="8"/>
      <c r="F740" s="10"/>
      <c r="G740" t="s" s="10">
        <v>1348</v>
      </c>
      <c r="H740" s="15"/>
      <c r="I740" s="26"/>
      <c r="J740" s="15">
        <f>I740-H740</f>
        <v>0</v>
      </c>
      <c r="K740" t="s" s="14">
        <v>24</v>
      </c>
      <c r="L740" s="20"/>
      <c r="M740" s="16"/>
      <c r="N740" s="20"/>
      <c r="O740" t="s" s="17">
        <v>24</v>
      </c>
    </row>
    <row r="741" ht="30.45" customHeight="1" hidden="1">
      <c r="A741" t="s" s="17">
        <v>49</v>
      </c>
      <c r="B741" t="s" s="5">
        <v>40</v>
      </c>
      <c r="C741" t="s" s="18">
        <v>1349</v>
      </c>
      <c r="D741" t="s" s="7">
        <v>539</v>
      </c>
      <c r="E741" s="25">
        <v>45274</v>
      </c>
      <c r="F741" s="9">
        <v>434</v>
      </c>
      <c r="G741" t="s" s="10">
        <v>1350</v>
      </c>
      <c r="H741" s="26">
        <v>19474.9</v>
      </c>
      <c r="I741" s="12">
        <v>19474.9</v>
      </c>
      <c r="J741" s="15">
        <f>I741-H741</f>
        <v>0</v>
      </c>
      <c r="K741" t="s" s="14">
        <v>87</v>
      </c>
      <c r="L741" s="15"/>
      <c r="M741" s="43">
        <v>45311</v>
      </c>
      <c r="N741" s="16"/>
      <c r="O741" t="s" s="17">
        <v>24</v>
      </c>
    </row>
    <row r="742" ht="30.45" customHeight="1" hidden="1">
      <c r="A742" t="s" s="17">
        <v>49</v>
      </c>
      <c r="B742" t="s" s="5">
        <v>40</v>
      </c>
      <c r="C742" t="s" s="18">
        <v>1349</v>
      </c>
      <c r="D742" t="s" s="7">
        <v>539</v>
      </c>
      <c r="E742" s="8">
        <v>45449</v>
      </c>
      <c r="F742" t="s" s="10">
        <v>1351</v>
      </c>
      <c r="G742" t="s" s="10">
        <v>1352</v>
      </c>
      <c r="H742" s="15">
        <v>26304.31</v>
      </c>
      <c r="I742" s="12">
        <v>26304.31</v>
      </c>
      <c r="J742" s="15">
        <f>I742-H742</f>
        <v>0</v>
      </c>
      <c r="K742" t="s" s="14">
        <v>87</v>
      </c>
      <c r="L742" s="15"/>
      <c r="M742" s="8">
        <v>45484</v>
      </c>
      <c r="N742" s="20"/>
      <c r="O742" t="s" s="17">
        <v>24</v>
      </c>
    </row>
    <row r="743" ht="30.45" customHeight="1" hidden="1">
      <c r="A743" t="s" s="17">
        <v>20</v>
      </c>
      <c r="B743" t="s" s="5">
        <v>40</v>
      </c>
      <c r="C743" t="s" s="23">
        <v>1349</v>
      </c>
      <c r="D743" t="s" s="7">
        <v>539</v>
      </c>
      <c r="E743" s="8">
        <v>45525</v>
      </c>
      <c r="F743" t="s" s="10">
        <v>1353</v>
      </c>
      <c r="G743" t="s" s="10">
        <v>1354</v>
      </c>
      <c r="H743" s="15">
        <v>36372.03</v>
      </c>
      <c r="I743" s="12">
        <v>36372.03</v>
      </c>
      <c r="J743" s="15">
        <f>I743-H743</f>
        <v>0</v>
      </c>
      <c r="K743" t="s" s="14">
        <v>87</v>
      </c>
      <c r="L743" s="20"/>
      <c r="M743" s="16"/>
      <c r="N743" s="20"/>
      <c r="O743" t="s" s="17">
        <v>24</v>
      </c>
    </row>
    <row r="744" ht="30.45" customHeight="1" hidden="1">
      <c r="A744" t="s" s="17">
        <v>20</v>
      </c>
      <c r="B744" t="s" s="5">
        <v>40</v>
      </c>
      <c r="C744" t="s" s="54">
        <v>1349</v>
      </c>
      <c r="D744" t="s" s="7">
        <v>539</v>
      </c>
      <c r="E744" s="8">
        <v>45604</v>
      </c>
      <c r="F744" t="s" s="10">
        <v>736</v>
      </c>
      <c r="G744" t="s" s="10">
        <v>1355</v>
      </c>
      <c r="H744" s="24">
        <v>10584.84</v>
      </c>
      <c r="I744" s="12">
        <v>10584.84</v>
      </c>
      <c r="J744" s="15">
        <f>I744-H744</f>
        <v>0</v>
      </c>
      <c r="K744" t="s" s="14">
        <v>87</v>
      </c>
      <c r="L744" s="20"/>
      <c r="M744" s="16"/>
      <c r="N744" s="20"/>
      <c r="O744" t="s" s="17">
        <v>24</v>
      </c>
    </row>
    <row r="745" ht="30.45" customHeight="1" hidden="1">
      <c r="A745" t="s" s="21">
        <v>20</v>
      </c>
      <c r="B745" t="s" s="5">
        <v>40</v>
      </c>
      <c r="C745" t="s" s="23">
        <v>1349</v>
      </c>
      <c r="D745" t="s" s="7">
        <v>539</v>
      </c>
      <c r="E745" s="8">
        <v>45798</v>
      </c>
      <c r="F745" t="s" s="10">
        <v>1356</v>
      </c>
      <c r="G745" t="s" s="10">
        <v>1357</v>
      </c>
      <c r="H745" s="19">
        <v>19713.56</v>
      </c>
      <c r="I745" s="12">
        <v>19713.56</v>
      </c>
      <c r="J745" s="15">
        <f>I745-H745</f>
        <v>0</v>
      </c>
      <c r="K745" t="s" s="14">
        <v>87</v>
      </c>
      <c r="L745" s="20"/>
      <c r="M745" s="16"/>
      <c r="N745" s="20"/>
      <c r="O745" t="s" s="17">
        <v>24</v>
      </c>
    </row>
    <row r="746" ht="30.45" customHeight="1" hidden="1">
      <c r="A746" t="s" s="4">
        <v>39</v>
      </c>
      <c r="B746" t="s" s="5">
        <v>40</v>
      </c>
      <c r="C746" t="s" s="18">
        <v>1349</v>
      </c>
      <c r="D746" t="s" s="7">
        <v>539</v>
      </c>
      <c r="E746" s="8">
        <v>45924</v>
      </c>
      <c r="F746" t="s" s="10">
        <v>1358</v>
      </c>
      <c r="G746" t="s" s="10">
        <v>1359</v>
      </c>
      <c r="H746" s="19">
        <v>19397.48</v>
      </c>
      <c r="I746" s="12">
        <v>19397.48</v>
      </c>
      <c r="J746" s="15">
        <f>I746-H746</f>
        <v>0</v>
      </c>
      <c r="K746" t="s" s="14">
        <v>87</v>
      </c>
      <c r="L746" s="20"/>
      <c r="M746" s="16"/>
      <c r="N746" s="20"/>
      <c r="O746" t="s" s="17">
        <v>24</v>
      </c>
    </row>
    <row r="747" ht="30.45" customHeight="1" hidden="1">
      <c r="A747" t="s" s="21">
        <v>20</v>
      </c>
      <c r="B747" t="s" s="5">
        <v>97</v>
      </c>
      <c r="C747" t="s" s="23">
        <v>1349</v>
      </c>
      <c r="D747" t="s" s="7">
        <v>539</v>
      </c>
      <c r="E747" s="25">
        <v>45716</v>
      </c>
      <c r="F747" t="s" s="10">
        <v>1360</v>
      </c>
      <c r="G747" t="s" s="10">
        <v>1361</v>
      </c>
      <c r="H747" s="19">
        <v>48088</v>
      </c>
      <c r="I747" s="12">
        <v>48088</v>
      </c>
      <c r="J747" s="13">
        <f>I747-H747</f>
        <v>0</v>
      </c>
      <c r="K747" t="s" s="14">
        <v>87</v>
      </c>
      <c r="L747" s="20"/>
      <c r="M747" s="16"/>
      <c r="N747" s="20"/>
      <c r="O747" t="s" s="17">
        <v>24</v>
      </c>
    </row>
    <row r="748" ht="30.45" customHeight="1" hidden="1">
      <c r="A748" t="s" s="17">
        <v>517</v>
      </c>
      <c r="B748" t="s" s="5">
        <v>40</v>
      </c>
      <c r="C748" t="s" s="33">
        <v>1349</v>
      </c>
      <c r="D748" t="s" s="7">
        <v>539</v>
      </c>
      <c r="E748" s="8"/>
      <c r="F748" s="10"/>
      <c r="G748" t="s" s="10">
        <v>1362</v>
      </c>
      <c r="H748" s="15"/>
      <c r="I748" s="26"/>
      <c r="J748" s="15">
        <f>I748-H748</f>
        <v>0</v>
      </c>
      <c r="K748" t="s" s="14">
        <v>24</v>
      </c>
      <c r="L748" s="20"/>
      <c r="M748" s="16"/>
      <c r="N748" s="20"/>
      <c r="O748" t="s" s="17">
        <v>24</v>
      </c>
    </row>
    <row r="749" ht="30.45" customHeight="1" hidden="1">
      <c r="A749" s="32"/>
      <c r="B749" t="s" s="5">
        <v>40</v>
      </c>
      <c r="C749" t="s" s="33">
        <v>1349</v>
      </c>
      <c r="D749" t="s" s="7">
        <v>539</v>
      </c>
      <c r="E749" s="8"/>
      <c r="F749" s="10"/>
      <c r="G749" t="s" s="10">
        <v>1363</v>
      </c>
      <c r="H749" s="15"/>
      <c r="I749" s="26"/>
      <c r="J749" s="15">
        <f>I749-H749</f>
        <v>0</v>
      </c>
      <c r="K749" t="s" s="14">
        <v>24</v>
      </c>
      <c r="L749" s="20"/>
      <c r="M749" s="16"/>
      <c r="N749" s="20"/>
      <c r="O749" t="s" s="17">
        <v>24</v>
      </c>
    </row>
    <row r="750" ht="30.45" customHeight="1" hidden="1">
      <c r="A750" t="s" s="30">
        <v>599</v>
      </c>
      <c r="B750" t="s" s="5">
        <v>633</v>
      </c>
      <c r="C750" t="s" s="28">
        <v>1364</v>
      </c>
      <c r="D750" t="s" s="7">
        <v>383</v>
      </c>
      <c r="E750" s="8">
        <v>46099</v>
      </c>
      <c r="F750" t="s" s="10">
        <v>1365</v>
      </c>
      <c r="G750" t="s" s="10">
        <v>1366</v>
      </c>
      <c r="H750" s="50">
        <v>42835.74</v>
      </c>
      <c r="I750" s="12"/>
      <c r="J750" s="13">
        <f>I750-H750</f>
        <v>-42835.74</v>
      </c>
      <c r="K750" t="s" s="14">
        <v>84</v>
      </c>
      <c r="L750" s="20"/>
      <c r="M750" s="16"/>
      <c r="N750" s="20"/>
      <c r="O750" t="s" s="17">
        <v>24</v>
      </c>
    </row>
    <row r="751" ht="30.45" customHeight="1" hidden="1">
      <c r="A751" t="s" s="17">
        <v>39</v>
      </c>
      <c r="B751" t="s" s="5">
        <v>30</v>
      </c>
      <c r="C751" t="s" s="18">
        <v>1367</v>
      </c>
      <c r="D751" t="s" s="7">
        <v>1368</v>
      </c>
      <c r="E751" s="8">
        <v>46198</v>
      </c>
      <c r="F751" s="10"/>
      <c r="G751" t="s" s="10">
        <v>1369</v>
      </c>
      <c r="H751" s="19">
        <v>10547.2</v>
      </c>
      <c r="I751" s="12">
        <v>10547.2</v>
      </c>
      <c r="J751" s="13">
        <f>I751-H751</f>
        <v>0</v>
      </c>
      <c r="K751" t="s" s="14">
        <v>386</v>
      </c>
      <c r="L751" s="20"/>
      <c r="M751" s="16"/>
      <c r="N751" s="20"/>
      <c r="O751" t="s" s="17">
        <v>24</v>
      </c>
    </row>
    <row r="752" ht="30.45" customHeight="1" hidden="1">
      <c r="A752" t="s" s="103">
        <v>20</v>
      </c>
      <c r="B752" t="s" s="5">
        <v>79</v>
      </c>
      <c r="C752" t="s" s="18">
        <v>1370</v>
      </c>
      <c r="D752" t="s" s="7">
        <v>15</v>
      </c>
      <c r="E752" s="8">
        <v>46080</v>
      </c>
      <c r="F752" t="s" s="10">
        <v>416</v>
      </c>
      <c r="G752" t="s" s="10">
        <v>1371</v>
      </c>
      <c r="H752" s="19">
        <v>16045.25</v>
      </c>
      <c r="I752" s="12">
        <f>H752</f>
        <v>16045.25</v>
      </c>
      <c r="J752" s="13">
        <f>I752-H752</f>
        <v>0</v>
      </c>
      <c r="K752" t="s" s="14">
        <v>17</v>
      </c>
      <c r="L752" s="20"/>
      <c r="M752" s="16"/>
      <c r="N752" s="20"/>
      <c r="O752" t="s" s="17">
        <v>24</v>
      </c>
    </row>
    <row r="753" ht="30.45" customHeight="1" hidden="1">
      <c r="A753" t="s" s="21">
        <v>20</v>
      </c>
      <c r="B753" t="s" s="5">
        <v>30</v>
      </c>
      <c r="C753" t="s" s="18">
        <v>1370</v>
      </c>
      <c r="D753" t="s" s="7">
        <v>15</v>
      </c>
      <c r="E753" s="8">
        <v>46095</v>
      </c>
      <c r="F753" s="10"/>
      <c r="G753" t="s" s="10">
        <v>1372</v>
      </c>
      <c r="H753" s="19">
        <v>13219</v>
      </c>
      <c r="I753" s="12">
        <v>13218</v>
      </c>
      <c r="J753" s="13">
        <f>I753-H753</f>
        <v>-1</v>
      </c>
      <c r="K753" t="s" s="14">
        <v>17</v>
      </c>
      <c r="L753" s="20"/>
      <c r="M753" s="16"/>
      <c r="N753" s="20"/>
      <c r="O753" t="s" s="17">
        <v>24</v>
      </c>
    </row>
    <row r="754" ht="30.45" customHeight="1" hidden="1">
      <c r="A754" t="s" s="17">
        <v>39</v>
      </c>
      <c r="B754" t="s" s="5">
        <v>21</v>
      </c>
      <c r="C754" t="s" s="18">
        <v>1373</v>
      </c>
      <c r="D754" t="s" s="7">
        <v>117</v>
      </c>
      <c r="E754" s="41">
        <v>45255</v>
      </c>
      <c r="F754" s="9">
        <v>513</v>
      </c>
      <c r="G754" t="s" s="10">
        <v>1374</v>
      </c>
      <c r="H754" s="19">
        <v>25208</v>
      </c>
      <c r="I754" s="12">
        <v>25208</v>
      </c>
      <c r="J754" s="15">
        <f>I754-H754</f>
        <v>0</v>
      </c>
      <c r="K754" t="s" s="14">
        <v>92</v>
      </c>
      <c r="L754" s="15"/>
      <c r="M754" s="58">
        <v>45291</v>
      </c>
      <c r="N754" t="s" s="65">
        <v>1375</v>
      </c>
      <c r="O754" t="s" s="17">
        <v>24</v>
      </c>
    </row>
    <row r="755" ht="30.45" customHeight="1" hidden="1">
      <c r="A755" t="s" s="21">
        <v>20</v>
      </c>
      <c r="B755" t="s" s="5">
        <v>33</v>
      </c>
      <c r="C755" t="s" s="18">
        <v>1373</v>
      </c>
      <c r="D755" t="s" s="7">
        <v>390</v>
      </c>
      <c r="E755" s="8">
        <v>45866</v>
      </c>
      <c r="F755" t="s" s="10">
        <v>1376</v>
      </c>
      <c r="G755" t="s" s="10">
        <v>1377</v>
      </c>
      <c r="H755" s="19">
        <v>13933.2</v>
      </c>
      <c r="I755" s="12">
        <v>13933.2</v>
      </c>
      <c r="J755" s="15">
        <f>I755-H755</f>
        <v>0</v>
      </c>
      <c r="K755" t="s" s="14">
        <v>92</v>
      </c>
      <c r="L755" s="15"/>
      <c r="M755" s="16"/>
      <c r="N755" s="20"/>
      <c r="O755" t="s" s="17">
        <v>24</v>
      </c>
    </row>
    <row r="756" ht="30.45" customHeight="1" hidden="1">
      <c r="A756" t="s" s="21">
        <v>20</v>
      </c>
      <c r="B756" t="s" s="5">
        <v>33</v>
      </c>
      <c r="C756" t="s" s="18">
        <v>1373</v>
      </c>
      <c r="D756" t="s" s="7">
        <v>117</v>
      </c>
      <c r="E756" s="8">
        <v>45979</v>
      </c>
      <c r="F756" t="s" s="10">
        <v>1378</v>
      </c>
      <c r="G756" t="s" s="10">
        <v>1379</v>
      </c>
      <c r="H756" s="19">
        <v>11880</v>
      </c>
      <c r="I756" s="12">
        <f>H756</f>
        <v>11880</v>
      </c>
      <c r="J756" s="15">
        <f>I756-H756</f>
        <v>0</v>
      </c>
      <c r="K756" t="s" s="14">
        <v>92</v>
      </c>
      <c r="L756" s="15"/>
      <c r="M756" s="16"/>
      <c r="N756" s="20"/>
      <c r="O756" t="s" s="17">
        <v>24</v>
      </c>
    </row>
    <row r="757" ht="30.45" customHeight="1" hidden="1">
      <c r="A757" t="s" s="17">
        <v>49</v>
      </c>
      <c r="B757" t="s" s="5">
        <v>40</v>
      </c>
      <c r="C757" t="s" s="18">
        <v>1373</v>
      </c>
      <c r="D757" t="s" s="7">
        <v>117</v>
      </c>
      <c r="E757" s="8">
        <v>45707</v>
      </c>
      <c r="F757" t="s" s="10">
        <v>1380</v>
      </c>
      <c r="G757" t="s" s="10">
        <v>1381</v>
      </c>
      <c r="H757" s="39">
        <v>37454.84</v>
      </c>
      <c r="I757" s="12">
        <v>37454.84</v>
      </c>
      <c r="J757" s="15">
        <f>I757-H757</f>
        <v>0</v>
      </c>
      <c r="K757" t="s" s="14">
        <v>92</v>
      </c>
      <c r="L757" s="20"/>
      <c r="M757" s="16"/>
      <c r="N757" s="20"/>
      <c r="O757" t="s" s="17">
        <v>24</v>
      </c>
    </row>
    <row r="758" ht="30.45" customHeight="1" hidden="1">
      <c r="A758" t="s" s="21">
        <v>20</v>
      </c>
      <c r="B758" t="s" s="5">
        <v>40</v>
      </c>
      <c r="C758" t="s" s="18">
        <v>1373</v>
      </c>
      <c r="D758" t="s" s="7">
        <v>117</v>
      </c>
      <c r="E758" s="8">
        <v>45875</v>
      </c>
      <c r="F758" t="s" s="10">
        <v>1382</v>
      </c>
      <c r="G758" t="s" s="10">
        <v>1383</v>
      </c>
      <c r="H758" s="19">
        <v>30070.57</v>
      </c>
      <c r="I758" s="12">
        <v>30070.57</v>
      </c>
      <c r="J758" s="15">
        <f>I758-H758</f>
        <v>0</v>
      </c>
      <c r="K758" t="s" s="14">
        <v>92</v>
      </c>
      <c r="L758" s="20"/>
      <c r="M758" s="16"/>
      <c r="N758" s="20"/>
      <c r="O758" t="s" s="17">
        <v>24</v>
      </c>
    </row>
    <row r="759" ht="30.45" customHeight="1" hidden="1">
      <c r="A759" t="s" s="21">
        <v>49</v>
      </c>
      <c r="B759" t="s" s="5">
        <v>40</v>
      </c>
      <c r="C759" t="s" s="18">
        <v>1373</v>
      </c>
      <c r="D759" t="s" s="7">
        <v>117</v>
      </c>
      <c r="E759" s="8">
        <v>45924</v>
      </c>
      <c r="F759" t="s" s="10">
        <v>1384</v>
      </c>
      <c r="G759" t="s" s="10">
        <v>1385</v>
      </c>
      <c r="H759" s="19">
        <v>23343.5</v>
      </c>
      <c r="I759" s="12">
        <v>23343.5</v>
      </c>
      <c r="J759" s="15">
        <f>I759-H759</f>
        <v>0</v>
      </c>
      <c r="K759" t="s" s="14">
        <v>92</v>
      </c>
      <c r="L759" s="20"/>
      <c r="M759" s="16"/>
      <c r="N759" s="20"/>
      <c r="O759" t="s" s="17">
        <v>24</v>
      </c>
    </row>
    <row r="760" ht="30.45" customHeight="1" hidden="1">
      <c r="A760" t="s" s="30">
        <v>49</v>
      </c>
      <c r="B760" t="s" s="5">
        <v>47</v>
      </c>
      <c r="C760" t="s" s="28">
        <v>1373</v>
      </c>
      <c r="D760" t="s" s="7">
        <v>117</v>
      </c>
      <c r="E760" s="8">
        <v>45747</v>
      </c>
      <c r="F760" t="s" s="10">
        <v>1386</v>
      </c>
      <c r="G760" t="s" s="10">
        <v>1387</v>
      </c>
      <c r="H760" s="15">
        <v>34789.68</v>
      </c>
      <c r="I760" s="12">
        <v>34789.68</v>
      </c>
      <c r="J760" s="15">
        <f>I760-H760</f>
        <v>0</v>
      </c>
      <c r="K760" t="s" s="14">
        <v>92</v>
      </c>
      <c r="L760" s="20"/>
      <c r="M760" s="8"/>
      <c r="N760" s="20"/>
      <c r="O760" t="s" s="17">
        <v>24</v>
      </c>
    </row>
    <row r="761" ht="30.45" customHeight="1" hidden="1">
      <c r="A761" t="s" s="17">
        <v>20</v>
      </c>
      <c r="B761" t="s" s="5">
        <v>97</v>
      </c>
      <c r="C761" t="s" s="18">
        <v>1373</v>
      </c>
      <c r="D761" t="s" s="7">
        <v>117</v>
      </c>
      <c r="E761" s="25">
        <v>45703</v>
      </c>
      <c r="F761" t="s" s="10">
        <v>1388</v>
      </c>
      <c r="G761" t="s" s="10">
        <v>1389</v>
      </c>
      <c r="H761" s="19">
        <v>77676.2</v>
      </c>
      <c r="I761" s="12">
        <v>77676.2</v>
      </c>
      <c r="J761" s="13">
        <f>I761-H761</f>
        <v>0</v>
      </c>
      <c r="K761" t="s" s="14">
        <v>92</v>
      </c>
      <c r="L761" s="20"/>
      <c r="M761" s="16"/>
      <c r="N761" s="20"/>
      <c r="O761" t="s" s="17">
        <v>24</v>
      </c>
    </row>
    <row r="762" ht="30.45" customHeight="1" hidden="1">
      <c r="A762" t="s" s="21">
        <v>20</v>
      </c>
      <c r="B762" t="s" s="5">
        <v>61</v>
      </c>
      <c r="C762" t="s" s="18">
        <v>1373</v>
      </c>
      <c r="D762" t="s" s="7">
        <v>117</v>
      </c>
      <c r="E762" s="8">
        <v>46041</v>
      </c>
      <c r="F762" t="s" s="10">
        <v>1390</v>
      </c>
      <c r="G762" t="s" s="10">
        <v>1391</v>
      </c>
      <c r="H762" s="31">
        <v>20131.63</v>
      </c>
      <c r="I762" s="12">
        <v>20131.65</v>
      </c>
      <c r="J762" s="15">
        <f>I762-H762</f>
        <v>0.02</v>
      </c>
      <c r="K762" t="s" s="14">
        <v>92</v>
      </c>
      <c r="L762" s="20"/>
      <c r="M762" s="16"/>
      <c r="N762" s="20"/>
      <c r="O762" t="s" s="17">
        <v>24</v>
      </c>
    </row>
    <row r="763" ht="30.45" customHeight="1" hidden="1">
      <c r="A763" t="s" s="17">
        <v>39</v>
      </c>
      <c r="B763" t="s" s="5">
        <v>488</v>
      </c>
      <c r="C763" t="s" s="18">
        <v>1373</v>
      </c>
      <c r="D763" t="s" s="7">
        <v>117</v>
      </c>
      <c r="E763" s="8">
        <v>45405</v>
      </c>
      <c r="F763" s="16"/>
      <c r="G763" t="s" s="10">
        <v>1392</v>
      </c>
      <c r="H763" s="19">
        <v>24254.19</v>
      </c>
      <c r="I763" s="12">
        <v>24254.19</v>
      </c>
      <c r="J763" s="15">
        <f>I763-H763</f>
        <v>0</v>
      </c>
      <c r="K763" t="s" s="14">
        <v>92</v>
      </c>
      <c r="L763" s="15"/>
      <c r="M763" s="16"/>
      <c r="N763" s="20"/>
      <c r="O763" t="s" s="17">
        <v>24</v>
      </c>
    </row>
    <row r="764" ht="30.45" customHeight="1" hidden="1">
      <c r="A764" t="s" s="21">
        <v>20</v>
      </c>
      <c r="B764" t="s" s="5">
        <v>68</v>
      </c>
      <c r="C764" t="s" s="18">
        <v>1373</v>
      </c>
      <c r="D764" t="s" s="7">
        <v>117</v>
      </c>
      <c r="E764" s="25">
        <v>45786</v>
      </c>
      <c r="F764" s="16"/>
      <c r="G764" s="10"/>
      <c r="H764" s="19">
        <v>9600</v>
      </c>
      <c r="I764" s="12">
        <v>9600</v>
      </c>
      <c r="J764" s="15">
        <f>I764-H764</f>
        <v>0</v>
      </c>
      <c r="K764" t="s" s="14">
        <v>92</v>
      </c>
      <c r="L764" s="15"/>
      <c r="M764" s="22"/>
      <c r="N764" s="20"/>
      <c r="O764" t="s" s="17">
        <v>24</v>
      </c>
    </row>
    <row r="765" ht="30.45" customHeight="1" hidden="1">
      <c r="A765" t="s" s="21">
        <v>20</v>
      </c>
      <c r="B765" t="s" s="5">
        <v>68</v>
      </c>
      <c r="C765" t="s" s="18">
        <v>1373</v>
      </c>
      <c r="D765" t="s" s="7">
        <v>390</v>
      </c>
      <c r="E765" s="25">
        <v>45937</v>
      </c>
      <c r="F765" s="16"/>
      <c r="G765" s="10"/>
      <c r="H765" s="19">
        <v>12000</v>
      </c>
      <c r="I765" s="12">
        <f>H765</f>
        <v>12000</v>
      </c>
      <c r="J765" s="15">
        <f>I765-H765</f>
        <v>0</v>
      </c>
      <c r="K765" t="s" s="14">
        <v>92</v>
      </c>
      <c r="L765" s="15"/>
      <c r="M765" s="22"/>
      <c r="N765" s="20"/>
      <c r="O765" t="s" s="17">
        <v>24</v>
      </c>
    </row>
    <row r="766" ht="30.45" customHeight="1" hidden="1">
      <c r="A766" t="s" s="21">
        <v>20</v>
      </c>
      <c r="B766" t="s" s="5">
        <v>68</v>
      </c>
      <c r="C766" t="s" s="64">
        <v>1373</v>
      </c>
      <c r="D766" t="s" s="7">
        <v>390</v>
      </c>
      <c r="E766" s="25">
        <v>45982</v>
      </c>
      <c r="F766" s="16"/>
      <c r="G766" s="16"/>
      <c r="H766" s="19">
        <v>13050</v>
      </c>
      <c r="I766" s="12">
        <f>H766</f>
        <v>13050</v>
      </c>
      <c r="J766" s="15">
        <f>I766-H766</f>
        <v>0</v>
      </c>
      <c r="K766" t="s" s="14">
        <v>92</v>
      </c>
      <c r="L766" s="15"/>
      <c r="M766" s="22"/>
      <c r="N766" s="20"/>
      <c r="O766" t="s" s="17">
        <v>24</v>
      </c>
    </row>
    <row r="767" ht="30.45" customHeight="1" hidden="1">
      <c r="A767" t="s" s="21">
        <v>49</v>
      </c>
      <c r="B767" t="s" s="5">
        <v>47</v>
      </c>
      <c r="C767" t="s" s="18">
        <v>1373</v>
      </c>
      <c r="D767" t="s" s="7">
        <v>117</v>
      </c>
      <c r="E767" s="8">
        <v>46157</v>
      </c>
      <c r="F767" t="s" s="10">
        <v>1393</v>
      </c>
      <c r="G767" t="s" s="10">
        <v>1394</v>
      </c>
      <c r="H767" s="19">
        <v>4161</v>
      </c>
      <c r="I767" s="12">
        <f>H767</f>
        <v>4161</v>
      </c>
      <c r="J767" s="15">
        <f>I767-H767</f>
        <v>0</v>
      </c>
      <c r="K767" t="s" s="14">
        <v>92</v>
      </c>
      <c r="L767" s="20"/>
      <c r="M767" s="8"/>
      <c r="N767" s="20"/>
      <c r="O767" t="s" s="17">
        <v>24</v>
      </c>
    </row>
    <row r="768" ht="30.45" customHeight="1" hidden="1">
      <c r="A768" t="s" s="21">
        <v>49</v>
      </c>
      <c r="B768" t="s" s="5">
        <v>47</v>
      </c>
      <c r="C768" t="s" s="18">
        <v>1373</v>
      </c>
      <c r="D768" t="s" s="7">
        <v>117</v>
      </c>
      <c r="E768" s="8">
        <v>46171</v>
      </c>
      <c r="F768" t="s" s="10">
        <v>1395</v>
      </c>
      <c r="G768" t="s" s="10">
        <v>1396</v>
      </c>
      <c r="H768" s="19">
        <v>20154.11</v>
      </c>
      <c r="I768" s="12">
        <f>H768</f>
        <v>20154.11</v>
      </c>
      <c r="J768" s="15">
        <f>I768-H768</f>
        <v>0</v>
      </c>
      <c r="K768" t="s" s="14">
        <v>92</v>
      </c>
      <c r="L768" s="20"/>
      <c r="M768" s="8"/>
      <c r="N768" s="20"/>
      <c r="O768" t="s" s="17">
        <v>24</v>
      </c>
    </row>
    <row r="769" ht="30.45" customHeight="1" hidden="1">
      <c r="A769" t="s" s="21">
        <v>77</v>
      </c>
      <c r="B769" t="s" s="5">
        <v>47</v>
      </c>
      <c r="C769" t="s" s="23">
        <v>1373</v>
      </c>
      <c r="D769" t="s" s="7">
        <v>117</v>
      </c>
      <c r="E769" s="8">
        <v>46195</v>
      </c>
      <c r="F769" t="s" s="10">
        <v>1397</v>
      </c>
      <c r="G769" t="s" s="10">
        <v>1398</v>
      </c>
      <c r="H769" s="19">
        <v>28985.92</v>
      </c>
      <c r="I769" s="26"/>
      <c r="J769" s="15">
        <f>I769-H769</f>
        <v>-28985.92</v>
      </c>
      <c r="K769" t="s" s="14">
        <v>92</v>
      </c>
      <c r="L769" s="20"/>
      <c r="M769" s="8"/>
      <c r="N769" s="20"/>
      <c r="O769" t="s" s="17">
        <v>24</v>
      </c>
    </row>
    <row r="770" ht="30.45" customHeight="1" hidden="1">
      <c r="A770" t="s" s="17">
        <v>39</v>
      </c>
      <c r="B770" t="s" s="5">
        <v>40</v>
      </c>
      <c r="C770" t="s" s="6">
        <v>1399</v>
      </c>
      <c r="D770" t="s" s="7">
        <v>698</v>
      </c>
      <c r="E770" s="8">
        <v>45483</v>
      </c>
      <c r="F770" t="s" s="10">
        <v>1400</v>
      </c>
      <c r="G770" t="s" s="10">
        <v>1295</v>
      </c>
      <c r="H770" s="29">
        <v>14164.3604</v>
      </c>
      <c r="I770" s="12">
        <v>14163.7104</v>
      </c>
      <c r="J770" s="15">
        <f>I770-H770</f>
        <v>-0.65</v>
      </c>
      <c r="K770" t="s" s="14">
        <v>306</v>
      </c>
      <c r="L770" s="20"/>
      <c r="M770" s="8">
        <v>45519</v>
      </c>
      <c r="N770" s="20"/>
      <c r="O770" t="s" s="17">
        <v>24</v>
      </c>
    </row>
    <row r="771" ht="30.45" customHeight="1" hidden="1">
      <c r="A771" t="s" s="17">
        <v>20</v>
      </c>
      <c r="B771" t="s" s="5">
        <v>68</v>
      </c>
      <c r="C771" t="s" s="18">
        <v>1401</v>
      </c>
      <c r="D771" t="s" s="7">
        <v>15</v>
      </c>
      <c r="E771" s="25">
        <v>45254</v>
      </c>
      <c r="F771" s="9"/>
      <c r="G771" s="10"/>
      <c r="H771" s="19">
        <v>9680</v>
      </c>
      <c r="I771" s="12">
        <v>9680</v>
      </c>
      <c r="J771" s="15"/>
      <c r="K771" t="s" s="14">
        <v>17</v>
      </c>
      <c r="L771" s="15"/>
      <c r="M771" s="58">
        <v>45288</v>
      </c>
      <c r="N771" s="20"/>
      <c r="O771" t="s" s="17">
        <v>24</v>
      </c>
    </row>
    <row r="772" ht="30.45" customHeight="1" hidden="1">
      <c r="A772" t="s" s="21">
        <v>39</v>
      </c>
      <c r="B772" t="s" s="5">
        <v>420</v>
      </c>
      <c r="C772" t="s" s="18">
        <v>1402</v>
      </c>
      <c r="D772" t="s" s="7">
        <v>15</v>
      </c>
      <c r="E772" s="25">
        <v>46108</v>
      </c>
      <c r="F772" s="16"/>
      <c r="G772" s="16"/>
      <c r="H772" s="19">
        <v>9600</v>
      </c>
      <c r="I772" s="12">
        <f>H772</f>
        <v>9600</v>
      </c>
      <c r="J772" s="15">
        <f>I772-H772</f>
        <v>0</v>
      </c>
      <c r="K772" t="s" s="14">
        <v>17</v>
      </c>
      <c r="L772" s="15"/>
      <c r="M772" s="16"/>
      <c r="N772" s="20"/>
      <c r="O772" t="s" s="17">
        <v>24</v>
      </c>
    </row>
    <row r="773" ht="30.45" customHeight="1" hidden="1">
      <c r="A773" t="s" s="21">
        <v>20</v>
      </c>
      <c r="B773" t="s" s="5">
        <v>420</v>
      </c>
      <c r="C773" t="s" s="79">
        <v>1403</v>
      </c>
      <c r="D773" t="s" s="7">
        <v>206</v>
      </c>
      <c r="E773" s="25">
        <v>45925</v>
      </c>
      <c r="F773" s="16"/>
      <c r="G773" s="16"/>
      <c r="H773" s="19">
        <v>9600</v>
      </c>
      <c r="I773" s="12">
        <f>H773</f>
        <v>9600</v>
      </c>
      <c r="J773" s="15">
        <f>I773-H773</f>
        <v>0</v>
      </c>
      <c r="K773" t="s" s="14">
        <v>209</v>
      </c>
      <c r="L773" s="15"/>
      <c r="M773" s="16"/>
      <c r="N773" s="20"/>
      <c r="O773" t="s" s="17">
        <v>24</v>
      </c>
    </row>
    <row r="774" ht="30.45" customHeight="1" hidden="1">
      <c r="A774" t="s" s="21">
        <v>20</v>
      </c>
      <c r="B774" t="s" s="5">
        <v>68</v>
      </c>
      <c r="C774" t="s" s="18">
        <v>1403</v>
      </c>
      <c r="D774" t="s" s="7">
        <v>206</v>
      </c>
      <c r="E774" s="25">
        <v>45667</v>
      </c>
      <c r="F774" s="16"/>
      <c r="G774" s="10"/>
      <c r="H774" s="19">
        <v>15450</v>
      </c>
      <c r="I774" s="12">
        <v>15450</v>
      </c>
      <c r="J774" s="15">
        <f>I774-H774</f>
        <v>0</v>
      </c>
      <c r="K774" t="s" s="14">
        <v>209</v>
      </c>
      <c r="L774" s="15"/>
      <c r="M774" s="22"/>
      <c r="N774" s="20"/>
      <c r="O774" t="s" s="17">
        <v>24</v>
      </c>
    </row>
    <row r="775" ht="30.45" customHeight="1" hidden="1">
      <c r="A775" t="s" s="21">
        <v>20</v>
      </c>
      <c r="B775" t="s" s="5">
        <v>68</v>
      </c>
      <c r="C775" t="s" s="23">
        <v>1403</v>
      </c>
      <c r="D775" t="s" s="7">
        <v>206</v>
      </c>
      <c r="E775" s="25">
        <v>45812</v>
      </c>
      <c r="F775" s="16"/>
      <c r="G775" s="10"/>
      <c r="H775" s="19">
        <v>14400</v>
      </c>
      <c r="I775" s="12">
        <v>14400</v>
      </c>
      <c r="J775" s="15">
        <f>I775-H775</f>
        <v>0</v>
      </c>
      <c r="K775" t="s" s="14">
        <v>209</v>
      </c>
      <c r="L775" s="15"/>
      <c r="M775" s="22"/>
      <c r="N775" s="20"/>
      <c r="O775" t="s" s="17">
        <v>24</v>
      </c>
    </row>
    <row r="776" ht="30.45" customHeight="1" hidden="1">
      <c r="A776" t="s" s="30">
        <v>39</v>
      </c>
      <c r="B776" t="s" s="5">
        <v>68</v>
      </c>
      <c r="C776" t="s" s="64">
        <v>1403</v>
      </c>
      <c r="D776" t="s" s="7">
        <v>206</v>
      </c>
      <c r="E776" s="25">
        <v>45964</v>
      </c>
      <c r="F776" s="16"/>
      <c r="G776" s="16"/>
      <c r="H776" s="19">
        <v>12000</v>
      </c>
      <c r="I776" s="12">
        <f>H776</f>
        <v>12000</v>
      </c>
      <c r="J776" s="15">
        <f>I776-H776</f>
        <v>0</v>
      </c>
      <c r="K776" t="s" s="14">
        <v>209</v>
      </c>
      <c r="L776" s="15"/>
      <c r="M776" s="22"/>
      <c r="N776" s="20"/>
      <c r="O776" t="s" s="17">
        <v>24</v>
      </c>
    </row>
    <row r="777" ht="30.45" customHeight="1" hidden="1">
      <c r="A777" t="s" s="21">
        <v>39</v>
      </c>
      <c r="B777" t="s" s="5">
        <v>68</v>
      </c>
      <c r="C777" t="s" s="23">
        <v>1403</v>
      </c>
      <c r="D777" t="s" s="7">
        <v>206</v>
      </c>
      <c r="E777" s="25">
        <v>46000</v>
      </c>
      <c r="F777" s="16"/>
      <c r="G777" s="10"/>
      <c r="H777" s="19">
        <v>21600</v>
      </c>
      <c r="I777" s="12">
        <f>H777</f>
        <v>21600</v>
      </c>
      <c r="J777" s="15">
        <f>I777-H777</f>
        <v>0</v>
      </c>
      <c r="K777" t="s" s="14">
        <v>209</v>
      </c>
      <c r="L777" s="15"/>
      <c r="M777" s="22"/>
      <c r="N777" s="20"/>
      <c r="O777" t="s" s="17">
        <v>24</v>
      </c>
    </row>
    <row r="778" ht="30.45" customHeight="1" hidden="1">
      <c r="A778" t="s" s="30">
        <v>501</v>
      </c>
      <c r="B778" t="s" s="5">
        <v>68</v>
      </c>
      <c r="C778" t="s" s="104">
        <v>1403</v>
      </c>
      <c r="D778" t="s" s="7">
        <v>206</v>
      </c>
      <c r="E778" s="8">
        <v>46108</v>
      </c>
      <c r="F778" s="10"/>
      <c r="G778" s="10"/>
      <c r="H778" s="105">
        <v>12066.4</v>
      </c>
      <c r="I778" s="26"/>
      <c r="J778" s="15">
        <f>I778-H778</f>
        <v>-12066.4</v>
      </c>
      <c r="K778" t="s" s="14">
        <v>209</v>
      </c>
      <c r="L778" s="20"/>
      <c r="M778" s="16"/>
      <c r="N778" s="20"/>
      <c r="O778" t="s" s="17">
        <v>24</v>
      </c>
    </row>
    <row r="779" ht="30.45" customHeight="1" hidden="1">
      <c r="A779" t="s" s="17">
        <v>39</v>
      </c>
      <c r="B779" t="s" s="5">
        <v>29</v>
      </c>
      <c r="C779" t="s" s="18">
        <v>1404</v>
      </c>
      <c r="D779" t="s" s="7">
        <v>468</v>
      </c>
      <c r="E779" s="8">
        <v>45702</v>
      </c>
      <c r="F779" t="s" s="10">
        <v>24</v>
      </c>
      <c r="G779" t="s" s="10">
        <v>1405</v>
      </c>
      <c r="H779" s="19">
        <v>7766.4</v>
      </c>
      <c r="I779" s="12">
        <v>7766</v>
      </c>
      <c r="J779" s="13">
        <f>I779-H779</f>
        <v>-0.4</v>
      </c>
      <c r="K779" t="s" s="14">
        <v>467</v>
      </c>
      <c r="L779" s="20"/>
      <c r="M779" s="20"/>
      <c r="N779" s="16"/>
      <c r="O779" t="s" s="17">
        <v>24</v>
      </c>
    </row>
    <row r="780" ht="30.45" customHeight="1" hidden="1">
      <c r="A780" t="s" s="21">
        <v>39</v>
      </c>
      <c r="B780" t="s" s="5">
        <v>33</v>
      </c>
      <c r="C780" t="s" s="18">
        <v>1404</v>
      </c>
      <c r="D780" t="s" s="7">
        <v>468</v>
      </c>
      <c r="E780" s="8">
        <v>45844</v>
      </c>
      <c r="F780" t="s" s="10">
        <v>1406</v>
      </c>
      <c r="G780" t="s" s="10">
        <v>1407</v>
      </c>
      <c r="H780" s="19">
        <v>7680</v>
      </c>
      <c r="I780" s="12">
        <v>7680</v>
      </c>
      <c r="J780" s="15">
        <f>I780-H780</f>
        <v>0</v>
      </c>
      <c r="K780" t="s" s="14">
        <v>467</v>
      </c>
      <c r="L780" s="15"/>
      <c r="M780" s="16"/>
      <c r="N780" s="20"/>
      <c r="O780" t="s" s="17">
        <v>24</v>
      </c>
    </row>
    <row r="781" ht="30.45" customHeight="1" hidden="1">
      <c r="A781" t="s" s="21">
        <v>20</v>
      </c>
      <c r="B781" t="s" s="5">
        <v>97</v>
      </c>
      <c r="C781" t="s" s="18">
        <v>1404</v>
      </c>
      <c r="D781" t="s" s="7">
        <v>468</v>
      </c>
      <c r="E781" s="25">
        <v>45729</v>
      </c>
      <c r="F781" t="s" s="10">
        <v>1408</v>
      </c>
      <c r="G781" t="s" s="10">
        <v>1409</v>
      </c>
      <c r="H781" s="19">
        <v>29664.6</v>
      </c>
      <c r="I781" s="12">
        <v>29665.8</v>
      </c>
      <c r="J781" s="13">
        <f>I781-H781</f>
        <v>1.2</v>
      </c>
      <c r="K781" t="s" s="14">
        <v>467</v>
      </c>
      <c r="L781" s="20"/>
      <c r="M781" s="16"/>
      <c r="N781" s="20"/>
      <c r="O781" t="s" s="17">
        <v>24</v>
      </c>
    </row>
    <row r="782" ht="30.45" customHeight="1" hidden="1">
      <c r="A782" t="s" s="21">
        <v>20</v>
      </c>
      <c r="B782" t="s" s="5">
        <v>97</v>
      </c>
      <c r="C782" t="s" s="18">
        <v>1404</v>
      </c>
      <c r="D782" t="s" s="7">
        <v>468</v>
      </c>
      <c r="E782" s="25">
        <v>46009</v>
      </c>
      <c r="F782" t="s" s="10">
        <v>1410</v>
      </c>
      <c r="G782" t="s" s="10">
        <v>1411</v>
      </c>
      <c r="H782" s="19">
        <v>31102.8</v>
      </c>
      <c r="I782" s="12">
        <f>H782</f>
        <v>31102.8</v>
      </c>
      <c r="J782" s="13">
        <f>I782-H782</f>
        <v>0</v>
      </c>
      <c r="K782" t="s" s="14">
        <v>467</v>
      </c>
      <c r="L782" s="20"/>
      <c r="M782" s="16"/>
      <c r="N782" s="20"/>
      <c r="O782" t="s" s="17">
        <v>24</v>
      </c>
    </row>
    <row r="783" ht="30.45" customHeight="1" hidden="1">
      <c r="A783" t="s" s="106">
        <v>501</v>
      </c>
      <c r="B783" t="s" s="107">
        <v>33</v>
      </c>
      <c r="C783" t="s" s="108">
        <v>1404</v>
      </c>
      <c r="D783" t="s" s="7">
        <v>468</v>
      </c>
      <c r="E783" s="8">
        <v>46164</v>
      </c>
      <c r="F783" t="s" s="10">
        <v>1412</v>
      </c>
      <c r="G783" t="s" s="10">
        <v>1413</v>
      </c>
      <c r="H783" s="49">
        <v>8000</v>
      </c>
      <c r="I783" s="12">
        <v>5333.34</v>
      </c>
      <c r="J783" s="15">
        <f>I783-H783</f>
        <v>-2666.66</v>
      </c>
      <c r="K783" t="s" s="14">
        <v>467</v>
      </c>
      <c r="L783" s="20"/>
      <c r="M783" s="8"/>
      <c r="N783" s="20"/>
      <c r="O783" t="s" s="17">
        <v>24</v>
      </c>
    </row>
    <row r="784" ht="30.45" customHeight="1" hidden="1">
      <c r="A784" t="s" s="21">
        <v>20</v>
      </c>
      <c r="B784" t="s" s="5">
        <v>79</v>
      </c>
      <c r="C784" t="s" s="18">
        <v>1414</v>
      </c>
      <c r="D784" t="s" s="7">
        <v>683</v>
      </c>
      <c r="E784" s="25">
        <v>45747</v>
      </c>
      <c r="F784" t="s" s="10">
        <v>977</v>
      </c>
      <c r="G784" t="s" s="10">
        <v>1415</v>
      </c>
      <c r="H784" s="19">
        <v>10047.5</v>
      </c>
      <c r="I784" s="12">
        <v>10047</v>
      </c>
      <c r="J784" s="13">
        <f>I784-H784</f>
        <v>-0.5</v>
      </c>
      <c r="K784" t="s" s="14">
        <v>467</v>
      </c>
      <c r="L784" s="20"/>
      <c r="M784" s="16"/>
      <c r="N784" s="20"/>
      <c r="O784" t="s" s="17">
        <v>24</v>
      </c>
    </row>
    <row r="785" ht="30.45" customHeight="1" hidden="1">
      <c r="A785" t="s" s="17">
        <v>39</v>
      </c>
      <c r="B785" t="s" s="5">
        <v>30</v>
      </c>
      <c r="C785" t="s" s="28">
        <v>1416</v>
      </c>
      <c r="D785" t="s" s="7">
        <v>468</v>
      </c>
      <c r="E785" s="8">
        <v>45870</v>
      </c>
      <c r="F785" s="10"/>
      <c r="G785" t="s" s="10">
        <v>1417</v>
      </c>
      <c r="H785" s="50">
        <v>30935.6</v>
      </c>
      <c r="I785" s="12">
        <v>30935.6</v>
      </c>
      <c r="J785" s="13">
        <f>I785-H785</f>
        <v>0</v>
      </c>
      <c r="K785" t="s" s="14">
        <v>24</v>
      </c>
      <c r="L785" s="20"/>
      <c r="M785" s="16"/>
      <c r="N785" s="20"/>
      <c r="O785" t="s" s="17">
        <v>24</v>
      </c>
    </row>
    <row r="786" ht="30.45" customHeight="1" hidden="1">
      <c r="A786" t="s" s="17">
        <v>39</v>
      </c>
      <c r="B786" t="s" s="5">
        <v>61</v>
      </c>
      <c r="C786" t="s" s="23">
        <v>1416</v>
      </c>
      <c r="D786" t="s" s="7">
        <v>468</v>
      </c>
      <c r="E786" s="25">
        <v>45687</v>
      </c>
      <c r="F786" t="s" s="10">
        <v>1418</v>
      </c>
      <c r="G786" t="s" s="10">
        <v>1419</v>
      </c>
      <c r="H786" s="31">
        <v>8007.312</v>
      </c>
      <c r="I786" s="12">
        <v>8007</v>
      </c>
      <c r="J786" s="15">
        <f>I786-H786</f>
        <v>-0.312</v>
      </c>
      <c r="K786" t="s" s="14">
        <v>467</v>
      </c>
      <c r="L786" s="15"/>
      <c r="M786" s="16"/>
      <c r="N786" s="20"/>
      <c r="O786" t="s" s="17">
        <v>24</v>
      </c>
    </row>
    <row r="787" ht="30.45" customHeight="1" hidden="1">
      <c r="A787" t="s" s="17">
        <v>39</v>
      </c>
      <c r="B787" t="s" s="5">
        <v>61</v>
      </c>
      <c r="C787" t="s" s="28">
        <v>1416</v>
      </c>
      <c r="D787" t="s" s="7">
        <v>468</v>
      </c>
      <c r="E787" s="25">
        <v>45714</v>
      </c>
      <c r="F787" t="s" s="10">
        <v>1420</v>
      </c>
      <c r="G787" t="s" s="10">
        <v>1421</v>
      </c>
      <c r="H787" s="109">
        <v>13408.75</v>
      </c>
      <c r="I787" s="12">
        <v>13390</v>
      </c>
      <c r="J787" s="15">
        <f>I787-H787</f>
        <v>-18.75</v>
      </c>
      <c r="K787" t="s" s="14">
        <v>467</v>
      </c>
      <c r="L787" s="15"/>
      <c r="M787" s="16"/>
      <c r="N787" s="20"/>
      <c r="O787" t="s" s="17">
        <v>24</v>
      </c>
    </row>
    <row r="788" ht="30.45" customHeight="1" hidden="1">
      <c r="A788" t="s" s="21">
        <v>49</v>
      </c>
      <c r="B788" t="s" s="5">
        <v>40</v>
      </c>
      <c r="C788" t="s" s="18">
        <v>1422</v>
      </c>
      <c r="D788" t="s" s="7">
        <v>423</v>
      </c>
      <c r="E788" s="8">
        <v>46083</v>
      </c>
      <c r="F788" t="s" s="10">
        <v>1423</v>
      </c>
      <c r="G788" t="s" s="10">
        <v>1424</v>
      </c>
      <c r="H788" s="19">
        <v>65996.83</v>
      </c>
      <c r="I788" s="12">
        <v>65996.850000000006</v>
      </c>
      <c r="J788" s="15">
        <f>I788-H788</f>
        <v>0.02</v>
      </c>
      <c r="K788" t="s" s="14">
        <v>306</v>
      </c>
      <c r="L788" s="20"/>
      <c r="M788" s="16"/>
      <c r="N788" s="20"/>
      <c r="O788" t="s" s="17">
        <v>24</v>
      </c>
    </row>
    <row r="789" ht="30.45" customHeight="1" hidden="1">
      <c r="A789" t="s" s="21">
        <v>49</v>
      </c>
      <c r="B789" t="s" s="5">
        <v>47</v>
      </c>
      <c r="C789" t="s" s="18">
        <v>1425</v>
      </c>
      <c r="D789" t="s" s="7">
        <v>888</v>
      </c>
      <c r="E789" s="8"/>
      <c r="F789" s="10"/>
      <c r="G789" s="10"/>
      <c r="H789" s="19">
        <v>17927.4</v>
      </c>
      <c r="I789" s="12">
        <v>17927.4</v>
      </c>
      <c r="J789" s="15">
        <f>I789-H789</f>
        <v>0</v>
      </c>
      <c r="K789" t="s" s="14">
        <v>24</v>
      </c>
      <c r="L789" s="20"/>
      <c r="M789" s="8"/>
      <c r="N789" s="20"/>
      <c r="O789" t="s" s="17">
        <v>24</v>
      </c>
    </row>
    <row r="790" ht="30.45" customHeight="1" hidden="1">
      <c r="A790" t="s" s="21">
        <v>49</v>
      </c>
      <c r="B790" t="s" s="5">
        <v>47</v>
      </c>
      <c r="C790" t="s" s="18">
        <v>1426</v>
      </c>
      <c r="D790" t="s" s="7">
        <v>884</v>
      </c>
      <c r="E790" t="s" s="10">
        <v>1175</v>
      </c>
      <c r="F790" t="s" s="10">
        <v>1427</v>
      </c>
      <c r="G790" t="s" s="10">
        <v>1428</v>
      </c>
      <c r="H790" s="19">
        <v>29110.95</v>
      </c>
      <c r="I790" s="12">
        <f>H790</f>
        <v>29110.95</v>
      </c>
      <c r="J790" s="15">
        <f>I790-H790</f>
        <v>0</v>
      </c>
      <c r="K790" t="s" s="14">
        <v>887</v>
      </c>
      <c r="L790" s="20"/>
      <c r="M790" s="8"/>
      <c r="N790" s="20"/>
      <c r="O790" t="s" s="17">
        <v>24</v>
      </c>
    </row>
    <row r="791" ht="30.45" customHeight="1" hidden="1">
      <c r="A791" t="s" s="21">
        <v>20</v>
      </c>
      <c r="B791" t="s" s="5">
        <v>30</v>
      </c>
      <c r="C791" t="s" s="18">
        <v>1429</v>
      </c>
      <c r="D791" t="s" s="7">
        <v>884</v>
      </c>
      <c r="E791" s="8">
        <v>46038</v>
      </c>
      <c r="F791" s="10"/>
      <c r="G791" t="s" s="10">
        <v>1430</v>
      </c>
      <c r="H791" s="19">
        <v>34466</v>
      </c>
      <c r="I791" s="12">
        <f>H791</f>
        <v>34466</v>
      </c>
      <c r="J791" s="13">
        <f>I791-H791</f>
        <v>0</v>
      </c>
      <c r="K791" t="s" s="14">
        <v>887</v>
      </c>
      <c r="L791" s="20"/>
      <c r="M791" s="16"/>
      <c r="N791" s="20"/>
      <c r="O791" t="s" s="17">
        <v>24</v>
      </c>
    </row>
    <row r="792" ht="30.45" customHeight="1" hidden="1">
      <c r="A792" t="s" s="21">
        <v>20</v>
      </c>
      <c r="B792" t="s" s="5">
        <v>97</v>
      </c>
      <c r="C792" t="s" s="18">
        <v>1429</v>
      </c>
      <c r="D792" t="s" s="7">
        <v>884</v>
      </c>
      <c r="E792" s="25">
        <v>45737</v>
      </c>
      <c r="F792" t="s" s="10">
        <v>1431</v>
      </c>
      <c r="G792" t="s" s="10">
        <v>1432</v>
      </c>
      <c r="H792" s="19">
        <v>55498.4</v>
      </c>
      <c r="I792" s="12">
        <v>55500</v>
      </c>
      <c r="J792" s="13">
        <f>I792-H792</f>
        <v>1.6</v>
      </c>
      <c r="K792" t="s" s="14">
        <v>887</v>
      </c>
      <c r="L792" s="20"/>
      <c r="M792" s="16"/>
      <c r="N792" s="20"/>
      <c r="O792" t="s" s="17">
        <v>24</v>
      </c>
    </row>
    <row r="793" ht="30.45" customHeight="1" hidden="1">
      <c r="A793" t="s" s="21">
        <v>20</v>
      </c>
      <c r="B793" t="s" s="5">
        <v>97</v>
      </c>
      <c r="C793" t="s" s="18">
        <v>1429</v>
      </c>
      <c r="D793" t="s" s="7">
        <v>884</v>
      </c>
      <c r="E793" s="25">
        <v>45831</v>
      </c>
      <c r="F793" t="s" s="10">
        <v>1433</v>
      </c>
      <c r="G793" t="s" s="10">
        <v>1434</v>
      </c>
      <c r="H793" s="19">
        <v>56158.6</v>
      </c>
      <c r="I793" s="12">
        <v>56158.6</v>
      </c>
      <c r="J793" s="13">
        <f>I793-H793</f>
        <v>0</v>
      </c>
      <c r="K793" t="s" s="14">
        <v>887</v>
      </c>
      <c r="L793" s="20"/>
      <c r="M793" s="16"/>
      <c r="N793" s="20"/>
      <c r="O793" t="s" s="17">
        <v>24</v>
      </c>
    </row>
    <row r="794" ht="30.45" customHeight="1" hidden="1">
      <c r="A794" t="s" s="21">
        <v>49</v>
      </c>
      <c r="B794" t="s" s="5">
        <v>47</v>
      </c>
      <c r="C794" t="s" s="18">
        <v>1435</v>
      </c>
      <c r="D794" t="s" s="7">
        <v>888</v>
      </c>
      <c r="E794" s="8">
        <v>45911</v>
      </c>
      <c r="F794" t="s" s="10">
        <v>1436</v>
      </c>
      <c r="G794" t="s" s="10">
        <v>1437</v>
      </c>
      <c r="H794" s="19">
        <v>14072.59</v>
      </c>
      <c r="I794" s="12">
        <v>14072.57</v>
      </c>
      <c r="J794" s="15">
        <f>I794-H794</f>
        <v>-0.02</v>
      </c>
      <c r="K794" t="s" s="14">
        <v>887</v>
      </c>
      <c r="L794" s="20"/>
      <c r="M794" s="8"/>
      <c r="N794" s="20"/>
      <c r="O794" t="s" s="17">
        <v>24</v>
      </c>
    </row>
    <row r="795" ht="30.45" customHeight="1" hidden="1">
      <c r="A795" t="s" s="21">
        <v>49</v>
      </c>
      <c r="B795" t="s" s="5">
        <v>47</v>
      </c>
      <c r="C795" t="s" s="18">
        <v>1438</v>
      </c>
      <c r="D795" t="s" s="7">
        <v>888</v>
      </c>
      <c r="E795" s="8">
        <v>46066</v>
      </c>
      <c r="F795" t="s" s="10">
        <v>1439</v>
      </c>
      <c r="G795" t="s" s="10">
        <v>1440</v>
      </c>
      <c r="H795" s="19">
        <v>35462.57</v>
      </c>
      <c r="I795" s="12">
        <v>35462.56</v>
      </c>
      <c r="J795" s="15">
        <f>I795-H795</f>
        <v>-0.01</v>
      </c>
      <c r="K795" t="s" s="14">
        <v>887</v>
      </c>
      <c r="L795" s="20"/>
      <c r="M795" s="8"/>
      <c r="N795" s="20"/>
      <c r="O795" t="s" s="17">
        <v>24</v>
      </c>
    </row>
    <row r="796" ht="30.45" customHeight="1" hidden="1">
      <c r="A796" t="s" s="21">
        <v>20</v>
      </c>
      <c r="B796" t="s" s="5">
        <v>97</v>
      </c>
      <c r="C796" t="s" s="18">
        <v>1438</v>
      </c>
      <c r="D796" t="s" s="7">
        <v>884</v>
      </c>
      <c r="E796" s="25">
        <v>46013</v>
      </c>
      <c r="F796" t="s" s="10">
        <v>1441</v>
      </c>
      <c r="G796" t="s" s="10">
        <v>1442</v>
      </c>
      <c r="H796" s="19">
        <v>42427.2</v>
      </c>
      <c r="I796" s="12">
        <f>H796</f>
        <v>42427.2</v>
      </c>
      <c r="J796" s="13">
        <f>I796-H796</f>
        <v>0</v>
      </c>
      <c r="K796" t="s" s="14">
        <v>887</v>
      </c>
      <c r="L796" s="20"/>
      <c r="M796" s="16"/>
      <c r="N796" s="20"/>
      <c r="O796" t="s" s="17">
        <v>24</v>
      </c>
    </row>
    <row r="797" ht="30.45" customHeight="1" hidden="1">
      <c r="A797" t="s" s="21">
        <v>501</v>
      </c>
      <c r="B797" t="s" s="5">
        <v>97</v>
      </c>
      <c r="C797" t="s" s="23">
        <v>1438</v>
      </c>
      <c r="D797" t="s" s="7">
        <v>888</v>
      </c>
      <c r="E797" s="25">
        <v>46120</v>
      </c>
      <c r="F797" t="s" s="10">
        <v>1443</v>
      </c>
      <c r="G797" t="s" s="10">
        <v>1444</v>
      </c>
      <c r="H797" s="19">
        <v>42239.4</v>
      </c>
      <c r="I797" s="12">
        <v>25343.64</v>
      </c>
      <c r="J797" s="13">
        <f>I797-H797</f>
        <v>-16895.76</v>
      </c>
      <c r="K797" t="s" s="14">
        <v>887</v>
      </c>
      <c r="L797" s="20"/>
      <c r="M797" s="16"/>
      <c r="N797" s="20"/>
      <c r="O797" t="s" s="17">
        <v>24</v>
      </c>
    </row>
    <row r="798" ht="30.45" customHeight="1" hidden="1">
      <c r="A798" t="s" s="17">
        <v>49</v>
      </c>
      <c r="B798" t="s" s="5">
        <v>633</v>
      </c>
      <c r="C798" t="s" s="28">
        <v>1438</v>
      </c>
      <c r="D798" t="s" s="7">
        <v>888</v>
      </c>
      <c r="E798" s="8">
        <v>46171</v>
      </c>
      <c r="F798" t="s" s="10">
        <v>1445</v>
      </c>
      <c r="G798" t="s" s="10">
        <v>1446</v>
      </c>
      <c r="H798" s="50">
        <v>15455.11</v>
      </c>
      <c r="I798" s="12">
        <f>H798</f>
        <v>15455.11</v>
      </c>
      <c r="J798" s="13">
        <f>I798-H798</f>
        <v>0</v>
      </c>
      <c r="K798" t="s" s="14">
        <v>887</v>
      </c>
      <c r="L798" s="20"/>
      <c r="M798" s="16"/>
      <c r="N798" s="20"/>
      <c r="O798" t="s" s="17">
        <v>24</v>
      </c>
    </row>
    <row r="799" ht="30.45" customHeight="1" hidden="1">
      <c r="A799" t="s" s="30">
        <v>599</v>
      </c>
      <c r="B799" t="s" s="5">
        <v>633</v>
      </c>
      <c r="C799" t="s" s="28">
        <v>1447</v>
      </c>
      <c r="D799" t="s" s="7">
        <v>1448</v>
      </c>
      <c r="E799" s="8">
        <v>45988</v>
      </c>
      <c r="F799" t="s" s="10">
        <v>1449</v>
      </c>
      <c r="G799" t="s" s="10">
        <v>1450</v>
      </c>
      <c r="H799" s="50">
        <v>37225.7</v>
      </c>
      <c r="I799" s="12">
        <f>H799</f>
        <v>37225.7</v>
      </c>
      <c r="J799" s="13">
        <f>I799-H799</f>
        <v>0</v>
      </c>
      <c r="K799" t="s" s="14">
        <v>887</v>
      </c>
      <c r="L799" s="20"/>
      <c r="M799" s="16"/>
      <c r="N799" s="20"/>
      <c r="O799" t="s" s="17">
        <v>19</v>
      </c>
    </row>
    <row r="800" ht="30.45" customHeight="1" hidden="1">
      <c r="A800" t="s" s="21">
        <v>39</v>
      </c>
      <c r="B800" t="s" s="5">
        <v>36</v>
      </c>
      <c r="C800" t="s" s="18">
        <v>1451</v>
      </c>
      <c r="D800" t="s" s="7">
        <v>1448</v>
      </c>
      <c r="E800" s="25">
        <v>45947</v>
      </c>
      <c r="F800" t="s" s="10">
        <v>1452</v>
      </c>
      <c r="G800" t="s" s="10">
        <v>1453</v>
      </c>
      <c r="H800" s="19">
        <v>22804.896</v>
      </c>
      <c r="I800" s="12">
        <v>22804.896</v>
      </c>
      <c r="J800" s="15">
        <f>I800-H800</f>
        <v>0</v>
      </c>
      <c r="K800" t="s" s="14">
        <v>24</v>
      </c>
      <c r="L800" s="20"/>
      <c r="M800" s="16"/>
      <c r="N800" s="20"/>
      <c r="O800" t="s" s="17">
        <v>24</v>
      </c>
    </row>
    <row r="801" ht="30.45" customHeight="1" hidden="1">
      <c r="A801" t="s" s="4">
        <v>39</v>
      </c>
      <c r="B801" t="s" s="5">
        <v>97</v>
      </c>
      <c r="C801" t="s" s="18">
        <v>1451</v>
      </c>
      <c r="D801" t="s" s="7">
        <v>884</v>
      </c>
      <c r="E801" s="25">
        <v>45989</v>
      </c>
      <c r="F801" t="s" s="10">
        <v>1454</v>
      </c>
      <c r="G801" t="s" s="10">
        <v>1455</v>
      </c>
      <c r="H801" s="19">
        <v>36156.672</v>
      </c>
      <c r="I801" s="12">
        <v>36157</v>
      </c>
      <c r="J801" s="13">
        <f>I801-H801</f>
        <v>0.328</v>
      </c>
      <c r="K801" t="s" s="14">
        <v>887</v>
      </c>
      <c r="L801" s="20"/>
      <c r="M801" s="16"/>
      <c r="N801" s="20"/>
      <c r="O801" t="s" s="17">
        <v>24</v>
      </c>
    </row>
    <row r="802" ht="30.45" customHeight="1" hidden="1">
      <c r="A802" t="s" s="17">
        <v>39</v>
      </c>
      <c r="B802" t="s" s="5">
        <v>61</v>
      </c>
      <c r="C802" t="s" s="18">
        <v>1456</v>
      </c>
      <c r="D802" t="s" s="7">
        <v>319</v>
      </c>
      <c r="E802" s="41">
        <v>45230</v>
      </c>
      <c r="F802" t="s" s="10">
        <v>1457</v>
      </c>
      <c r="G802" t="s" s="10">
        <v>1458</v>
      </c>
      <c r="H802" s="19">
        <v>27974</v>
      </c>
      <c r="I802" s="12">
        <v>27974</v>
      </c>
      <c r="J802" s="39"/>
      <c r="K802" t="s" s="14">
        <v>17</v>
      </c>
      <c r="L802" s="39"/>
      <c r="M802" s="53">
        <v>45266</v>
      </c>
      <c r="N802" s="20"/>
      <c r="O802" t="s" s="17">
        <v>24</v>
      </c>
    </row>
    <row r="803" ht="30.45" customHeight="1" hidden="1">
      <c r="A803" t="s" s="21">
        <v>20</v>
      </c>
      <c r="B803" t="s" s="5">
        <v>40</v>
      </c>
      <c r="C803" t="s" s="18">
        <v>1459</v>
      </c>
      <c r="D803" t="s" s="7">
        <v>1460</v>
      </c>
      <c r="E803" s="8">
        <v>46142</v>
      </c>
      <c r="F803" t="s" s="10">
        <v>1461</v>
      </c>
      <c r="G803" t="s" s="10">
        <v>1462</v>
      </c>
      <c r="H803" s="19">
        <v>31215.03</v>
      </c>
      <c r="I803" s="12">
        <v>31215.06</v>
      </c>
      <c r="J803" s="15">
        <f>I803-H803</f>
        <v>0.03</v>
      </c>
      <c r="K803" t="s" s="14">
        <v>87</v>
      </c>
      <c r="L803" s="20"/>
      <c r="M803" s="16"/>
      <c r="N803" s="20"/>
      <c r="O803" t="s" s="17">
        <v>24</v>
      </c>
    </row>
    <row r="804" ht="30.45" customHeight="1" hidden="1">
      <c r="A804" t="s" s="21">
        <v>20</v>
      </c>
      <c r="B804" t="s" s="5">
        <v>349</v>
      </c>
      <c r="C804" t="s" s="18">
        <v>1459</v>
      </c>
      <c r="D804" t="s" s="7">
        <v>1460</v>
      </c>
      <c r="E804" s="8">
        <v>45946</v>
      </c>
      <c r="F804" s="10"/>
      <c r="G804" t="s" s="10">
        <v>1463</v>
      </c>
      <c r="H804" s="19">
        <v>9344.959999999999</v>
      </c>
      <c r="I804" s="12">
        <v>9344.959999999999</v>
      </c>
      <c r="J804" s="13">
        <f>I804-H804</f>
        <v>0</v>
      </c>
      <c r="K804" t="s" s="14">
        <v>87</v>
      </c>
      <c r="L804" s="20"/>
      <c r="M804" s="16"/>
      <c r="N804" s="20"/>
      <c r="O804" t="s" s="17">
        <v>24</v>
      </c>
    </row>
    <row r="805" ht="30.45" customHeight="1" hidden="1">
      <c r="A805" t="s" s="17">
        <v>49</v>
      </c>
      <c r="B805" t="s" s="5">
        <v>633</v>
      </c>
      <c r="C805" t="s" s="28">
        <v>1459</v>
      </c>
      <c r="D805" t="s" s="7">
        <v>1460</v>
      </c>
      <c r="E805" s="8">
        <v>45834</v>
      </c>
      <c r="F805" t="s" s="10">
        <v>1464</v>
      </c>
      <c r="G805" t="s" s="10">
        <v>1465</v>
      </c>
      <c r="H805" s="29">
        <v>9510.74</v>
      </c>
      <c r="I805" s="12">
        <v>9510.719999999999</v>
      </c>
      <c r="J805" s="13">
        <f>I805-H805</f>
        <v>-0.02</v>
      </c>
      <c r="K805" t="s" s="14">
        <v>209</v>
      </c>
      <c r="L805" s="20"/>
      <c r="M805" s="16"/>
      <c r="N805" s="20"/>
      <c r="O805" t="s" s="17">
        <v>24</v>
      </c>
    </row>
    <row r="806" ht="30.45" customHeight="1" hidden="1">
      <c r="A806" t="s" s="21">
        <v>20</v>
      </c>
      <c r="B806" t="s" s="5">
        <v>30</v>
      </c>
      <c r="C806" t="s" s="23">
        <v>1459</v>
      </c>
      <c r="D806" t="s" s="7">
        <v>1460</v>
      </c>
      <c r="E806" s="8">
        <v>45674</v>
      </c>
      <c r="F806" s="16"/>
      <c r="G806" t="s" s="10">
        <v>1466</v>
      </c>
      <c r="H806" s="19">
        <v>39275</v>
      </c>
      <c r="I806" s="12">
        <v>39275</v>
      </c>
      <c r="J806" s="13">
        <f>I806-H806</f>
        <v>0</v>
      </c>
      <c r="K806" t="s" s="14">
        <v>209</v>
      </c>
      <c r="L806" s="20"/>
      <c r="M806" s="16"/>
      <c r="N806" s="20"/>
      <c r="O806" t="s" s="17">
        <v>24</v>
      </c>
    </row>
    <row r="807" ht="30.45" customHeight="1" hidden="1">
      <c r="A807" t="s" s="21">
        <v>20</v>
      </c>
      <c r="B807" t="s" s="5">
        <v>30</v>
      </c>
      <c r="C807" t="s" s="18">
        <v>1459</v>
      </c>
      <c r="D807" t="s" s="7">
        <v>1460</v>
      </c>
      <c r="E807" s="8">
        <v>45859</v>
      </c>
      <c r="F807" s="10"/>
      <c r="G807" t="s" s="10">
        <v>1467</v>
      </c>
      <c r="H807" s="19">
        <v>14391</v>
      </c>
      <c r="I807" s="12">
        <v>14391</v>
      </c>
      <c r="J807" s="13">
        <f>I807-H807</f>
        <v>0</v>
      </c>
      <c r="K807" t="s" s="14">
        <v>209</v>
      </c>
      <c r="L807" s="20"/>
      <c r="M807" s="16"/>
      <c r="N807" s="20"/>
      <c r="O807" t="s" s="17">
        <v>24</v>
      </c>
    </row>
    <row r="808" ht="30.45" customHeight="1" hidden="1">
      <c r="A808" t="s" s="21">
        <v>20</v>
      </c>
      <c r="B808" t="s" s="5">
        <v>30</v>
      </c>
      <c r="C808" t="s" s="18">
        <v>1459</v>
      </c>
      <c r="D808" t="s" s="7">
        <v>1460</v>
      </c>
      <c r="E808" s="8">
        <v>46038</v>
      </c>
      <c r="F808" s="10"/>
      <c r="G808" t="s" s="10">
        <v>1468</v>
      </c>
      <c r="H808" s="19">
        <v>45229</v>
      </c>
      <c r="I808" s="12">
        <f>H808</f>
        <v>45229</v>
      </c>
      <c r="J808" s="13">
        <f>I808-H808</f>
        <v>0</v>
      </c>
      <c r="K808" t="s" s="14">
        <v>209</v>
      </c>
      <c r="L808" s="20"/>
      <c r="M808" s="16"/>
      <c r="N808" s="20"/>
      <c r="O808" t="s" s="17">
        <v>24</v>
      </c>
    </row>
    <row r="809" ht="30.45" customHeight="1" hidden="1">
      <c r="A809" t="s" s="17">
        <v>49</v>
      </c>
      <c r="B809" t="s" s="5">
        <v>40</v>
      </c>
      <c r="C809" t="s" s="18">
        <v>1459</v>
      </c>
      <c r="D809" t="s" s="7">
        <v>1460</v>
      </c>
      <c r="E809" s="8">
        <v>45604</v>
      </c>
      <c r="F809" t="s" s="10">
        <v>298</v>
      </c>
      <c r="G809" t="s" s="10">
        <v>1469</v>
      </c>
      <c r="H809" s="15">
        <v>25513.87</v>
      </c>
      <c r="I809" s="12">
        <v>25513.84</v>
      </c>
      <c r="J809" s="15">
        <f>I809-H809</f>
        <v>-0.03</v>
      </c>
      <c r="K809" t="s" s="14">
        <v>209</v>
      </c>
      <c r="L809" s="20"/>
      <c r="M809" s="16"/>
      <c r="N809" s="20"/>
      <c r="O809" t="s" s="17">
        <v>24</v>
      </c>
    </row>
    <row r="810" ht="30.45" customHeight="1" hidden="1">
      <c r="A810" t="s" s="30">
        <v>49</v>
      </c>
      <c r="B810" t="s" s="5">
        <v>40</v>
      </c>
      <c r="C810" t="s" s="28">
        <v>1459</v>
      </c>
      <c r="D810" t="s" s="7">
        <v>1460</v>
      </c>
      <c r="E810" s="8">
        <v>45638</v>
      </c>
      <c r="F810" t="s" s="10">
        <v>1470</v>
      </c>
      <c r="G810" t="s" s="10">
        <v>1471</v>
      </c>
      <c r="H810" s="29">
        <v>17260.26</v>
      </c>
      <c r="I810" s="12">
        <v>17260.2</v>
      </c>
      <c r="J810" s="15">
        <f>I810-H810</f>
        <v>-0.06</v>
      </c>
      <c r="K810" t="s" s="14">
        <v>209</v>
      </c>
      <c r="L810" s="20"/>
      <c r="M810" s="16"/>
      <c r="N810" s="20"/>
      <c r="O810" t="s" s="17">
        <v>24</v>
      </c>
    </row>
    <row r="811" ht="30.45" customHeight="1" hidden="1">
      <c r="A811" t="s" s="21">
        <v>20</v>
      </c>
      <c r="B811" t="s" s="5">
        <v>40</v>
      </c>
      <c r="C811" t="s" s="18">
        <v>1459</v>
      </c>
      <c r="D811" t="s" s="7">
        <v>1460</v>
      </c>
      <c r="E811" s="8">
        <v>45875</v>
      </c>
      <c r="F811" t="s" s="10">
        <v>1472</v>
      </c>
      <c r="G811" t="s" s="10">
        <v>1473</v>
      </c>
      <c r="H811" s="19">
        <v>39535.84</v>
      </c>
      <c r="I811" s="12">
        <v>39535.84</v>
      </c>
      <c r="J811" s="15">
        <f>I811-H811</f>
        <v>0</v>
      </c>
      <c r="K811" t="s" s="14">
        <v>209</v>
      </c>
      <c r="L811" s="20"/>
      <c r="M811" s="16"/>
      <c r="N811" s="20"/>
      <c r="O811" t="s" s="17">
        <v>24</v>
      </c>
    </row>
    <row r="812" ht="30.45" customHeight="1" hidden="1">
      <c r="A812" t="s" s="21">
        <v>20</v>
      </c>
      <c r="B812" t="s" s="5">
        <v>40</v>
      </c>
      <c r="C812" t="s" s="18">
        <v>1459</v>
      </c>
      <c r="D812" t="s" s="7">
        <v>1460</v>
      </c>
      <c r="E812" s="8">
        <v>46083</v>
      </c>
      <c r="F812" t="s" s="10">
        <v>1474</v>
      </c>
      <c r="G812" t="s" s="10">
        <v>37</v>
      </c>
      <c r="H812" s="19">
        <v>24203.26</v>
      </c>
      <c r="I812" s="12">
        <v>24203.25</v>
      </c>
      <c r="J812" s="15">
        <f>I812-H812</f>
        <v>-0.01</v>
      </c>
      <c r="K812" t="s" s="14">
        <v>209</v>
      </c>
      <c r="L812" s="20"/>
      <c r="M812" s="16"/>
      <c r="N812" s="20"/>
      <c r="O812" t="s" s="17">
        <v>24</v>
      </c>
    </row>
    <row r="813" ht="30.45" customHeight="1" hidden="1">
      <c r="A813" t="s" s="21">
        <v>20</v>
      </c>
      <c r="B813" t="s" s="5">
        <v>97</v>
      </c>
      <c r="C813" t="s" s="18">
        <v>1459</v>
      </c>
      <c r="D813" t="s" s="7">
        <v>1460</v>
      </c>
      <c r="E813" s="25">
        <v>45846</v>
      </c>
      <c r="F813" t="s" s="10">
        <v>1475</v>
      </c>
      <c r="G813" t="s" s="10">
        <v>1476</v>
      </c>
      <c r="H813" s="19">
        <v>82300.8</v>
      </c>
      <c r="I813" s="12">
        <v>82300.8</v>
      </c>
      <c r="J813" s="13">
        <f>I813-H813</f>
        <v>0</v>
      </c>
      <c r="K813" t="s" s="14">
        <v>209</v>
      </c>
      <c r="L813" s="20"/>
      <c r="M813" s="16"/>
      <c r="N813" s="20"/>
      <c r="O813" t="s" s="17">
        <v>24</v>
      </c>
    </row>
    <row r="814" ht="30.45" customHeight="1" hidden="1">
      <c r="A814" t="s" s="30">
        <v>39</v>
      </c>
      <c r="B814" t="s" s="5">
        <v>97</v>
      </c>
      <c r="C814" t="s" s="110">
        <v>1459</v>
      </c>
      <c r="D814" t="s" s="7">
        <v>1460</v>
      </c>
      <c r="E814" s="25">
        <v>45905</v>
      </c>
      <c r="F814" t="s" s="10">
        <v>288</v>
      </c>
      <c r="G814" t="s" s="10">
        <v>1477</v>
      </c>
      <c r="H814" s="26">
        <v>79437.5</v>
      </c>
      <c r="I814" s="26"/>
      <c r="J814" s="13">
        <f>I814-H814</f>
        <v>-79437.5</v>
      </c>
      <c r="K814" t="s" s="14">
        <v>209</v>
      </c>
      <c r="L814" s="20"/>
      <c r="M814" s="16"/>
      <c r="N814" s="20"/>
      <c r="O814" t="s" s="17">
        <v>24</v>
      </c>
    </row>
    <row r="815" ht="30.45" customHeight="1" hidden="1">
      <c r="A815" t="s" s="21">
        <v>20</v>
      </c>
      <c r="B815" t="s" s="5">
        <v>61</v>
      </c>
      <c r="C815" t="s" s="18">
        <v>1459</v>
      </c>
      <c r="D815" t="s" s="7">
        <v>1460</v>
      </c>
      <c r="E815" s="25">
        <v>45845</v>
      </c>
      <c r="F815" t="s" s="10">
        <v>869</v>
      </c>
      <c r="G815" t="s" s="10">
        <v>1478</v>
      </c>
      <c r="H815" s="31">
        <v>10542</v>
      </c>
      <c r="I815" s="12">
        <v>10542</v>
      </c>
      <c r="J815" s="15">
        <f>I815-H815</f>
        <v>0</v>
      </c>
      <c r="K815" t="s" s="14">
        <v>209</v>
      </c>
      <c r="L815" s="15"/>
      <c r="M815" s="16"/>
      <c r="N815" s="20"/>
      <c r="O815" t="s" s="17">
        <v>24</v>
      </c>
    </row>
    <row r="816" ht="30.45" customHeight="1" hidden="1">
      <c r="A816" t="s" s="17">
        <v>39</v>
      </c>
      <c r="B816" t="s" s="5">
        <v>488</v>
      </c>
      <c r="C816" t="s" s="18">
        <v>1459</v>
      </c>
      <c r="D816" t="s" s="7">
        <v>1460</v>
      </c>
      <c r="E816" s="8">
        <v>45405</v>
      </c>
      <c r="F816" s="16"/>
      <c r="G816" t="s" s="10">
        <v>1479</v>
      </c>
      <c r="H816" s="19">
        <v>17580.6</v>
      </c>
      <c r="I816" s="12">
        <v>17580.6</v>
      </c>
      <c r="J816" s="15">
        <f>I816-H816</f>
        <v>0</v>
      </c>
      <c r="K816" t="s" s="14">
        <v>209</v>
      </c>
      <c r="L816" s="15"/>
      <c r="M816" s="16"/>
      <c r="N816" s="20"/>
      <c r="O816" t="s" s="17">
        <v>24</v>
      </c>
    </row>
    <row r="817" ht="30.45" customHeight="1" hidden="1">
      <c r="A817" t="s" s="17">
        <v>20</v>
      </c>
      <c r="B817" t="s" s="5">
        <v>488</v>
      </c>
      <c r="C817" t="s" s="18">
        <v>1459</v>
      </c>
      <c r="D817" t="s" s="7">
        <v>1460</v>
      </c>
      <c r="E817" s="25">
        <v>45740</v>
      </c>
      <c r="F817" s="10"/>
      <c r="G817" t="s" s="10">
        <v>1480</v>
      </c>
      <c r="H817" s="19">
        <v>13960.8</v>
      </c>
      <c r="I817" s="12">
        <v>13960.8</v>
      </c>
      <c r="J817" s="13">
        <f>I817-H817</f>
        <v>0</v>
      </c>
      <c r="K817" t="s" s="14">
        <v>209</v>
      </c>
      <c r="L817" s="20"/>
      <c r="M817" s="16"/>
      <c r="N817" s="20"/>
      <c r="O817" t="s" s="17">
        <v>24</v>
      </c>
    </row>
    <row r="818" ht="30.45" customHeight="1" hidden="1">
      <c r="A818" t="s" s="21">
        <v>20</v>
      </c>
      <c r="B818" t="s" s="5">
        <v>488</v>
      </c>
      <c r="C818" t="s" s="18">
        <v>1459</v>
      </c>
      <c r="D818" t="s" s="7">
        <v>1460</v>
      </c>
      <c r="E818" s="25">
        <v>45853</v>
      </c>
      <c r="F818" t="s" s="10">
        <v>135</v>
      </c>
      <c r="G818" t="s" s="10">
        <v>1481</v>
      </c>
      <c r="H818" s="19">
        <v>8347.5</v>
      </c>
      <c r="I818" s="12">
        <v>8347.5</v>
      </c>
      <c r="J818" s="13">
        <f>I818-H818</f>
        <v>0</v>
      </c>
      <c r="K818" t="s" s="14">
        <v>209</v>
      </c>
      <c r="L818" s="20"/>
      <c r="M818" s="16"/>
      <c r="N818" s="20"/>
      <c r="O818" t="s" s="17">
        <v>24</v>
      </c>
    </row>
    <row r="819" ht="30.45" customHeight="1" hidden="1">
      <c r="A819" t="s" s="21">
        <v>20</v>
      </c>
      <c r="B819" t="s" s="5">
        <v>633</v>
      </c>
      <c r="C819" t="s" s="18">
        <v>1459</v>
      </c>
      <c r="D819" t="s" s="7">
        <v>1460</v>
      </c>
      <c r="E819" s="8">
        <v>46137</v>
      </c>
      <c r="F819" t="s" s="10">
        <v>1482</v>
      </c>
      <c r="G819" t="s" s="10">
        <v>1483</v>
      </c>
      <c r="H819" s="49">
        <v>15661.85</v>
      </c>
      <c r="I819" s="12">
        <v>15661.84</v>
      </c>
      <c r="J819" s="13">
        <f>I819-H819</f>
        <v>-0.01</v>
      </c>
      <c r="K819" t="s" s="14">
        <v>209</v>
      </c>
      <c r="L819" s="20"/>
      <c r="M819" s="16"/>
      <c r="N819" s="20"/>
      <c r="O819" t="s" s="17">
        <v>24</v>
      </c>
    </row>
    <row r="820" ht="30.45" customHeight="1" hidden="1">
      <c r="A820" t="s" s="21">
        <v>77</v>
      </c>
      <c r="B820" t="s" s="5">
        <v>30</v>
      </c>
      <c r="C820" t="s" s="23">
        <v>1459</v>
      </c>
      <c r="D820" t="s" s="7">
        <v>1460</v>
      </c>
      <c r="E820" s="8">
        <v>46198</v>
      </c>
      <c r="F820" s="10"/>
      <c r="G820" t="s" s="10">
        <v>1484</v>
      </c>
      <c r="H820" s="19">
        <v>56174</v>
      </c>
      <c r="I820" s="26"/>
      <c r="J820" s="13">
        <f>I820-H820</f>
        <v>-56174</v>
      </c>
      <c r="K820" t="s" s="14">
        <v>209</v>
      </c>
      <c r="L820" s="20"/>
      <c r="M820" s="16"/>
      <c r="N820" s="20"/>
      <c r="O820" t="s" s="17">
        <v>24</v>
      </c>
    </row>
    <row r="821" ht="30.45" customHeight="1" hidden="1">
      <c r="A821" t="s" s="21">
        <v>77</v>
      </c>
      <c r="B821" t="s" s="5">
        <v>29</v>
      </c>
      <c r="C821" t="s" s="23">
        <v>1459</v>
      </c>
      <c r="D821" t="s" s="7">
        <v>1460</v>
      </c>
      <c r="E821" s="8">
        <v>46192</v>
      </c>
      <c r="F821" s="16"/>
      <c r="G821" t="s" s="10">
        <v>1485</v>
      </c>
      <c r="H821" s="19">
        <v>16372.8</v>
      </c>
      <c r="I821" s="26"/>
      <c r="J821" s="13">
        <f>I821-H821</f>
        <v>-16372.8</v>
      </c>
      <c r="K821" t="s" s="14">
        <v>209</v>
      </c>
      <c r="L821" s="20"/>
      <c r="M821" s="20"/>
      <c r="N821" s="16"/>
      <c r="O821" t="s" s="17">
        <v>24</v>
      </c>
    </row>
    <row r="822" ht="30.45" customHeight="1" hidden="1">
      <c r="A822" t="s" s="21">
        <v>20</v>
      </c>
      <c r="B822" t="s" s="5">
        <v>68</v>
      </c>
      <c r="C822" t="s" s="18">
        <v>1486</v>
      </c>
      <c r="D822" t="s" s="7">
        <v>468</v>
      </c>
      <c r="E822" s="25">
        <v>45702</v>
      </c>
      <c r="F822" s="16"/>
      <c r="G822" s="10"/>
      <c r="H822" s="19">
        <v>12100</v>
      </c>
      <c r="I822" s="12">
        <v>12100</v>
      </c>
      <c r="J822" s="15">
        <f>I822-H822</f>
        <v>0</v>
      </c>
      <c r="K822" t="s" s="14">
        <v>386</v>
      </c>
      <c r="L822" s="15"/>
      <c r="M822" s="22"/>
      <c r="N822" s="20"/>
      <c r="O822" t="s" s="17">
        <v>24</v>
      </c>
    </row>
    <row r="823" ht="30.45" customHeight="1" hidden="1">
      <c r="A823" t="s" s="17">
        <v>39</v>
      </c>
      <c r="B823" t="s" s="5">
        <v>88</v>
      </c>
      <c r="C823" t="s" s="18">
        <v>1487</v>
      </c>
      <c r="D823" t="s" s="7">
        <v>379</v>
      </c>
      <c r="E823" s="8">
        <v>45322</v>
      </c>
      <c r="F823" s="16"/>
      <c r="G823" s="16"/>
      <c r="H823" s="26">
        <v>50292.8</v>
      </c>
      <c r="I823" s="12">
        <v>50292.8</v>
      </c>
      <c r="J823" s="15">
        <f>I823-H823</f>
        <v>0</v>
      </c>
      <c r="K823" t="s" s="14">
        <v>87</v>
      </c>
      <c r="L823" s="20"/>
      <c r="M823" s="16"/>
      <c r="N823" s="16"/>
      <c r="O823" t="s" s="17">
        <v>24</v>
      </c>
    </row>
    <row r="824" ht="30.45" customHeight="1" hidden="1">
      <c r="A824" t="s" s="21">
        <v>20</v>
      </c>
      <c r="B824" t="s" s="5">
        <v>40</v>
      </c>
      <c r="C824" t="s" s="18">
        <v>1488</v>
      </c>
      <c r="D824" t="s" s="7">
        <v>379</v>
      </c>
      <c r="E824" s="8">
        <v>46083</v>
      </c>
      <c r="F824" t="s" s="10">
        <v>1489</v>
      </c>
      <c r="G824" t="s" s="10">
        <v>1490</v>
      </c>
      <c r="H824" s="19">
        <v>8028.38</v>
      </c>
      <c r="I824" s="12">
        <f>H824</f>
        <v>8028.38</v>
      </c>
      <c r="J824" s="15">
        <f>I824-H824</f>
        <v>0</v>
      </c>
      <c r="K824" t="s" s="14">
        <v>87</v>
      </c>
      <c r="L824" s="20"/>
      <c r="M824" s="16"/>
      <c r="N824" s="20"/>
      <c r="O824" t="s" s="17">
        <v>24</v>
      </c>
    </row>
    <row r="825" ht="30.45" customHeight="1" hidden="1">
      <c r="A825" t="s" s="21">
        <v>20</v>
      </c>
      <c r="B825" t="s" s="5">
        <v>40</v>
      </c>
      <c r="C825" t="s" s="18">
        <v>1488</v>
      </c>
      <c r="D825" t="s" s="7">
        <v>379</v>
      </c>
      <c r="E825" s="8">
        <v>46101</v>
      </c>
      <c r="F825" t="s" s="10">
        <v>1491</v>
      </c>
      <c r="G825" t="s" s="10">
        <v>1492</v>
      </c>
      <c r="H825" s="19">
        <v>15277.99</v>
      </c>
      <c r="I825" s="12">
        <f>H825</f>
        <v>15277.99</v>
      </c>
      <c r="J825" s="15">
        <f>I825-H825</f>
        <v>0</v>
      </c>
      <c r="K825" t="s" s="14">
        <v>87</v>
      </c>
      <c r="L825" s="20"/>
      <c r="M825" s="16"/>
      <c r="N825" s="20"/>
      <c r="O825" t="s" s="17">
        <v>24</v>
      </c>
    </row>
    <row r="826" ht="30.45" customHeight="1" hidden="1">
      <c r="A826" t="s" s="21">
        <v>49</v>
      </c>
      <c r="B826" t="s" s="5">
        <v>47</v>
      </c>
      <c r="C826" t="s" s="18">
        <v>1488</v>
      </c>
      <c r="D826" t="s" s="7">
        <v>379</v>
      </c>
      <c r="E826" s="8">
        <v>45968</v>
      </c>
      <c r="F826" t="s" s="10">
        <v>1493</v>
      </c>
      <c r="G826" t="s" s="10">
        <v>1494</v>
      </c>
      <c r="H826" s="19">
        <v>50327.64</v>
      </c>
      <c r="I826" s="12">
        <f>H826</f>
        <v>50327.64</v>
      </c>
      <c r="J826" s="15">
        <f>I826-H826</f>
        <v>0</v>
      </c>
      <c r="K826" t="s" s="14">
        <v>87</v>
      </c>
      <c r="L826" s="20"/>
      <c r="M826" s="8"/>
      <c r="N826" s="20"/>
      <c r="O826" t="s" s="17">
        <v>24</v>
      </c>
    </row>
    <row r="827" ht="30.45" customHeight="1" hidden="1">
      <c r="A827" t="s" s="17">
        <v>20</v>
      </c>
      <c r="B827" t="s" s="5">
        <v>29</v>
      </c>
      <c r="C827" t="s" s="23">
        <v>1495</v>
      </c>
      <c r="D827" t="s" s="7">
        <v>15</v>
      </c>
      <c r="E827" s="8">
        <v>45537</v>
      </c>
      <c r="F827" s="16"/>
      <c r="G827" s="16"/>
      <c r="H827" s="19">
        <v>14200</v>
      </c>
      <c r="I827" s="12">
        <v>14200</v>
      </c>
      <c r="J827" s="15">
        <f>I827-H827</f>
        <v>0</v>
      </c>
      <c r="K827" t="s" s="14">
        <v>17</v>
      </c>
      <c r="L827" s="20"/>
      <c r="M827" s="20"/>
      <c r="N827" s="16"/>
      <c r="O827" t="s" s="17">
        <v>24</v>
      </c>
    </row>
    <row r="828" ht="30.45" customHeight="1" hidden="1">
      <c r="A828" t="s" s="21">
        <v>39</v>
      </c>
      <c r="B828" t="s" s="5">
        <v>97</v>
      </c>
      <c r="C828" t="s" s="18">
        <v>1495</v>
      </c>
      <c r="D828" t="s" s="7">
        <v>15</v>
      </c>
      <c r="E828" s="25">
        <v>45898</v>
      </c>
      <c r="F828" t="s" s="10">
        <v>1496</v>
      </c>
      <c r="G828" t="s" s="10">
        <v>1497</v>
      </c>
      <c r="H828" s="19">
        <v>32315.7</v>
      </c>
      <c r="I828" s="12">
        <v>32315.7</v>
      </c>
      <c r="J828" s="13">
        <f>I828-H828</f>
        <v>0</v>
      </c>
      <c r="K828" t="s" s="14">
        <v>17</v>
      </c>
      <c r="L828" s="20"/>
      <c r="M828" s="16"/>
      <c r="N828" s="20"/>
      <c r="O828" t="s" s="17">
        <v>24</v>
      </c>
    </row>
    <row r="829" ht="30.45" customHeight="1" hidden="1">
      <c r="A829" t="s" s="47">
        <v>112</v>
      </c>
      <c r="B829" t="s" s="5">
        <v>30</v>
      </c>
      <c r="C829" t="s" s="23">
        <v>1495</v>
      </c>
      <c r="D829" t="s" s="7">
        <v>15</v>
      </c>
      <c r="E829" s="8">
        <v>46198</v>
      </c>
      <c r="F829" s="10"/>
      <c r="G829" t="s" s="10">
        <v>1498</v>
      </c>
      <c r="H829" s="19">
        <v>13855</v>
      </c>
      <c r="I829" s="26"/>
      <c r="J829" s="13">
        <f>I829-H829</f>
        <v>-13855</v>
      </c>
      <c r="K829" t="s" s="14">
        <v>17</v>
      </c>
      <c r="L829" s="20"/>
      <c r="M829" s="16"/>
      <c r="N829" s="20"/>
      <c r="O829" t="s" s="17">
        <v>24</v>
      </c>
    </row>
    <row r="830" ht="30.45" customHeight="1" hidden="1">
      <c r="A830" t="s" s="17">
        <v>39</v>
      </c>
      <c r="B830" t="s" s="5">
        <v>40</v>
      </c>
      <c r="C830" t="s" s="23">
        <v>1499</v>
      </c>
      <c r="D830" t="s" s="7">
        <v>1500</v>
      </c>
      <c r="E830" s="25">
        <v>45244</v>
      </c>
      <c r="F830" s="9">
        <v>405</v>
      </c>
      <c r="G830" s="55">
        <v>1502</v>
      </c>
      <c r="H830" s="26">
        <v>10266.5</v>
      </c>
      <c r="I830" s="12">
        <v>10266.5</v>
      </c>
      <c r="J830" s="39"/>
      <c r="K830" t="s" s="14">
        <v>209</v>
      </c>
      <c r="L830" s="26"/>
      <c r="M830" s="111">
        <v>45341</v>
      </c>
      <c r="N830" t="s" s="14">
        <v>1501</v>
      </c>
      <c r="O830" t="s" s="17">
        <v>24</v>
      </c>
    </row>
    <row r="831" ht="30.45" customHeight="1" hidden="1">
      <c r="A831" t="s" s="21">
        <v>501</v>
      </c>
      <c r="B831" t="s" s="5">
        <v>40</v>
      </c>
      <c r="C831" t="s" s="23">
        <v>1502</v>
      </c>
      <c r="D831" t="s" s="7">
        <v>1500</v>
      </c>
      <c r="E831" s="8">
        <v>46142</v>
      </c>
      <c r="F831" t="s" s="10">
        <v>1503</v>
      </c>
      <c r="G831" t="s" s="10">
        <v>1504</v>
      </c>
      <c r="H831" s="19">
        <v>8060.16</v>
      </c>
      <c r="I831" s="12">
        <v>5389.51</v>
      </c>
      <c r="J831" s="15">
        <f>I831-H831</f>
        <v>-2670.65</v>
      </c>
      <c r="K831" t="s" s="14">
        <v>209</v>
      </c>
      <c r="L831" s="20"/>
      <c r="M831" s="16"/>
      <c r="N831" s="20"/>
      <c r="O831" t="s" s="17">
        <v>24</v>
      </c>
    </row>
    <row r="832" ht="30.45" customHeight="1" hidden="1">
      <c r="A832" t="s" s="17">
        <v>39</v>
      </c>
      <c r="B832" t="s" s="5">
        <v>40</v>
      </c>
      <c r="C832" t="s" s="18">
        <v>1502</v>
      </c>
      <c r="D832" t="s" s="7">
        <v>1500</v>
      </c>
      <c r="E832" s="25">
        <v>45244</v>
      </c>
      <c r="F832" s="9">
        <v>404</v>
      </c>
      <c r="G832" t="s" s="10">
        <v>1505</v>
      </c>
      <c r="H832" s="26">
        <v>7880.64</v>
      </c>
      <c r="I832" s="12">
        <v>7880.64</v>
      </c>
      <c r="J832" s="15">
        <f>I832-H832</f>
        <v>0</v>
      </c>
      <c r="K832" t="s" s="14">
        <v>209</v>
      </c>
      <c r="L832" s="15"/>
      <c r="M832" s="27">
        <v>45281</v>
      </c>
      <c r="N832" s="16"/>
      <c r="O832" t="s" s="17">
        <v>24</v>
      </c>
    </row>
    <row r="833" ht="30.45" customHeight="1" hidden="1">
      <c r="A833" t="s" s="21">
        <v>39</v>
      </c>
      <c r="B833" t="s" s="5">
        <v>40</v>
      </c>
      <c r="C833" t="s" s="18">
        <v>1502</v>
      </c>
      <c r="D833" t="s" s="7">
        <v>1500</v>
      </c>
      <c r="E833" s="8">
        <v>45875</v>
      </c>
      <c r="F833" t="s" s="10">
        <v>1506</v>
      </c>
      <c r="G833" t="s" s="10">
        <v>1507</v>
      </c>
      <c r="H833" s="19">
        <v>11167.9</v>
      </c>
      <c r="I833" s="12">
        <v>11170.97</v>
      </c>
      <c r="J833" s="15">
        <f>I833-H833</f>
        <v>3.07</v>
      </c>
      <c r="K833" t="s" s="14">
        <v>209</v>
      </c>
      <c r="L833" s="20"/>
      <c r="M833" s="16"/>
      <c r="N833" s="20"/>
      <c r="O833" t="s" s="17">
        <v>24</v>
      </c>
    </row>
    <row r="834" ht="30.45" customHeight="1" hidden="1">
      <c r="A834" t="s" s="17">
        <v>39</v>
      </c>
      <c r="B834" t="s" s="5">
        <v>488</v>
      </c>
      <c r="C834" t="s" s="18">
        <v>1502</v>
      </c>
      <c r="D834" t="s" s="7">
        <v>1500</v>
      </c>
      <c r="E834" s="25">
        <v>45226</v>
      </c>
      <c r="F834" s="9">
        <v>3</v>
      </c>
      <c r="G834" t="s" s="10">
        <v>1508</v>
      </c>
      <c r="H834" s="19">
        <v>16848.28</v>
      </c>
      <c r="I834" s="12">
        <v>16848.28</v>
      </c>
      <c r="J834" s="15"/>
      <c r="K834" t="s" s="14">
        <v>209</v>
      </c>
      <c r="L834" s="15"/>
      <c r="M834" s="58">
        <v>45257</v>
      </c>
      <c r="N834" s="20"/>
      <c r="O834" t="s" s="17">
        <v>24</v>
      </c>
    </row>
    <row r="835" ht="30.45" customHeight="1" hidden="1">
      <c r="A835" t="s" s="21">
        <v>501</v>
      </c>
      <c r="B835" t="s" s="5">
        <v>33</v>
      </c>
      <c r="C835" t="s" s="23">
        <v>1502</v>
      </c>
      <c r="D835" t="s" s="7">
        <v>1500</v>
      </c>
      <c r="E835" s="8">
        <v>46193</v>
      </c>
      <c r="F835" t="s" s="10">
        <v>1509</v>
      </c>
      <c r="G835" t="s" s="10">
        <v>1510</v>
      </c>
      <c r="H835" s="49">
        <v>3780</v>
      </c>
      <c r="I835" s="26"/>
      <c r="J835" s="15">
        <f>I835-H835</f>
        <v>-3780</v>
      </c>
      <c r="K835" t="s" s="14">
        <v>209</v>
      </c>
      <c r="L835" s="20"/>
      <c r="M835" s="8"/>
      <c r="N835" s="20"/>
      <c r="O835" t="s" s="17">
        <v>24</v>
      </c>
    </row>
    <row r="836" ht="30.45" customHeight="1" hidden="1">
      <c r="A836" t="s" s="17">
        <v>39</v>
      </c>
      <c r="B836" t="s" s="5">
        <v>29</v>
      </c>
      <c r="C836" t="s" s="23">
        <v>1511</v>
      </c>
      <c r="D836" t="s" s="7">
        <v>206</v>
      </c>
      <c r="E836" s="8">
        <v>45478</v>
      </c>
      <c r="F836" s="16"/>
      <c r="G836" s="16"/>
      <c r="H836" s="39">
        <v>5489</v>
      </c>
      <c r="I836" s="12">
        <v>5489</v>
      </c>
      <c r="J836" s="15">
        <f>I836-H836</f>
        <v>0</v>
      </c>
      <c r="K836" t="s" s="14">
        <v>209</v>
      </c>
      <c r="L836" s="20"/>
      <c r="M836" s="8"/>
      <c r="N836" t="s" s="63">
        <v>1512</v>
      </c>
      <c r="O836" t="s" s="17">
        <v>24</v>
      </c>
    </row>
    <row r="837" ht="30.45" customHeight="1" hidden="1">
      <c r="A837" t="s" s="17">
        <v>20</v>
      </c>
      <c r="B837" t="s" s="5">
        <v>40</v>
      </c>
      <c r="C837" t="s" s="18">
        <v>1511</v>
      </c>
      <c r="D837" t="s" s="7">
        <v>206</v>
      </c>
      <c r="E837" s="8">
        <v>45449</v>
      </c>
      <c r="F837" t="s" s="10">
        <v>1513</v>
      </c>
      <c r="G837" t="s" s="10">
        <v>1514</v>
      </c>
      <c r="H837" s="15">
        <v>10871.38</v>
      </c>
      <c r="I837" s="12">
        <v>10871.38</v>
      </c>
      <c r="J837" s="15">
        <f>I837-H837</f>
        <v>0</v>
      </c>
      <c r="K837" t="s" s="14">
        <v>209</v>
      </c>
      <c r="L837" s="15"/>
      <c r="M837" s="8">
        <v>45484</v>
      </c>
      <c r="N837" s="20"/>
      <c r="O837" t="s" s="17">
        <v>24</v>
      </c>
    </row>
    <row r="838" ht="30.45" customHeight="1" hidden="1">
      <c r="A838" t="s" s="17">
        <v>39</v>
      </c>
      <c r="B838" t="s" s="5">
        <v>40</v>
      </c>
      <c r="C838" t="s" s="28">
        <v>1511</v>
      </c>
      <c r="D838" t="s" s="7">
        <v>206</v>
      </c>
      <c r="E838" s="8">
        <v>45553</v>
      </c>
      <c r="F838" t="s" s="10">
        <v>1515</v>
      </c>
      <c r="G838" t="s" s="10">
        <v>1516</v>
      </c>
      <c r="H838" s="24">
        <v>13968.55</v>
      </c>
      <c r="I838" s="12">
        <v>13968.55</v>
      </c>
      <c r="J838" s="15">
        <f>I838-H838</f>
        <v>0</v>
      </c>
      <c r="K838" t="s" s="14">
        <v>209</v>
      </c>
      <c r="L838" s="15">
        <v>4621</v>
      </c>
      <c r="M838" s="8">
        <v>45649</v>
      </c>
      <c r="N838" s="20"/>
      <c r="O838" t="s" s="17">
        <v>24</v>
      </c>
    </row>
    <row r="839" ht="30.45" customHeight="1" hidden="1">
      <c r="A839" t="s" s="30">
        <v>49</v>
      </c>
      <c r="B839" t="s" s="5">
        <v>40</v>
      </c>
      <c r="C839" t="s" s="28">
        <v>1511</v>
      </c>
      <c r="D839" t="s" s="7">
        <v>206</v>
      </c>
      <c r="E839" s="8">
        <v>45589</v>
      </c>
      <c r="F839" t="s" s="10">
        <v>1517</v>
      </c>
      <c r="G839" t="s" s="10">
        <v>1518</v>
      </c>
      <c r="H839" s="29">
        <v>33975.77</v>
      </c>
      <c r="I839" s="12">
        <v>33975.77</v>
      </c>
      <c r="J839" s="15">
        <f>I839-H839</f>
        <v>0</v>
      </c>
      <c r="K839" t="s" s="14">
        <v>209</v>
      </c>
      <c r="L839" s="20"/>
      <c r="M839" s="16"/>
      <c r="N839" s="20"/>
      <c r="O839" t="s" s="17">
        <v>24</v>
      </c>
    </row>
    <row r="840" ht="30.45" customHeight="1" hidden="1">
      <c r="A840" t="s" s="21">
        <v>20</v>
      </c>
      <c r="B840" t="s" s="5">
        <v>97</v>
      </c>
      <c r="C840" t="s" s="18">
        <v>1511</v>
      </c>
      <c r="D840" t="s" s="7">
        <v>206</v>
      </c>
      <c r="E840" s="25">
        <v>45995</v>
      </c>
      <c r="F840" t="s" s="10">
        <v>1519</v>
      </c>
      <c r="G840" t="s" s="10">
        <v>1520</v>
      </c>
      <c r="H840" s="19">
        <v>43252</v>
      </c>
      <c r="I840" s="12">
        <f>H840</f>
        <v>43252</v>
      </c>
      <c r="J840" s="13">
        <f>I840-H840</f>
        <v>0</v>
      </c>
      <c r="K840" t="s" s="14">
        <v>209</v>
      </c>
      <c r="L840" s="20"/>
      <c r="M840" s="16"/>
      <c r="N840" s="20"/>
      <c r="O840" t="s" s="17">
        <v>24</v>
      </c>
    </row>
    <row r="841" ht="30.45" customHeight="1" hidden="1">
      <c r="A841" t="s" s="21">
        <v>20</v>
      </c>
      <c r="B841" t="s" s="5">
        <v>61</v>
      </c>
      <c r="C841" t="s" s="18">
        <v>1511</v>
      </c>
      <c r="D841" t="s" s="7">
        <v>206</v>
      </c>
      <c r="E841" s="8">
        <v>46052</v>
      </c>
      <c r="F841" t="s" s="10">
        <v>1521</v>
      </c>
      <c r="G841" t="s" s="10">
        <v>1522</v>
      </c>
      <c r="H841" s="31">
        <v>38681.5</v>
      </c>
      <c r="I841" s="12">
        <f>H841</f>
        <v>38681.5</v>
      </c>
      <c r="J841" s="15">
        <f>I841-H841</f>
        <v>0</v>
      </c>
      <c r="K841" t="s" s="14">
        <v>209</v>
      </c>
      <c r="L841" s="20"/>
      <c r="M841" s="16"/>
      <c r="N841" s="20"/>
      <c r="O841" t="s" s="17">
        <v>24</v>
      </c>
    </row>
    <row r="842" ht="30.45" customHeight="1" hidden="1">
      <c r="A842" t="s" s="17">
        <v>39</v>
      </c>
      <c r="B842" t="s" s="5">
        <v>40</v>
      </c>
      <c r="C842" t="s" s="23">
        <v>1523</v>
      </c>
      <c r="D842" t="s" s="7">
        <v>1500</v>
      </c>
      <c r="E842" s="8">
        <v>45449</v>
      </c>
      <c r="F842" t="s" s="10">
        <v>1524</v>
      </c>
      <c r="G842" t="s" s="10">
        <v>1436</v>
      </c>
      <c r="H842" s="19">
        <v>7198.27</v>
      </c>
      <c r="I842" s="12">
        <v>7200</v>
      </c>
      <c r="J842" s="15">
        <f>I842-H842</f>
        <v>1.73</v>
      </c>
      <c r="K842" t="s" s="14">
        <v>209</v>
      </c>
      <c r="L842" s="15"/>
      <c r="M842" s="8">
        <v>45544</v>
      </c>
      <c r="N842" s="20"/>
      <c r="O842" t="s" s="17">
        <v>24</v>
      </c>
    </row>
    <row r="843" ht="30.45" customHeight="1" hidden="1">
      <c r="A843" t="s" s="17">
        <v>20</v>
      </c>
      <c r="B843" t="s" s="5">
        <v>40</v>
      </c>
      <c r="C843" t="s" s="23">
        <v>1523</v>
      </c>
      <c r="D843" t="s" s="7">
        <v>1500</v>
      </c>
      <c r="E843" s="8">
        <v>45525</v>
      </c>
      <c r="F843" t="s" s="10">
        <v>1525</v>
      </c>
      <c r="G843" t="s" s="10">
        <v>1526</v>
      </c>
      <c r="H843" s="15">
        <v>35501.86</v>
      </c>
      <c r="I843" s="12">
        <v>35501.86</v>
      </c>
      <c r="J843" s="15">
        <f>I843-H843</f>
        <v>0</v>
      </c>
      <c r="K843" t="s" s="14">
        <v>209</v>
      </c>
      <c r="L843" s="20"/>
      <c r="M843" s="16"/>
      <c r="N843" s="20"/>
      <c r="O843" t="s" s="17">
        <v>24</v>
      </c>
    </row>
    <row r="844" ht="30.45" customHeight="1" hidden="1">
      <c r="A844" t="s" s="21">
        <v>39</v>
      </c>
      <c r="B844" t="s" s="5">
        <v>40</v>
      </c>
      <c r="C844" t="s" s="18">
        <v>1523</v>
      </c>
      <c r="D844" t="s" s="7">
        <v>1500</v>
      </c>
      <c r="E844" s="8">
        <v>45946</v>
      </c>
      <c r="F844" t="s" s="10">
        <v>1527</v>
      </c>
      <c r="G844" t="s" s="10">
        <v>1528</v>
      </c>
      <c r="H844" s="19">
        <v>10647.73</v>
      </c>
      <c r="I844" s="12">
        <f>H844</f>
        <v>10647.73</v>
      </c>
      <c r="J844" s="15">
        <f>I844-H844</f>
        <v>0</v>
      </c>
      <c r="K844" t="s" s="14">
        <v>209</v>
      </c>
      <c r="L844" s="20"/>
      <c r="M844" s="16"/>
      <c r="N844" s="20"/>
      <c r="O844" t="s" s="17">
        <v>24</v>
      </c>
    </row>
    <row r="845" ht="30.45" customHeight="1" hidden="1">
      <c r="A845" s="32"/>
      <c r="B845" t="s" s="5">
        <v>40</v>
      </c>
      <c r="C845" t="s" s="33">
        <v>1529</v>
      </c>
      <c r="D845" t="s" s="7">
        <v>206</v>
      </c>
      <c r="E845" s="8"/>
      <c r="F845" s="10"/>
      <c r="G845" t="s" s="10">
        <v>1530</v>
      </c>
      <c r="H845" s="15"/>
      <c r="I845" s="26"/>
      <c r="J845" s="15">
        <f>I845-H845</f>
        <v>0</v>
      </c>
      <c r="K845" t="s" s="14">
        <v>24</v>
      </c>
      <c r="L845" s="20"/>
      <c r="M845" s="16"/>
      <c r="N845" s="20"/>
      <c r="O845" t="s" s="17">
        <v>24</v>
      </c>
    </row>
    <row r="846" ht="30.45" customHeight="1" hidden="1">
      <c r="A846" t="s" s="17">
        <v>20</v>
      </c>
      <c r="B846" t="s" s="5">
        <v>30</v>
      </c>
      <c r="C846" t="s" s="18">
        <v>1531</v>
      </c>
      <c r="D846" t="s" s="7">
        <v>451</v>
      </c>
      <c r="E846" s="67">
        <v>45527</v>
      </c>
      <c r="F846" s="16"/>
      <c r="G846" s="10"/>
      <c r="H846" s="19">
        <v>6080</v>
      </c>
      <c r="I846" s="12">
        <v>6081</v>
      </c>
      <c r="J846" s="13">
        <f>I846-H846</f>
        <v>1</v>
      </c>
      <c r="K846" t="s" s="14">
        <v>84</v>
      </c>
      <c r="L846" s="20"/>
      <c r="M846" s="16"/>
      <c r="N846" s="20"/>
      <c r="O846" t="s" s="17">
        <v>24</v>
      </c>
    </row>
    <row r="847" ht="30.45" customHeight="1" hidden="1">
      <c r="A847" t="s" s="21">
        <v>39</v>
      </c>
      <c r="B847" t="s" s="5">
        <v>30</v>
      </c>
      <c r="C847" t="s" s="18">
        <v>1532</v>
      </c>
      <c r="D847" t="s" s="7">
        <v>1533</v>
      </c>
      <c r="E847" s="8">
        <v>46095</v>
      </c>
      <c r="F847" s="10"/>
      <c r="G847" t="s" s="10">
        <v>1534</v>
      </c>
      <c r="H847" s="19">
        <v>26930</v>
      </c>
      <c r="I847" s="12">
        <f>H847</f>
        <v>26930</v>
      </c>
      <c r="J847" s="13">
        <f>I847-H847</f>
        <v>0</v>
      </c>
      <c r="K847" t="s" s="14">
        <v>17</v>
      </c>
      <c r="L847" s="20"/>
      <c r="M847" s="16"/>
      <c r="N847" s="20"/>
      <c r="O847" t="s" s="17">
        <v>24</v>
      </c>
    </row>
    <row r="848" ht="30.45" customHeight="1" hidden="1">
      <c r="A848" t="s" s="17">
        <v>39</v>
      </c>
      <c r="B848" t="s" s="5">
        <v>21</v>
      </c>
      <c r="C848" t="s" s="23">
        <v>1535</v>
      </c>
      <c r="D848" t="s" s="7">
        <v>1533</v>
      </c>
      <c r="E848" s="25">
        <v>45429</v>
      </c>
      <c r="F848" t="s" s="10">
        <v>1536</v>
      </c>
      <c r="G848" t="s" s="10">
        <v>1537</v>
      </c>
      <c r="H848" s="19">
        <v>28505.37</v>
      </c>
      <c r="I848" s="12">
        <v>28505.37</v>
      </c>
      <c r="J848" s="15">
        <f>I848-H848</f>
        <v>0</v>
      </c>
      <c r="K848" t="s" s="14">
        <v>17</v>
      </c>
      <c r="L848" s="15">
        <v>9501.370000000001</v>
      </c>
      <c r="M848" s="8">
        <v>45525</v>
      </c>
      <c r="N848" t="s" s="86">
        <v>926</v>
      </c>
      <c r="O848" t="s" s="17">
        <v>24</v>
      </c>
    </row>
    <row r="849" ht="30.45" customHeight="1" hidden="1">
      <c r="A849" t="s" s="17">
        <v>39</v>
      </c>
      <c r="B849" t="s" s="5">
        <v>21</v>
      </c>
      <c r="C849" t="s" s="23">
        <v>1535</v>
      </c>
      <c r="D849" t="s" s="7">
        <v>1533</v>
      </c>
      <c r="E849" s="8">
        <v>45486</v>
      </c>
      <c r="F849" s="9">
        <v>762</v>
      </c>
      <c r="G849" t="s" s="10">
        <v>1538</v>
      </c>
      <c r="H849" s="19">
        <v>40028.9</v>
      </c>
      <c r="I849" s="12">
        <v>40028.9</v>
      </c>
      <c r="J849" s="15">
        <f>I849-H849</f>
        <v>0</v>
      </c>
      <c r="K849" t="s" s="14">
        <v>17</v>
      </c>
      <c r="L849" s="15"/>
      <c r="M849" s="8"/>
      <c r="N849" s="20"/>
      <c r="O849" t="s" s="17">
        <v>24</v>
      </c>
    </row>
    <row r="850" ht="30.45" customHeight="1" hidden="1">
      <c r="A850" t="s" s="21">
        <v>39</v>
      </c>
      <c r="B850" t="s" s="5">
        <v>633</v>
      </c>
      <c r="C850" t="s" s="18">
        <v>1535</v>
      </c>
      <c r="D850" t="s" s="7">
        <v>1533</v>
      </c>
      <c r="E850" s="8">
        <v>45834</v>
      </c>
      <c r="F850" t="s" s="10">
        <v>1539</v>
      </c>
      <c r="G850" t="s" s="10">
        <v>1540</v>
      </c>
      <c r="H850" s="19">
        <v>17778.01</v>
      </c>
      <c r="I850" s="12">
        <v>17778.01</v>
      </c>
      <c r="J850" s="13">
        <f>I850-H850</f>
        <v>0</v>
      </c>
      <c r="K850" t="s" s="14">
        <v>17</v>
      </c>
      <c r="L850" s="20"/>
      <c r="M850" s="16"/>
      <c r="N850" s="20"/>
      <c r="O850" t="s" s="17">
        <v>24</v>
      </c>
    </row>
    <row r="851" ht="30.45" customHeight="1" hidden="1">
      <c r="A851" t="s" s="21">
        <v>39</v>
      </c>
      <c r="B851" t="s" s="5">
        <v>633</v>
      </c>
      <c r="C851" t="s" s="18">
        <v>1535</v>
      </c>
      <c r="D851" t="s" s="7">
        <v>1533</v>
      </c>
      <c r="E851" s="8">
        <v>45916</v>
      </c>
      <c r="F851" t="s" s="10">
        <v>1541</v>
      </c>
      <c r="G851" t="s" s="10">
        <v>1542</v>
      </c>
      <c r="H851" s="19">
        <v>49757.39</v>
      </c>
      <c r="I851" s="12">
        <f>H851</f>
        <v>49757.39</v>
      </c>
      <c r="J851" s="13">
        <f>I851-H851</f>
        <v>0</v>
      </c>
      <c r="K851" t="s" s="14">
        <v>17</v>
      </c>
      <c r="L851" s="20"/>
      <c r="M851" s="16"/>
      <c r="N851" s="20"/>
      <c r="O851" t="s" s="17">
        <v>24</v>
      </c>
    </row>
    <row r="852" ht="30.45" customHeight="1" hidden="1">
      <c r="A852" t="s" s="17">
        <v>49</v>
      </c>
      <c r="B852" t="s" s="5">
        <v>633</v>
      </c>
      <c r="C852" t="s" s="18">
        <v>1535</v>
      </c>
      <c r="D852" t="s" s="7">
        <v>1533</v>
      </c>
      <c r="E852" s="8">
        <v>46064</v>
      </c>
      <c r="F852" t="s" s="10">
        <v>1543</v>
      </c>
      <c r="G852" t="s" s="10">
        <v>1544</v>
      </c>
      <c r="H852" s="42">
        <v>84607.06</v>
      </c>
      <c r="I852" s="12">
        <v>84607.08</v>
      </c>
      <c r="J852" s="13">
        <f>I852-H852</f>
        <v>0.02</v>
      </c>
      <c r="K852" t="s" s="14">
        <v>17</v>
      </c>
      <c r="L852" s="20"/>
      <c r="M852" s="16"/>
      <c r="N852" s="20"/>
      <c r="O852" t="s" s="17">
        <v>24</v>
      </c>
    </row>
    <row r="853" ht="30.45" customHeight="1" hidden="1">
      <c r="A853" t="s" s="60">
        <v>39</v>
      </c>
      <c r="B853" t="s" s="61">
        <v>30</v>
      </c>
      <c r="C853" t="s" s="18">
        <v>1535</v>
      </c>
      <c r="D853" t="s" s="7">
        <v>1533</v>
      </c>
      <c r="E853" s="25">
        <v>45352</v>
      </c>
      <c r="F853" s="16"/>
      <c r="G853" s="9">
        <v>1909</v>
      </c>
      <c r="H853" s="19">
        <v>26063</v>
      </c>
      <c r="I853" s="40">
        <v>26063</v>
      </c>
      <c r="J853" s="15"/>
      <c r="K853" t="s" s="14">
        <v>17</v>
      </c>
      <c r="L853" s="15"/>
      <c r="M853" s="20"/>
      <c r="N853" s="16"/>
      <c r="O853" t="s" s="17">
        <v>24</v>
      </c>
    </row>
    <row r="854" ht="30.45" customHeight="1" hidden="1">
      <c r="A854" t="s" s="17">
        <v>39</v>
      </c>
      <c r="B854" t="s" s="5">
        <v>30</v>
      </c>
      <c r="C854" t="s" s="23">
        <v>1535</v>
      </c>
      <c r="D854" t="s" s="7">
        <v>1533</v>
      </c>
      <c r="E854" s="25">
        <v>45478</v>
      </c>
      <c r="F854" s="16"/>
      <c r="G854" t="s" s="10">
        <v>1545</v>
      </c>
      <c r="H854" s="19">
        <v>19981</v>
      </c>
      <c r="I854" s="40">
        <v>19981</v>
      </c>
      <c r="J854" s="15">
        <f>I854-H854</f>
        <v>0</v>
      </c>
      <c r="K854" t="s" s="14">
        <v>17</v>
      </c>
      <c r="L854" s="15">
        <v>4934</v>
      </c>
      <c r="M854" s="8">
        <v>45459</v>
      </c>
      <c r="N854" s="20"/>
      <c r="O854" t="s" s="17">
        <v>24</v>
      </c>
    </row>
    <row r="855" ht="30.45" customHeight="1" hidden="1">
      <c r="A855" t="s" s="21">
        <v>39</v>
      </c>
      <c r="B855" t="s" s="5">
        <v>30</v>
      </c>
      <c r="C855" t="s" s="23">
        <v>1535</v>
      </c>
      <c r="D855" t="s" s="7">
        <v>1533</v>
      </c>
      <c r="E855" s="8">
        <v>45617</v>
      </c>
      <c r="F855" s="16"/>
      <c r="G855" t="s" s="10">
        <v>1546</v>
      </c>
      <c r="H855" s="19">
        <v>13640</v>
      </c>
      <c r="I855" s="12">
        <v>13640</v>
      </c>
      <c r="J855" s="13">
        <f>I855-H855</f>
        <v>0</v>
      </c>
      <c r="K855" t="s" s="14">
        <v>17</v>
      </c>
      <c r="L855" s="43">
        <v>45708</v>
      </c>
      <c r="M855" s="16"/>
      <c r="N855" s="20"/>
      <c r="O855" t="s" s="17">
        <v>24</v>
      </c>
    </row>
    <row r="856" ht="30.45" customHeight="1" hidden="1">
      <c r="A856" t="s" s="21">
        <v>39</v>
      </c>
      <c r="B856" t="s" s="5">
        <v>30</v>
      </c>
      <c r="C856" t="s" s="23">
        <v>1535</v>
      </c>
      <c r="D856" t="s" s="7">
        <v>1533</v>
      </c>
      <c r="E856" s="8">
        <v>45821</v>
      </c>
      <c r="F856" s="16"/>
      <c r="G856" t="s" s="10">
        <v>1547</v>
      </c>
      <c r="H856" s="19">
        <v>34776</v>
      </c>
      <c r="I856" s="12">
        <v>34776</v>
      </c>
      <c r="J856" s="13">
        <f>I856-H856</f>
        <v>0</v>
      </c>
      <c r="K856" t="s" s="14">
        <v>17</v>
      </c>
      <c r="L856" s="20"/>
      <c r="M856" s="16"/>
      <c r="N856" s="20"/>
      <c r="O856" t="s" s="17">
        <v>24</v>
      </c>
    </row>
    <row r="857" ht="30.45" customHeight="1" hidden="1">
      <c r="A857" t="s" s="17">
        <v>39</v>
      </c>
      <c r="B857" t="s" s="5">
        <v>40</v>
      </c>
      <c r="C857" t="s" s="18">
        <v>1535</v>
      </c>
      <c r="D857" t="s" s="7">
        <v>1533</v>
      </c>
      <c r="E857" s="25">
        <v>45365</v>
      </c>
      <c r="F857" t="s" s="10">
        <v>1548</v>
      </c>
      <c r="G857" t="s" s="10">
        <v>1549</v>
      </c>
      <c r="H857" s="19">
        <v>13124.63</v>
      </c>
      <c r="I857" s="40">
        <v>13124.63</v>
      </c>
      <c r="J857" s="15">
        <f>I857-H857</f>
        <v>0</v>
      </c>
      <c r="K857" t="s" s="14">
        <v>17</v>
      </c>
      <c r="L857" s="15">
        <v>4348</v>
      </c>
      <c r="M857" s="8">
        <v>45462</v>
      </c>
      <c r="N857" s="16"/>
      <c r="O857" t="s" s="17">
        <v>24</v>
      </c>
    </row>
    <row r="858" ht="30.45" customHeight="1" hidden="1">
      <c r="A858" t="s" s="17">
        <v>39</v>
      </c>
      <c r="B858" t="s" s="5">
        <v>40</v>
      </c>
      <c r="C858" t="s" s="23">
        <v>1535</v>
      </c>
      <c r="D858" t="s" s="7">
        <v>1533</v>
      </c>
      <c r="E858" s="8">
        <v>45485</v>
      </c>
      <c r="F858" t="s" s="10">
        <v>1550</v>
      </c>
      <c r="G858" t="s" s="10">
        <v>1551</v>
      </c>
      <c r="H858" s="19">
        <v>13488.29</v>
      </c>
      <c r="I858" s="12">
        <v>13488.29</v>
      </c>
      <c r="J858" s="15">
        <f>I858-H858</f>
        <v>0</v>
      </c>
      <c r="K858" t="s" s="14">
        <v>17</v>
      </c>
      <c r="L858" s="15"/>
      <c r="M858" s="8">
        <v>45581</v>
      </c>
      <c r="N858" s="20"/>
      <c r="O858" t="s" s="17">
        <v>24</v>
      </c>
    </row>
    <row r="859" ht="30.45" customHeight="1" hidden="1">
      <c r="A859" t="s" s="17">
        <v>39</v>
      </c>
      <c r="B859" t="s" s="5">
        <v>40</v>
      </c>
      <c r="C859" t="s" s="18">
        <v>1535</v>
      </c>
      <c r="D859" t="s" s="7">
        <v>1533</v>
      </c>
      <c r="E859" s="8">
        <v>45553</v>
      </c>
      <c r="F859" t="s" s="10">
        <v>1552</v>
      </c>
      <c r="G859" t="s" s="10">
        <v>1553</v>
      </c>
      <c r="H859" s="15">
        <v>13169.38</v>
      </c>
      <c r="I859" s="12">
        <v>13169.38</v>
      </c>
      <c r="J859" s="15">
        <f>I859-H859</f>
        <v>0</v>
      </c>
      <c r="K859" t="s" s="14">
        <v>17</v>
      </c>
      <c r="L859" s="20"/>
      <c r="M859" s="16"/>
      <c r="N859" s="20"/>
      <c r="O859" t="s" s="17">
        <v>24</v>
      </c>
    </row>
    <row r="860" ht="30.45" customHeight="1" hidden="1">
      <c r="A860" t="s" s="4">
        <v>39</v>
      </c>
      <c r="B860" t="s" s="5">
        <v>40</v>
      </c>
      <c r="C860" t="s" s="18">
        <v>1535</v>
      </c>
      <c r="D860" t="s" s="7">
        <v>1533</v>
      </c>
      <c r="E860" s="8">
        <v>45924</v>
      </c>
      <c r="F860" t="s" s="10">
        <v>1554</v>
      </c>
      <c r="G860" t="s" s="10">
        <v>1555</v>
      </c>
      <c r="H860" s="19">
        <v>25958.22</v>
      </c>
      <c r="I860" s="12">
        <v>25958.22</v>
      </c>
      <c r="J860" s="15">
        <f>I860-H860</f>
        <v>0</v>
      </c>
      <c r="K860" t="s" s="14">
        <v>17</v>
      </c>
      <c r="L860" s="20"/>
      <c r="M860" s="16"/>
      <c r="N860" s="20"/>
      <c r="O860" t="s" s="17">
        <v>24</v>
      </c>
    </row>
    <row r="861" ht="30.45" customHeight="1" hidden="1">
      <c r="A861" t="s" s="21">
        <v>39</v>
      </c>
      <c r="B861" t="s" s="5">
        <v>40</v>
      </c>
      <c r="C861" t="s" s="18">
        <v>1535</v>
      </c>
      <c r="D861" t="s" s="7">
        <v>1533</v>
      </c>
      <c r="E861" s="8">
        <v>46083</v>
      </c>
      <c r="F861" t="s" s="10">
        <v>1556</v>
      </c>
      <c r="G861" t="s" s="10">
        <v>1557</v>
      </c>
      <c r="H861" s="19">
        <v>23378.98</v>
      </c>
      <c r="I861" s="12">
        <f>H861</f>
        <v>23378.98</v>
      </c>
      <c r="J861" s="15">
        <f>I861-H861</f>
        <v>0</v>
      </c>
      <c r="K861" t="s" s="14">
        <v>17</v>
      </c>
      <c r="L861" s="20"/>
      <c r="M861" s="16"/>
      <c r="N861" s="20"/>
      <c r="O861" t="s" s="17">
        <v>24</v>
      </c>
    </row>
    <row r="862" ht="30.45" customHeight="1" hidden="1">
      <c r="A862" t="s" s="17">
        <v>49</v>
      </c>
      <c r="B862" t="s" s="5">
        <v>47</v>
      </c>
      <c r="C862" t="s" s="18">
        <v>1535</v>
      </c>
      <c r="D862" t="s" s="7">
        <v>1533</v>
      </c>
      <c r="E862" s="8">
        <v>45527</v>
      </c>
      <c r="F862" t="s" s="10">
        <v>1558</v>
      </c>
      <c r="G862" t="s" s="10">
        <v>1559</v>
      </c>
      <c r="H862" s="15">
        <v>24632.94</v>
      </c>
      <c r="I862" s="12">
        <v>24632.94</v>
      </c>
      <c r="J862" s="15">
        <f>I862-H862</f>
        <v>0</v>
      </c>
      <c r="K862" t="s" s="14">
        <v>24</v>
      </c>
      <c r="L862" s="20"/>
      <c r="M862" s="8"/>
      <c r="N862" s="20"/>
      <c r="O862" t="s" s="17">
        <v>24</v>
      </c>
    </row>
    <row r="863" ht="30.45" customHeight="1" hidden="1">
      <c r="A863" t="s" s="21">
        <v>49</v>
      </c>
      <c r="B863" t="s" s="5">
        <v>47</v>
      </c>
      <c r="C863" t="s" s="18">
        <v>1535</v>
      </c>
      <c r="D863" t="s" s="7">
        <v>1533</v>
      </c>
      <c r="E863" s="8">
        <v>45950</v>
      </c>
      <c r="F863" t="s" s="10">
        <v>1560</v>
      </c>
      <c r="G863" t="s" s="10">
        <v>1561</v>
      </c>
      <c r="H863" s="19">
        <v>21012.91</v>
      </c>
      <c r="I863" s="12">
        <v>21012.91</v>
      </c>
      <c r="J863" s="15">
        <f>I863-H863</f>
        <v>0</v>
      </c>
      <c r="K863" t="s" s="14">
        <v>17</v>
      </c>
      <c r="L863" s="20"/>
      <c r="M863" s="8"/>
      <c r="N863" s="20"/>
      <c r="O863" t="s" s="17">
        <v>24</v>
      </c>
    </row>
    <row r="864" ht="30.45" customHeight="1" hidden="1">
      <c r="A864" t="s" s="21">
        <v>49</v>
      </c>
      <c r="B864" t="s" s="5">
        <v>47</v>
      </c>
      <c r="C864" t="s" s="18">
        <v>1535</v>
      </c>
      <c r="D864" t="s" s="7">
        <v>1533</v>
      </c>
      <c r="E864" s="8">
        <v>45950</v>
      </c>
      <c r="F864" t="s" s="10">
        <v>1562</v>
      </c>
      <c r="G864" s="10"/>
      <c r="H864" s="19">
        <v>2367.6</v>
      </c>
      <c r="I864" s="12">
        <v>2367.6</v>
      </c>
      <c r="J864" s="15">
        <f>I864-H864</f>
        <v>0</v>
      </c>
      <c r="K864" t="s" s="14">
        <v>17</v>
      </c>
      <c r="L864" s="20"/>
      <c r="M864" s="8"/>
      <c r="N864" s="20"/>
      <c r="O864" t="s" s="17">
        <v>24</v>
      </c>
    </row>
    <row r="865" ht="30.45" customHeight="1" hidden="1">
      <c r="A865" t="s" s="17">
        <v>39</v>
      </c>
      <c r="B865" t="s" s="5">
        <v>97</v>
      </c>
      <c r="C865" t="s" s="23">
        <v>1535</v>
      </c>
      <c r="D865" t="s" s="7">
        <v>1533</v>
      </c>
      <c r="E865" s="25">
        <v>45379</v>
      </c>
      <c r="F865" s="9">
        <v>4704</v>
      </c>
      <c r="G865" t="s" s="10">
        <v>1563</v>
      </c>
      <c r="H865" s="31">
        <v>59231.2</v>
      </c>
      <c r="I865" s="12">
        <v>59231.2</v>
      </c>
      <c r="J865" s="15">
        <f>I865-H865</f>
        <v>0</v>
      </c>
      <c r="K865" t="s" s="14">
        <v>17</v>
      </c>
      <c r="L865" s="15"/>
      <c r="M865" s="16"/>
      <c r="N865" s="20"/>
      <c r="O865" t="s" s="17">
        <v>24</v>
      </c>
    </row>
    <row r="866" ht="30.45" customHeight="1" hidden="1">
      <c r="A866" t="s" s="17">
        <v>20</v>
      </c>
      <c r="B866" t="s" s="5">
        <v>97</v>
      </c>
      <c r="C866" t="s" s="23">
        <v>1535</v>
      </c>
      <c r="D866" t="s" s="7">
        <v>1533</v>
      </c>
      <c r="E866" s="25">
        <v>45513</v>
      </c>
      <c r="F866" t="s" s="10">
        <v>1564</v>
      </c>
      <c r="G866" t="s" s="10">
        <v>1565</v>
      </c>
      <c r="H866" s="19">
        <v>67343.8</v>
      </c>
      <c r="I866" s="12">
        <v>67343.8</v>
      </c>
      <c r="J866" s="13">
        <f>I866-H866</f>
        <v>0</v>
      </c>
      <c r="K866" t="s" s="14">
        <v>17</v>
      </c>
      <c r="L866" s="20"/>
      <c r="M866" s="27">
        <v>45579</v>
      </c>
      <c r="N866" s="20"/>
      <c r="O866" t="s" s="17">
        <v>24</v>
      </c>
    </row>
    <row r="867" ht="30.45" customHeight="1" hidden="1">
      <c r="A867" t="s" s="17">
        <v>20</v>
      </c>
      <c r="B867" t="s" s="5">
        <v>97</v>
      </c>
      <c r="C867" t="s" s="23">
        <v>1535</v>
      </c>
      <c r="D867" t="s" s="7">
        <v>1533</v>
      </c>
      <c r="E867" s="25">
        <v>45544</v>
      </c>
      <c r="F867" t="s" s="10">
        <v>1566</v>
      </c>
      <c r="G867" t="s" s="10">
        <v>1567</v>
      </c>
      <c r="H867" s="19">
        <v>59164.1</v>
      </c>
      <c r="I867" s="12">
        <v>59164.1</v>
      </c>
      <c r="J867" s="13">
        <f>I867-H867</f>
        <v>0</v>
      </c>
      <c r="K867" t="s" s="14">
        <v>24</v>
      </c>
      <c r="L867" s="20"/>
      <c r="M867" s="16"/>
      <c r="N867" s="20"/>
      <c r="O867" t="s" s="17">
        <v>24</v>
      </c>
    </row>
    <row r="868" ht="30.45" customHeight="1" hidden="1">
      <c r="A868" t="s" s="21">
        <v>39</v>
      </c>
      <c r="B868" t="s" s="5">
        <v>97</v>
      </c>
      <c r="C868" t="s" s="23">
        <v>1535</v>
      </c>
      <c r="D868" t="s" s="7">
        <v>1533</v>
      </c>
      <c r="E868" s="25">
        <v>45595</v>
      </c>
      <c r="F868" t="s" s="10">
        <v>1568</v>
      </c>
      <c r="G868" t="s" s="10">
        <v>1569</v>
      </c>
      <c r="H868" s="19">
        <v>56651.5</v>
      </c>
      <c r="I868" s="12">
        <v>56651.5</v>
      </c>
      <c r="J868" s="13">
        <f>I868-H868</f>
        <v>0</v>
      </c>
      <c r="K868" t="s" s="14">
        <v>17</v>
      </c>
      <c r="L868" s="20"/>
      <c r="M868" s="8">
        <v>45716</v>
      </c>
      <c r="N868" s="20"/>
      <c r="O868" t="s" s="17">
        <v>24</v>
      </c>
    </row>
    <row r="869" ht="30.45" customHeight="1" hidden="1">
      <c r="A869" t="s" s="21">
        <v>39</v>
      </c>
      <c r="B869" t="s" s="5">
        <v>97</v>
      </c>
      <c r="C869" t="s" s="23">
        <v>1535</v>
      </c>
      <c r="D869" t="s" s="7">
        <v>1533</v>
      </c>
      <c r="E869" s="25">
        <v>45623</v>
      </c>
      <c r="F869" t="s" s="10">
        <v>1570</v>
      </c>
      <c r="G869" t="s" s="10">
        <v>1571</v>
      </c>
      <c r="H869" s="19">
        <v>65448.8</v>
      </c>
      <c r="I869" s="12">
        <v>65448.8</v>
      </c>
      <c r="J869" s="13">
        <f>I869-H869</f>
        <v>0</v>
      </c>
      <c r="K869" t="s" s="14">
        <v>17</v>
      </c>
      <c r="L869" s="20"/>
      <c r="M869" s="8">
        <v>45714</v>
      </c>
      <c r="N869" s="20"/>
      <c r="O869" t="s" s="17">
        <v>24</v>
      </c>
    </row>
    <row r="870" ht="30.45" customHeight="1" hidden="1">
      <c r="A870" t="s" s="17">
        <v>39</v>
      </c>
      <c r="B870" t="s" s="5">
        <v>97</v>
      </c>
      <c r="C870" t="s" s="18">
        <v>1535</v>
      </c>
      <c r="D870" t="s" s="7">
        <v>1533</v>
      </c>
      <c r="E870" s="25">
        <v>45709</v>
      </c>
      <c r="F870" t="s" s="10">
        <v>1572</v>
      </c>
      <c r="G870" t="s" s="10">
        <v>1573</v>
      </c>
      <c r="H870" s="19">
        <v>68946.5</v>
      </c>
      <c r="I870" s="12">
        <v>68946.5</v>
      </c>
      <c r="J870" s="13">
        <f>I870-H870</f>
        <v>0</v>
      </c>
      <c r="K870" t="s" s="14">
        <v>17</v>
      </c>
      <c r="L870" s="20"/>
      <c r="M870" s="16"/>
      <c r="N870" s="20"/>
      <c r="O870" t="s" s="17">
        <v>24</v>
      </c>
    </row>
    <row r="871" ht="30.45" customHeight="1" hidden="1">
      <c r="A871" t="s" s="17">
        <v>39</v>
      </c>
      <c r="B871" t="s" s="5">
        <v>97</v>
      </c>
      <c r="C871" t="s" s="23">
        <v>1535</v>
      </c>
      <c r="D871" t="s" s="7">
        <v>1533</v>
      </c>
      <c r="E871" s="25">
        <v>45749</v>
      </c>
      <c r="F871" t="s" s="10">
        <v>1574</v>
      </c>
      <c r="G871" t="s" s="10">
        <v>1575</v>
      </c>
      <c r="H871" s="19">
        <v>49268</v>
      </c>
      <c r="I871" s="12">
        <v>49268</v>
      </c>
      <c r="J871" s="13">
        <f>I871-H871</f>
        <v>0</v>
      </c>
      <c r="K871" t="s" s="14">
        <v>17</v>
      </c>
      <c r="L871" s="20"/>
      <c r="M871" s="16"/>
      <c r="N871" s="20"/>
      <c r="O871" t="s" s="17">
        <v>24</v>
      </c>
    </row>
    <row r="872" ht="30.45" customHeight="1" hidden="1">
      <c r="A872" t="s" s="21">
        <v>39</v>
      </c>
      <c r="B872" t="s" s="5">
        <v>97</v>
      </c>
      <c r="C872" t="s" s="23">
        <v>1535</v>
      </c>
      <c r="D872" t="s" s="7">
        <v>1533</v>
      </c>
      <c r="E872" s="25">
        <v>45793</v>
      </c>
      <c r="F872" t="s" s="10">
        <v>1576</v>
      </c>
      <c r="G872" t="s" s="10">
        <v>1577</v>
      </c>
      <c r="H872" s="19">
        <v>40720.6</v>
      </c>
      <c r="I872" s="12">
        <v>40720.6</v>
      </c>
      <c r="J872" s="13">
        <f>I872-H872</f>
        <v>0</v>
      </c>
      <c r="K872" t="s" s="14">
        <v>17</v>
      </c>
      <c r="L872" s="20"/>
      <c r="M872" s="16"/>
      <c r="N872" s="20"/>
      <c r="O872" t="s" s="17">
        <v>24</v>
      </c>
    </row>
    <row r="873" ht="30.45" customHeight="1" hidden="1">
      <c r="A873" t="s" s="21">
        <v>39</v>
      </c>
      <c r="B873" t="s" s="5">
        <v>97</v>
      </c>
      <c r="C873" t="s" s="23">
        <v>1535</v>
      </c>
      <c r="D873" t="s" s="7">
        <v>1533</v>
      </c>
      <c r="E873" s="25">
        <v>45856</v>
      </c>
      <c r="F873" t="s" s="10">
        <v>1578</v>
      </c>
      <c r="G873" t="s" s="10">
        <v>1579</v>
      </c>
      <c r="H873" s="19">
        <v>42472.4</v>
      </c>
      <c r="I873" s="12">
        <v>42472.4</v>
      </c>
      <c r="J873" s="13">
        <f>I873-H873</f>
        <v>0</v>
      </c>
      <c r="K873" t="s" s="14">
        <v>17</v>
      </c>
      <c r="L873" s="20"/>
      <c r="M873" s="16"/>
      <c r="N873" s="20"/>
      <c r="O873" t="s" s="17">
        <v>24</v>
      </c>
    </row>
    <row r="874" ht="30.45" customHeight="1" hidden="1">
      <c r="A874" t="s" s="4">
        <v>39</v>
      </c>
      <c r="B874" t="s" s="5">
        <v>97</v>
      </c>
      <c r="C874" t="s" s="18">
        <v>1535</v>
      </c>
      <c r="D874" t="s" s="7">
        <v>1533</v>
      </c>
      <c r="E874" s="25">
        <v>45996</v>
      </c>
      <c r="F874" t="s" s="10">
        <v>1580</v>
      </c>
      <c r="G874" t="s" s="10">
        <v>1581</v>
      </c>
      <c r="H874" s="19">
        <v>43978.4</v>
      </c>
      <c r="I874" s="12">
        <f>H874</f>
        <v>43978.4</v>
      </c>
      <c r="J874" s="13">
        <f>I874-H874</f>
        <v>0</v>
      </c>
      <c r="K874" t="s" s="14">
        <v>17</v>
      </c>
      <c r="L874" s="20"/>
      <c r="M874" s="16"/>
      <c r="N874" s="20"/>
      <c r="O874" t="s" s="17">
        <v>24</v>
      </c>
    </row>
    <row r="875" ht="30.45" customHeight="1" hidden="1">
      <c r="A875" t="s" s="21">
        <v>39</v>
      </c>
      <c r="B875" t="s" s="5">
        <v>61</v>
      </c>
      <c r="C875" t="s" s="23">
        <v>1535</v>
      </c>
      <c r="D875" t="s" s="7">
        <v>1533</v>
      </c>
      <c r="E875" s="25">
        <v>45668</v>
      </c>
      <c r="F875" t="s" s="10">
        <v>1582</v>
      </c>
      <c r="G875" t="s" s="10">
        <v>1583</v>
      </c>
      <c r="H875" s="31">
        <v>5275.75</v>
      </c>
      <c r="I875" s="12">
        <v>5275.75</v>
      </c>
      <c r="J875" s="15">
        <f>I875-H875</f>
        <v>0</v>
      </c>
      <c r="K875" t="s" s="14">
        <v>17</v>
      </c>
      <c r="L875" s="15"/>
      <c r="M875" s="16"/>
      <c r="N875" s="20"/>
      <c r="O875" t="s" s="17">
        <v>24</v>
      </c>
    </row>
    <row r="876" ht="30.45" customHeight="1" hidden="1">
      <c r="A876" t="s" s="21">
        <v>39</v>
      </c>
      <c r="B876" t="s" s="5">
        <v>61</v>
      </c>
      <c r="C876" t="s" s="18">
        <v>1535</v>
      </c>
      <c r="D876" t="s" s="7">
        <v>1533</v>
      </c>
      <c r="E876" s="8">
        <v>46108</v>
      </c>
      <c r="F876" t="s" s="10">
        <v>1584</v>
      </c>
      <c r="G876" t="s" s="10">
        <v>1585</v>
      </c>
      <c r="H876" s="31">
        <v>38281.25</v>
      </c>
      <c r="I876" s="12">
        <f>H876</f>
        <v>38281.25</v>
      </c>
      <c r="J876" s="15">
        <f>I876-H876</f>
        <v>0</v>
      </c>
      <c r="K876" t="s" s="14">
        <v>17</v>
      </c>
      <c r="L876" s="20"/>
      <c r="M876" s="16"/>
      <c r="N876" s="20"/>
      <c r="O876" t="s" s="17">
        <v>24</v>
      </c>
    </row>
    <row r="877" ht="30.45" customHeight="1" hidden="1">
      <c r="A877" t="s" s="21">
        <v>20</v>
      </c>
      <c r="B877" t="s" s="5">
        <v>30</v>
      </c>
      <c r="C877" t="s" s="23">
        <v>1586</v>
      </c>
      <c r="D877" t="s" s="7">
        <v>151</v>
      </c>
      <c r="E877" s="8">
        <v>45821</v>
      </c>
      <c r="F877" s="16"/>
      <c r="G877" t="s" s="10">
        <v>1587</v>
      </c>
      <c r="H877" s="19">
        <v>11846</v>
      </c>
      <c r="I877" s="12">
        <v>11846</v>
      </c>
      <c r="J877" s="13">
        <f>I877-H877</f>
        <v>0</v>
      </c>
      <c r="K877" t="s" s="14">
        <v>153</v>
      </c>
      <c r="L877" s="20"/>
      <c r="M877" s="16"/>
      <c r="N877" s="20"/>
      <c r="O877" t="s" s="17">
        <v>24</v>
      </c>
    </row>
    <row r="878" ht="30.45" customHeight="1" hidden="1">
      <c r="A878" t="s" s="17">
        <v>39</v>
      </c>
      <c r="B878" t="s" s="5">
        <v>30</v>
      </c>
      <c r="C878" t="s" s="18">
        <v>1588</v>
      </c>
      <c r="D878" t="s" s="7">
        <v>1270</v>
      </c>
      <c r="E878" s="8">
        <v>45352</v>
      </c>
      <c r="F878" s="16"/>
      <c r="G878" s="9">
        <v>1903</v>
      </c>
      <c r="H878" s="19">
        <v>22395</v>
      </c>
      <c r="I878" s="12">
        <v>22395</v>
      </c>
      <c r="J878" s="15"/>
      <c r="K878" t="s" s="14">
        <v>386</v>
      </c>
      <c r="L878" s="15"/>
      <c r="M878" s="43">
        <v>45387</v>
      </c>
      <c r="N878" t="s" s="10">
        <v>1589</v>
      </c>
      <c r="O878" t="s" s="17">
        <v>24</v>
      </c>
    </row>
    <row r="879" ht="30.45" customHeight="1" hidden="1">
      <c r="A879" t="s" s="21">
        <v>20</v>
      </c>
      <c r="B879" t="s" s="5">
        <v>97</v>
      </c>
      <c r="C879" t="s" s="18">
        <v>1588</v>
      </c>
      <c r="D879" t="s" s="7">
        <v>1270</v>
      </c>
      <c r="E879" s="25">
        <v>45793</v>
      </c>
      <c r="F879" t="s" s="10">
        <v>1590</v>
      </c>
      <c r="G879" t="s" s="10">
        <v>1591</v>
      </c>
      <c r="H879" s="19">
        <v>32240.9</v>
      </c>
      <c r="I879" s="12">
        <v>32240.9</v>
      </c>
      <c r="J879" s="13">
        <f>I879-H879</f>
        <v>0</v>
      </c>
      <c r="K879" t="s" s="14">
        <v>386</v>
      </c>
      <c r="L879" s="20"/>
      <c r="M879" s="16"/>
      <c r="N879" t="s" s="63">
        <v>982</v>
      </c>
      <c r="O879" t="s" s="17">
        <v>24</v>
      </c>
    </row>
    <row r="880" ht="30.45" customHeight="1" hidden="1">
      <c r="A880" t="s" s="17">
        <v>39</v>
      </c>
      <c r="B880" t="s" s="5">
        <v>21</v>
      </c>
      <c r="C880" t="s" s="18">
        <v>1592</v>
      </c>
      <c r="D880" t="s" s="7">
        <v>1593</v>
      </c>
      <c r="E880" s="8">
        <v>45576</v>
      </c>
      <c r="F880" t="s" s="10">
        <v>1594</v>
      </c>
      <c r="G880" t="s" s="10">
        <v>1595</v>
      </c>
      <c r="H880" s="19">
        <v>6742.74</v>
      </c>
      <c r="I880" s="12">
        <v>6742.74</v>
      </c>
      <c r="J880" s="13">
        <f>I880-H880</f>
        <v>0</v>
      </c>
      <c r="K880" t="s" s="14">
        <v>84</v>
      </c>
      <c r="L880" s="20"/>
      <c r="M880" s="16"/>
      <c r="N880" s="20"/>
      <c r="O880" t="s" s="17">
        <v>24</v>
      </c>
    </row>
    <row r="881" ht="30.45" customHeight="1" hidden="1">
      <c r="A881" t="s" s="17">
        <v>39</v>
      </c>
      <c r="B881" t="s" s="5">
        <v>79</v>
      </c>
      <c r="C881" t="s" s="18">
        <v>1592</v>
      </c>
      <c r="D881" t="s" s="7">
        <v>1593</v>
      </c>
      <c r="E881" s="25">
        <v>45502</v>
      </c>
      <c r="F881" t="s" s="10">
        <v>82</v>
      </c>
      <c r="G881" t="s" s="10">
        <v>1596</v>
      </c>
      <c r="H881" s="19">
        <v>36088.8</v>
      </c>
      <c r="I881" s="12">
        <v>36088.8</v>
      </c>
      <c r="J881" s="26">
        <f>I881-H881</f>
        <v>0</v>
      </c>
      <c r="K881" t="s" s="14">
        <v>84</v>
      </c>
      <c r="L881" s="20"/>
      <c r="M881" s="16"/>
      <c r="N881" t="s" s="81">
        <v>328</v>
      </c>
      <c r="O881" t="s" s="17">
        <v>24</v>
      </c>
    </row>
    <row r="882" ht="30.45" customHeight="1" hidden="1">
      <c r="A882" t="s" s="17">
        <v>39</v>
      </c>
      <c r="B882" t="s" s="5">
        <v>30</v>
      </c>
      <c r="C882" t="s" s="18">
        <v>1592</v>
      </c>
      <c r="D882" t="s" s="7">
        <v>1593</v>
      </c>
      <c r="E882" s="8">
        <v>45323</v>
      </c>
      <c r="F882" s="16"/>
      <c r="G882" s="9">
        <v>1809</v>
      </c>
      <c r="H882" s="29">
        <v>27332</v>
      </c>
      <c r="I882" s="42"/>
      <c r="J882" s="15"/>
      <c r="K882" t="s" s="14">
        <v>84</v>
      </c>
      <c r="L882" s="20"/>
      <c r="M882" t="s" s="10">
        <v>142</v>
      </c>
      <c r="N882" t="s" s="10">
        <v>1009</v>
      </c>
      <c r="O882" t="s" s="17">
        <v>24</v>
      </c>
    </row>
    <row r="883" ht="30.45" customHeight="1" hidden="1">
      <c r="A883" t="s" s="17">
        <v>39</v>
      </c>
      <c r="B883" t="s" s="5">
        <v>30</v>
      </c>
      <c r="C883" t="s" s="23">
        <v>1592</v>
      </c>
      <c r="D883" t="s" s="7">
        <v>1593</v>
      </c>
      <c r="E883" s="8">
        <v>45516</v>
      </c>
      <c r="F883" s="16"/>
      <c r="G883" t="s" s="10">
        <v>1597</v>
      </c>
      <c r="H883" s="19">
        <v>9478</v>
      </c>
      <c r="I883" s="12">
        <v>9478</v>
      </c>
      <c r="J883" s="13">
        <f>I883-H883</f>
        <v>0</v>
      </c>
      <c r="K883" t="s" s="14">
        <v>84</v>
      </c>
      <c r="L883" s="20"/>
      <c r="M883" s="16"/>
      <c r="N883" s="20"/>
      <c r="O883" t="s" s="17">
        <v>24</v>
      </c>
    </row>
    <row r="884" ht="30.45" customHeight="1" hidden="1">
      <c r="A884" t="s" s="17">
        <v>39</v>
      </c>
      <c r="B884" t="s" s="5">
        <v>47</v>
      </c>
      <c r="C884" t="s" s="28">
        <v>1592</v>
      </c>
      <c r="D884" t="s" s="7">
        <v>1593</v>
      </c>
      <c r="E884" s="27">
        <v>45240</v>
      </c>
      <c r="F884" s="9">
        <v>953</v>
      </c>
      <c r="G884" t="s" s="10">
        <v>1598</v>
      </c>
      <c r="H884" s="26">
        <v>14722.93</v>
      </c>
      <c r="I884" s="12">
        <v>20622.8</v>
      </c>
      <c r="J884" s="29">
        <f>I884-H884</f>
        <v>5899.87</v>
      </c>
      <c r="K884" t="s" s="14">
        <v>84</v>
      </c>
      <c r="L884" s="15"/>
      <c r="M884" s="8">
        <v>45269</v>
      </c>
      <c r="N884" t="s" s="59">
        <v>1599</v>
      </c>
      <c r="O884" t="s" s="17">
        <v>24</v>
      </c>
    </row>
    <row r="885" ht="30.45" customHeight="1" hidden="1">
      <c r="A885" t="s" s="21">
        <v>20</v>
      </c>
      <c r="B885" t="s" s="5">
        <v>633</v>
      </c>
      <c r="C885" t="s" s="23">
        <v>1600</v>
      </c>
      <c r="D885" t="s" s="7">
        <v>749</v>
      </c>
      <c r="E885" s="8">
        <v>45926</v>
      </c>
      <c r="F885" t="s" s="10">
        <v>850</v>
      </c>
      <c r="G885" t="s" s="10">
        <v>1601</v>
      </c>
      <c r="H885" s="19">
        <v>43640.98</v>
      </c>
      <c r="I885" s="12">
        <v>43640.38</v>
      </c>
      <c r="J885" s="13">
        <f>I885-H885</f>
        <v>-0.6</v>
      </c>
      <c r="K885" t="s" s="14">
        <v>306</v>
      </c>
      <c r="L885" s="20"/>
      <c r="M885" s="16"/>
      <c r="N885" s="20"/>
      <c r="O885" t="s" s="17">
        <v>24</v>
      </c>
    </row>
    <row r="886" ht="30.45" customHeight="1" hidden="1">
      <c r="A886" t="s" s="17">
        <v>39</v>
      </c>
      <c r="B886" t="s" s="5">
        <v>47</v>
      </c>
      <c r="C886" t="s" s="28">
        <v>1600</v>
      </c>
      <c r="D886" t="s" s="7">
        <v>749</v>
      </c>
      <c r="E886" s="8">
        <v>45912</v>
      </c>
      <c r="F886" t="s" s="10">
        <v>1602</v>
      </c>
      <c r="G886" t="s" s="10">
        <v>1603</v>
      </c>
      <c r="H886" s="50">
        <v>10515.91</v>
      </c>
      <c r="I886" s="12">
        <v>10515.91</v>
      </c>
      <c r="J886" s="15">
        <f>I886-H886</f>
        <v>0</v>
      </c>
      <c r="K886" t="s" s="14">
        <v>306</v>
      </c>
      <c r="L886" s="20"/>
      <c r="M886" s="8"/>
      <c r="N886" s="20"/>
      <c r="O886" t="s" s="17">
        <v>24</v>
      </c>
    </row>
    <row r="887" ht="30.45" customHeight="1" hidden="1">
      <c r="A887" t="s" s="4">
        <v>39</v>
      </c>
      <c r="B887" t="s" s="5">
        <v>61</v>
      </c>
      <c r="C887" t="s" s="18">
        <v>1600</v>
      </c>
      <c r="D887" t="s" s="7">
        <v>749</v>
      </c>
      <c r="E887" s="41">
        <v>46008</v>
      </c>
      <c r="F887" t="s" s="10">
        <v>1604</v>
      </c>
      <c r="G887" t="s" s="10">
        <v>1605</v>
      </c>
      <c r="H887" s="31">
        <v>51262.56</v>
      </c>
      <c r="I887" s="112">
        <v>51262</v>
      </c>
      <c r="J887" s="15">
        <f>I887-H887</f>
        <v>-0.5600000000000001</v>
      </c>
      <c r="K887" t="s" s="14">
        <v>306</v>
      </c>
      <c r="L887" s="15"/>
      <c r="M887" s="16"/>
      <c r="N887" s="20"/>
      <c r="O887" t="s" s="17">
        <v>24</v>
      </c>
    </row>
    <row r="888" ht="30.45" customHeight="1" hidden="1">
      <c r="A888" t="s" s="4">
        <v>39</v>
      </c>
      <c r="B888" t="s" s="5">
        <v>61</v>
      </c>
      <c r="C888" t="s" s="18">
        <v>1600</v>
      </c>
      <c r="D888" t="s" s="7">
        <v>749</v>
      </c>
      <c r="E888" s="8">
        <v>46030</v>
      </c>
      <c r="F888" t="s" s="10">
        <v>1606</v>
      </c>
      <c r="G888" t="s" s="10">
        <v>1605</v>
      </c>
      <c r="H888" s="31">
        <v>59634.384</v>
      </c>
      <c r="I888" s="12">
        <v>59634.384</v>
      </c>
      <c r="J888" s="15">
        <f>I888-H888</f>
        <v>0</v>
      </c>
      <c r="K888" t="s" s="14">
        <v>306</v>
      </c>
      <c r="L888" s="20"/>
      <c r="M888" s="16"/>
      <c r="N888" s="20"/>
      <c r="O888" t="s" s="17">
        <v>24</v>
      </c>
    </row>
    <row r="889" ht="30.45" customHeight="1" hidden="1">
      <c r="A889" t="s" s="17">
        <v>39</v>
      </c>
      <c r="B889" t="s" s="5">
        <v>40</v>
      </c>
      <c r="C889" t="s" s="18">
        <v>1607</v>
      </c>
      <c r="D889" t="s" s="7">
        <v>884</v>
      </c>
      <c r="E889" s="25">
        <v>45205</v>
      </c>
      <c r="F889" s="9">
        <v>367</v>
      </c>
      <c r="G889" t="s" s="10">
        <v>1608</v>
      </c>
      <c r="H889" s="26">
        <v>30998.47</v>
      </c>
      <c r="I889" s="26"/>
      <c r="J889" s="15"/>
      <c r="K889" t="s" s="14">
        <v>887</v>
      </c>
      <c r="L889" s="15"/>
      <c r="M889" s="27">
        <v>45241</v>
      </c>
      <c r="N889" s="16"/>
      <c r="O889" t="s" s="17">
        <v>24</v>
      </c>
    </row>
    <row r="890" ht="30.45" customHeight="1" hidden="1">
      <c r="A890" t="s" s="17">
        <v>39</v>
      </c>
      <c r="B890" t="s" s="5">
        <v>40</v>
      </c>
      <c r="C890" t="s" s="18">
        <v>1607</v>
      </c>
      <c r="D890" t="s" s="7">
        <v>884</v>
      </c>
      <c r="E890" s="25">
        <v>45244</v>
      </c>
      <c r="F890" s="9">
        <v>401</v>
      </c>
      <c r="G890" t="s" s="10">
        <v>1609</v>
      </c>
      <c r="H890" s="26">
        <v>14808.77</v>
      </c>
      <c r="I890" s="12">
        <v>14809</v>
      </c>
      <c r="J890" s="15">
        <f>I890-H890</f>
        <v>0.23</v>
      </c>
      <c r="K890" t="s" s="14">
        <v>887</v>
      </c>
      <c r="L890" s="15"/>
      <c r="M890" s="27">
        <v>45281</v>
      </c>
      <c r="N890" s="16"/>
      <c r="O890" t="s" s="17">
        <v>24</v>
      </c>
    </row>
    <row r="891" ht="30.45" customHeight="1" hidden="1">
      <c r="A891" t="s" s="17">
        <v>49</v>
      </c>
      <c r="B891" t="s" s="5">
        <v>40</v>
      </c>
      <c r="C891" t="s" s="18">
        <v>1607</v>
      </c>
      <c r="D891" t="s" s="7">
        <v>884</v>
      </c>
      <c r="E891" s="25">
        <v>45365</v>
      </c>
      <c r="F891" t="s" s="10">
        <v>1610</v>
      </c>
      <c r="G891" t="s" s="10">
        <v>1611</v>
      </c>
      <c r="H891" s="15">
        <v>28335.24</v>
      </c>
      <c r="I891" s="29">
        <v>28335.2</v>
      </c>
      <c r="J891" s="15">
        <f>I891-H891</f>
        <v>-0.04</v>
      </c>
      <c r="K891" t="s" s="14">
        <v>887</v>
      </c>
      <c r="L891" s="15"/>
      <c r="M891" s="8">
        <v>45402</v>
      </c>
      <c r="N891" s="16"/>
      <c r="O891" t="s" s="17">
        <v>24</v>
      </c>
    </row>
    <row r="892" ht="30.45" customHeight="1" hidden="1">
      <c r="A892" t="s" s="17">
        <v>20</v>
      </c>
      <c r="B892" t="s" s="5">
        <v>40</v>
      </c>
      <c r="C892" t="s" s="18">
        <v>1607</v>
      </c>
      <c r="D892" t="s" s="7">
        <v>884</v>
      </c>
      <c r="E892" s="8">
        <v>45449</v>
      </c>
      <c r="F892" t="s" s="10">
        <v>1612</v>
      </c>
      <c r="G892" t="s" s="10">
        <v>1613</v>
      </c>
      <c r="H892" s="15">
        <v>16035.68</v>
      </c>
      <c r="I892" s="12">
        <v>16035.68</v>
      </c>
      <c r="J892" s="15">
        <f>I892-H892</f>
        <v>0</v>
      </c>
      <c r="K892" t="s" s="14">
        <v>887</v>
      </c>
      <c r="L892" s="15"/>
      <c r="M892" s="8">
        <v>45484</v>
      </c>
      <c r="N892" s="20"/>
      <c r="O892" t="s" s="17">
        <v>24</v>
      </c>
    </row>
    <row r="893" ht="30.45" customHeight="1" hidden="1">
      <c r="A893" t="s" s="30">
        <v>49</v>
      </c>
      <c r="B893" t="s" s="5">
        <v>40</v>
      </c>
      <c r="C893" t="s" s="28">
        <v>1607</v>
      </c>
      <c r="D893" t="s" s="7">
        <v>884</v>
      </c>
      <c r="E893" s="8">
        <v>45553</v>
      </c>
      <c r="F893" t="s" s="10">
        <v>1614</v>
      </c>
      <c r="G893" t="s" s="10">
        <v>1615</v>
      </c>
      <c r="H893" s="29">
        <v>33618.81</v>
      </c>
      <c r="I893" s="12">
        <v>33618.76</v>
      </c>
      <c r="J893" s="15">
        <f>I893-H893</f>
        <v>-0.05</v>
      </c>
      <c r="K893" t="s" s="14">
        <v>887</v>
      </c>
      <c r="L893" s="20"/>
      <c r="M893" s="16"/>
      <c r="N893" s="20"/>
      <c r="O893" t="s" s="17">
        <v>24</v>
      </c>
    </row>
    <row r="894" ht="30.45" customHeight="1" hidden="1">
      <c r="A894" t="s" s="17">
        <v>96</v>
      </c>
      <c r="B894" t="s" s="5">
        <v>61</v>
      </c>
      <c r="C894" t="s" s="6">
        <v>1616</v>
      </c>
      <c r="D894" s="92"/>
      <c r="E894" s="8">
        <v>45134</v>
      </c>
      <c r="F894" s="16"/>
      <c r="G894" s="16"/>
      <c r="H894" s="93"/>
      <c r="I894" s="16"/>
      <c r="J894" s="13">
        <f>I894-H894</f>
        <v>0</v>
      </c>
      <c r="K894" t="s" s="14">
        <v>24</v>
      </c>
      <c r="L894" s="20"/>
      <c r="M894" s="16"/>
      <c r="N894" t="s" s="14">
        <v>1617</v>
      </c>
      <c r="O894" t="s" s="17">
        <v>19</v>
      </c>
    </row>
    <row r="895" ht="30.45" customHeight="1" hidden="1">
      <c r="A895" t="s" s="30">
        <v>599</v>
      </c>
      <c r="B895" t="s" s="5">
        <v>633</v>
      </c>
      <c r="C895" t="s" s="28">
        <v>1618</v>
      </c>
      <c r="D895" t="s" s="7">
        <v>689</v>
      </c>
      <c r="E895" s="8">
        <v>46000</v>
      </c>
      <c r="F895" t="s" s="10">
        <v>1619</v>
      </c>
      <c r="G895" t="s" s="10">
        <v>1620</v>
      </c>
      <c r="H895" s="50">
        <v>45526.13</v>
      </c>
      <c r="I895" s="12">
        <v>45521</v>
      </c>
      <c r="J895" s="13">
        <f>I895-H895</f>
        <v>-5.13</v>
      </c>
      <c r="K895" t="s" s="14">
        <v>84</v>
      </c>
      <c r="L895" s="20"/>
      <c r="M895" s="16"/>
      <c r="N895" s="20"/>
      <c r="O895" t="s" s="17">
        <v>19</v>
      </c>
    </row>
    <row r="896" ht="30.45" customHeight="1" hidden="1">
      <c r="A896" t="s" s="75">
        <v>49</v>
      </c>
      <c r="B896" t="s" s="5">
        <v>633</v>
      </c>
      <c r="C896" t="s" s="18">
        <v>1618</v>
      </c>
      <c r="D896" t="s" s="7">
        <v>689</v>
      </c>
      <c r="E896" s="8">
        <v>46086</v>
      </c>
      <c r="F896" t="s" s="10">
        <v>1182</v>
      </c>
      <c r="G896" t="s" s="10">
        <v>1621</v>
      </c>
      <c r="H896" s="19">
        <v>26634.1</v>
      </c>
      <c r="I896" s="12">
        <v>25584.44</v>
      </c>
      <c r="J896" s="13">
        <f>I896-H896</f>
        <v>-1049.66</v>
      </c>
      <c r="K896" t="s" s="14">
        <v>84</v>
      </c>
      <c r="L896" s="20"/>
      <c r="M896" s="16"/>
      <c r="N896" s="20"/>
      <c r="O896" t="s" s="17">
        <v>24</v>
      </c>
    </row>
    <row r="897" ht="30.45" customHeight="1" hidden="1">
      <c r="A897" t="s" s="17">
        <v>49</v>
      </c>
      <c r="B897" t="s" s="5">
        <v>633</v>
      </c>
      <c r="C897" t="s" s="28">
        <v>1622</v>
      </c>
      <c r="D897" t="s" s="7">
        <v>888</v>
      </c>
      <c r="E897" s="8">
        <v>45834</v>
      </c>
      <c r="F897" t="s" s="10">
        <v>1623</v>
      </c>
      <c r="G897" t="s" s="10">
        <v>1624</v>
      </c>
      <c r="H897" s="29">
        <v>11552.84</v>
      </c>
      <c r="I897" s="12">
        <v>11552.84</v>
      </c>
      <c r="J897" s="13">
        <f>I897-H897</f>
        <v>0</v>
      </c>
      <c r="K897" t="s" s="14">
        <v>887</v>
      </c>
      <c r="L897" s="20"/>
      <c r="M897" s="16"/>
      <c r="N897" s="20"/>
      <c r="O897" t="s" s="17">
        <v>24</v>
      </c>
    </row>
    <row r="898" ht="30.45" customHeight="1" hidden="1">
      <c r="A898" t="s" s="17">
        <v>39</v>
      </c>
      <c r="B898" t="s" s="5">
        <v>40</v>
      </c>
      <c r="C898" t="s" s="18">
        <v>1622</v>
      </c>
      <c r="D898" t="s" s="7">
        <v>884</v>
      </c>
      <c r="E898" s="8">
        <v>45525</v>
      </c>
      <c r="F898" t="s" s="10">
        <v>1625</v>
      </c>
      <c r="G898" t="s" s="10">
        <v>1626</v>
      </c>
      <c r="H898" s="24">
        <v>35684.18</v>
      </c>
      <c r="I898" s="12">
        <v>35684.18</v>
      </c>
      <c r="J898" s="15">
        <f>I898-H898</f>
        <v>0</v>
      </c>
      <c r="K898" t="s" s="14">
        <v>887</v>
      </c>
      <c r="L898" s="20"/>
      <c r="M898" s="16"/>
      <c r="N898" s="20"/>
      <c r="O898" t="s" s="17">
        <v>24</v>
      </c>
    </row>
    <row r="899" ht="30.45" customHeight="1" hidden="1">
      <c r="A899" t="s" s="30">
        <v>49</v>
      </c>
      <c r="B899" t="s" s="5">
        <v>47</v>
      </c>
      <c r="C899" t="s" s="28">
        <v>1622</v>
      </c>
      <c r="D899" t="s" s="7">
        <v>888</v>
      </c>
      <c r="E899" s="8">
        <v>45856</v>
      </c>
      <c r="F899" t="s" s="10">
        <v>1627</v>
      </c>
      <c r="G899" t="s" s="10">
        <v>1628</v>
      </c>
      <c r="H899" s="50">
        <v>28912.59</v>
      </c>
      <c r="I899" s="12">
        <v>28912.59</v>
      </c>
      <c r="J899" s="15">
        <f>I899-H899</f>
        <v>0</v>
      </c>
      <c r="K899" t="s" s="14">
        <v>887</v>
      </c>
      <c r="L899" s="20"/>
      <c r="M899" s="8"/>
      <c r="N899" s="20"/>
      <c r="O899" t="s" s="17">
        <v>24</v>
      </c>
    </row>
    <row r="900" ht="30.45" customHeight="1" hidden="1">
      <c r="A900" t="s" s="30">
        <v>49</v>
      </c>
      <c r="B900" t="s" s="5">
        <v>47</v>
      </c>
      <c r="C900" t="s" s="28">
        <v>1622</v>
      </c>
      <c r="D900" t="s" s="7">
        <v>888</v>
      </c>
      <c r="E900" s="8">
        <v>45856</v>
      </c>
      <c r="F900" t="s" s="10">
        <v>1629</v>
      </c>
      <c r="G900" t="s" s="10">
        <v>1628</v>
      </c>
      <c r="H900" s="50">
        <v>19653.19</v>
      </c>
      <c r="I900" s="12">
        <v>19653.19</v>
      </c>
      <c r="J900" s="15">
        <f>I900-H900</f>
        <v>0</v>
      </c>
      <c r="K900" t="s" s="14">
        <v>887</v>
      </c>
      <c r="L900" s="20"/>
      <c r="M900" s="8"/>
      <c r="N900" s="20"/>
      <c r="O900" t="s" s="17">
        <v>24</v>
      </c>
    </row>
    <row r="901" ht="30.45" customHeight="1" hidden="1">
      <c r="A901" t="s" s="21">
        <v>20</v>
      </c>
      <c r="B901" t="s" s="5">
        <v>97</v>
      </c>
      <c r="C901" t="s" s="23">
        <v>1622</v>
      </c>
      <c r="D901" t="s" s="7">
        <v>884</v>
      </c>
      <c r="E901" s="25">
        <v>45772</v>
      </c>
      <c r="F901" t="s" s="10">
        <v>1630</v>
      </c>
      <c r="G901" t="s" s="10">
        <v>1631</v>
      </c>
      <c r="H901" s="19">
        <v>80716.8</v>
      </c>
      <c r="I901" s="12">
        <v>80716.8</v>
      </c>
      <c r="J901" s="13">
        <f>I901-H901</f>
        <v>0</v>
      </c>
      <c r="K901" t="s" s="14">
        <v>396</v>
      </c>
      <c r="L901" s="20"/>
      <c r="M901" s="16"/>
      <c r="N901" s="20"/>
      <c r="O901" t="s" s="17">
        <v>24</v>
      </c>
    </row>
    <row r="902" ht="30.45" customHeight="1" hidden="1">
      <c r="A902" t="s" s="21">
        <v>20</v>
      </c>
      <c r="B902" t="s" s="5">
        <v>61</v>
      </c>
      <c r="C902" t="s" s="18">
        <v>1622</v>
      </c>
      <c r="D902" t="s" s="7">
        <v>888</v>
      </c>
      <c r="E902" s="8">
        <v>46073</v>
      </c>
      <c r="F902" t="s" s="10">
        <v>1632</v>
      </c>
      <c r="G902" t="s" s="10">
        <v>1633</v>
      </c>
      <c r="H902" s="31">
        <v>27655.99</v>
      </c>
      <c r="I902" s="12">
        <f>H902</f>
        <v>27655.99</v>
      </c>
      <c r="J902" s="15">
        <f>I902-H902</f>
        <v>0</v>
      </c>
      <c r="K902" t="s" s="14">
        <v>887</v>
      </c>
      <c r="L902" s="20"/>
      <c r="M902" s="16"/>
      <c r="N902" s="20"/>
      <c r="O902" t="s" s="17">
        <v>24</v>
      </c>
    </row>
    <row r="903" ht="30.45" customHeight="1" hidden="1">
      <c r="A903" t="s" s="17">
        <v>39</v>
      </c>
      <c r="B903" t="s" s="5">
        <v>40</v>
      </c>
      <c r="C903" t="s" s="28">
        <v>1634</v>
      </c>
      <c r="D903" t="s" s="7">
        <v>1635</v>
      </c>
      <c r="E903" s="25">
        <v>45274</v>
      </c>
      <c r="F903" s="9">
        <v>432</v>
      </c>
      <c r="G903" t="s" s="10">
        <v>1636</v>
      </c>
      <c r="H903" s="26">
        <v>6511.505</v>
      </c>
      <c r="I903" s="29">
        <v>6512</v>
      </c>
      <c r="J903" s="15">
        <f>I903-H903</f>
        <v>0.495</v>
      </c>
      <c r="K903" t="s" s="14">
        <v>87</v>
      </c>
      <c r="L903" s="15"/>
      <c r="M903" t="s" s="10">
        <v>142</v>
      </c>
      <c r="N903" t="s" s="10">
        <v>1637</v>
      </c>
      <c r="O903" t="s" s="17">
        <v>24</v>
      </c>
    </row>
    <row r="904" ht="30.45" customHeight="1" hidden="1">
      <c r="A904" t="s" s="4">
        <v>133</v>
      </c>
      <c r="B904" t="s" s="5">
        <v>68</v>
      </c>
      <c r="C904" t="s" s="18">
        <v>1634</v>
      </c>
      <c r="D904" t="s" s="7">
        <v>1635</v>
      </c>
      <c r="E904" s="25">
        <v>45733</v>
      </c>
      <c r="F904" s="16"/>
      <c r="G904" s="10"/>
      <c r="H904" s="19">
        <v>10700</v>
      </c>
      <c r="I904" s="12">
        <v>10750</v>
      </c>
      <c r="J904" s="15">
        <f>I904-H904</f>
        <v>50</v>
      </c>
      <c r="K904" t="s" s="14">
        <v>87</v>
      </c>
      <c r="L904" s="15"/>
      <c r="M904" s="22"/>
      <c r="N904" s="20"/>
      <c r="O904" t="s" s="17">
        <v>19</v>
      </c>
    </row>
    <row r="905" ht="30.45" customHeight="1" hidden="1">
      <c r="A905" t="s" s="47">
        <v>133</v>
      </c>
      <c r="B905" t="s" s="5">
        <v>61</v>
      </c>
      <c r="C905" t="s" s="18">
        <v>1638</v>
      </c>
      <c r="D905" t="s" s="7">
        <v>468</v>
      </c>
      <c r="E905" s="25">
        <v>45608</v>
      </c>
      <c r="F905" t="s" s="10">
        <v>1639</v>
      </c>
      <c r="G905" t="s" s="10">
        <v>1640</v>
      </c>
      <c r="H905" s="19">
        <v>9623</v>
      </c>
      <c r="I905" s="12">
        <v>9623</v>
      </c>
      <c r="J905" s="15">
        <f>I905-H905</f>
        <v>0</v>
      </c>
      <c r="K905" t="s" s="14">
        <v>467</v>
      </c>
      <c r="L905" s="15"/>
      <c r="M905" s="16"/>
      <c r="N905" s="20"/>
      <c r="O905" t="s" s="17">
        <v>19</v>
      </c>
    </row>
    <row r="906" ht="30.45" customHeight="1" hidden="1">
      <c r="A906" t="s" s="17">
        <v>39</v>
      </c>
      <c r="B906" t="s" s="5">
        <v>21</v>
      </c>
      <c r="C906" t="s" s="23">
        <v>1641</v>
      </c>
      <c r="D906" t="s" s="7">
        <v>72</v>
      </c>
      <c r="E906" s="8">
        <v>45429</v>
      </c>
      <c r="F906" t="s" s="10">
        <v>1642</v>
      </c>
      <c r="G906" t="s" s="10">
        <v>1643</v>
      </c>
      <c r="H906" s="19">
        <v>14471.87</v>
      </c>
      <c r="I906" s="12">
        <v>14472.87</v>
      </c>
      <c r="J906" s="15">
        <f>I906-H906</f>
        <v>1</v>
      </c>
      <c r="K906" t="s" s="14">
        <v>887</v>
      </c>
      <c r="L906" s="15">
        <v>2893</v>
      </c>
      <c r="M906" s="8">
        <v>45525</v>
      </c>
      <c r="N906" t="s" s="86">
        <v>926</v>
      </c>
      <c r="O906" t="s" s="17">
        <v>24</v>
      </c>
    </row>
    <row r="907" ht="30.45" customHeight="1" hidden="1">
      <c r="A907" t="s" s="4">
        <v>39</v>
      </c>
      <c r="B907" t="s" s="5">
        <v>21</v>
      </c>
      <c r="C907" t="s" s="18">
        <v>1641</v>
      </c>
      <c r="D907" t="s" s="7">
        <v>72</v>
      </c>
      <c r="E907" s="8">
        <v>45643</v>
      </c>
      <c r="F907" t="s" s="10">
        <v>1644</v>
      </c>
      <c r="G907" t="s" s="10">
        <v>1645</v>
      </c>
      <c r="H907" s="19">
        <v>10557</v>
      </c>
      <c r="I907" s="12">
        <v>10557</v>
      </c>
      <c r="J907" s="13">
        <f>I907-H907</f>
        <v>0</v>
      </c>
      <c r="K907" t="s" s="14">
        <v>92</v>
      </c>
      <c r="L907" s="20"/>
      <c r="M907" s="20"/>
      <c r="N907" s="20"/>
      <c r="O907" t="s" s="17">
        <v>24</v>
      </c>
    </row>
    <row r="908" ht="30.45" customHeight="1" hidden="1">
      <c r="A908" t="s" s="17">
        <v>20</v>
      </c>
      <c r="B908" t="s" s="5">
        <v>40</v>
      </c>
      <c r="C908" t="s" s="18">
        <v>1641</v>
      </c>
      <c r="D908" t="s" s="7">
        <v>72</v>
      </c>
      <c r="E908" s="8">
        <v>45449</v>
      </c>
      <c r="F908" t="s" s="10">
        <v>1646</v>
      </c>
      <c r="G908" t="s" s="10">
        <v>1647</v>
      </c>
      <c r="H908" s="15">
        <v>7194.29</v>
      </c>
      <c r="I908" s="12">
        <v>7194.29</v>
      </c>
      <c r="J908" s="15">
        <f>I908-H908</f>
        <v>0</v>
      </c>
      <c r="K908" t="s" s="14">
        <v>396</v>
      </c>
      <c r="L908" s="15"/>
      <c r="M908" s="8">
        <v>45484</v>
      </c>
      <c r="N908" s="20"/>
      <c r="O908" t="s" s="17">
        <v>24</v>
      </c>
    </row>
    <row r="909" ht="30.45" customHeight="1" hidden="1">
      <c r="A909" t="s" s="21">
        <v>39</v>
      </c>
      <c r="B909" t="s" s="5">
        <v>40</v>
      </c>
      <c r="C909" t="s" s="18">
        <v>1641</v>
      </c>
      <c r="D909" t="s" s="7">
        <v>72</v>
      </c>
      <c r="E909" s="8">
        <v>45854</v>
      </c>
      <c r="F909" t="s" s="10">
        <v>1648</v>
      </c>
      <c r="G909" t="s" s="10">
        <v>1649</v>
      </c>
      <c r="H909" s="19">
        <v>11435.95</v>
      </c>
      <c r="I909" s="12">
        <v>11435.95</v>
      </c>
      <c r="J909" s="15">
        <f>I909-H909</f>
        <v>0</v>
      </c>
      <c r="K909" t="s" s="14">
        <v>92</v>
      </c>
      <c r="L909" s="20"/>
      <c r="M909" s="16"/>
      <c r="N909" s="20"/>
      <c r="O909" t="s" s="17">
        <v>24</v>
      </c>
    </row>
    <row r="910" ht="30.45" customHeight="1" hidden="1">
      <c r="A910" t="s" s="21">
        <v>20</v>
      </c>
      <c r="B910" t="s" s="5">
        <v>21</v>
      </c>
      <c r="C910" t="s" s="18">
        <v>1650</v>
      </c>
      <c r="D910" t="s" s="7">
        <v>1651</v>
      </c>
      <c r="E910" s="8">
        <v>46073</v>
      </c>
      <c r="F910" t="s" s="10">
        <v>1652</v>
      </c>
      <c r="G910" t="s" s="10">
        <v>1653</v>
      </c>
      <c r="H910" s="19">
        <v>24859.56</v>
      </c>
      <c r="I910" s="12">
        <v>24853.6</v>
      </c>
      <c r="J910" s="13">
        <f>I910-H910</f>
        <v>-5.96</v>
      </c>
      <c r="K910" t="s" s="14">
        <v>92</v>
      </c>
      <c r="L910" s="20"/>
      <c r="M910" s="16"/>
      <c r="N910" s="22"/>
      <c r="O910" t="s" s="17">
        <v>24</v>
      </c>
    </row>
    <row r="911" ht="30.45" customHeight="1" hidden="1">
      <c r="A911" t="s" s="75">
        <v>49</v>
      </c>
      <c r="B911" t="s" s="5">
        <v>633</v>
      </c>
      <c r="C911" t="s" s="18">
        <v>1654</v>
      </c>
      <c r="D911" t="s" s="7">
        <v>689</v>
      </c>
      <c r="E911" s="8">
        <v>46086</v>
      </c>
      <c r="F911" t="s" s="10">
        <v>1655</v>
      </c>
      <c r="G911" t="s" s="10">
        <v>1656</v>
      </c>
      <c r="H911" s="19">
        <v>17998.76</v>
      </c>
      <c r="I911" s="12">
        <v>17900</v>
      </c>
      <c r="J911" s="13">
        <f>I911-H911</f>
        <v>-98.76000000000001</v>
      </c>
      <c r="K911" t="s" s="14">
        <v>84</v>
      </c>
      <c r="L911" s="20"/>
      <c r="M911" s="16"/>
      <c r="N911" s="20"/>
      <c r="O911" t="s" s="17">
        <v>24</v>
      </c>
    </row>
    <row r="912" ht="30.45" customHeight="1" hidden="1">
      <c r="A912" t="s" s="17">
        <v>49</v>
      </c>
      <c r="B912" t="s" s="5">
        <v>633</v>
      </c>
      <c r="C912" t="s" s="28">
        <v>1657</v>
      </c>
      <c r="D912" t="s" s="7">
        <v>117</v>
      </c>
      <c r="E912" s="8">
        <v>45834</v>
      </c>
      <c r="F912" t="s" s="10">
        <v>1658</v>
      </c>
      <c r="G912" t="s" s="10">
        <v>1659</v>
      </c>
      <c r="H912" s="29">
        <v>33913.1</v>
      </c>
      <c r="I912" s="12">
        <v>33914</v>
      </c>
      <c r="J912" s="13">
        <f>I912-H912</f>
        <v>0.9</v>
      </c>
      <c r="K912" t="s" s="14">
        <v>92</v>
      </c>
      <c r="L912" s="20"/>
      <c r="M912" s="16"/>
      <c r="N912" s="20"/>
      <c r="O912" t="s" s="17">
        <v>24</v>
      </c>
    </row>
    <row r="913" ht="30.45" customHeight="1" hidden="1">
      <c r="A913" t="s" s="30">
        <v>599</v>
      </c>
      <c r="B913" t="s" s="5">
        <v>633</v>
      </c>
      <c r="C913" t="s" s="28">
        <v>1657</v>
      </c>
      <c r="D913" t="s" s="7">
        <v>117</v>
      </c>
      <c r="E913" s="8">
        <v>46000</v>
      </c>
      <c r="F913" t="s" s="10">
        <v>247</v>
      </c>
      <c r="G913" t="s" s="10">
        <v>1660</v>
      </c>
      <c r="H913" s="50">
        <v>16110.14</v>
      </c>
      <c r="I913" s="12"/>
      <c r="J913" s="13">
        <f>I913-H913</f>
        <v>-16110.14</v>
      </c>
      <c r="K913" t="s" s="14">
        <v>92</v>
      </c>
      <c r="L913" s="20"/>
      <c r="M913" s="16"/>
      <c r="N913" s="20"/>
      <c r="O913" t="s" s="17">
        <v>19</v>
      </c>
    </row>
    <row r="914" ht="30.45" customHeight="1" hidden="1">
      <c r="A914" t="s" s="21">
        <v>20</v>
      </c>
      <c r="B914" t="s" s="5">
        <v>61</v>
      </c>
      <c r="C914" t="s" s="18">
        <v>1657</v>
      </c>
      <c r="D914" t="s" s="7">
        <v>117</v>
      </c>
      <c r="E914" s="25">
        <v>45764</v>
      </c>
      <c r="F914" t="s" s="10">
        <v>1661</v>
      </c>
      <c r="G914" t="s" s="10">
        <v>1662</v>
      </c>
      <c r="H914" s="31">
        <v>51477.18</v>
      </c>
      <c r="I914" s="12">
        <v>51478</v>
      </c>
      <c r="J914" s="15">
        <f>I914-H914</f>
        <v>0.82</v>
      </c>
      <c r="K914" t="s" s="14">
        <v>92</v>
      </c>
      <c r="L914" s="15"/>
      <c r="M914" s="16"/>
      <c r="N914" s="20"/>
      <c r="O914" t="s" s="17">
        <v>24</v>
      </c>
    </row>
    <row r="915" ht="30.45" customHeight="1" hidden="1">
      <c r="A915" t="s" s="17">
        <v>39</v>
      </c>
      <c r="B915" t="s" s="5">
        <v>40</v>
      </c>
      <c r="C915" t="s" s="23">
        <v>1663</v>
      </c>
      <c r="D915" t="s" s="7">
        <v>303</v>
      </c>
      <c r="E915" s="8">
        <v>45526</v>
      </c>
      <c r="F915" t="s" s="10">
        <v>1664</v>
      </c>
      <c r="G915" t="s" s="10">
        <v>1665</v>
      </c>
      <c r="H915" s="15">
        <v>28144.03</v>
      </c>
      <c r="I915" s="12">
        <v>28144.03</v>
      </c>
      <c r="J915" s="15">
        <f>I915-H915</f>
        <v>0</v>
      </c>
      <c r="K915" t="s" s="14">
        <v>306</v>
      </c>
      <c r="L915" s="20"/>
      <c r="M915" s="16"/>
      <c r="N915" s="20"/>
      <c r="O915" t="s" s="17">
        <v>24</v>
      </c>
    </row>
    <row r="916" ht="30.45" customHeight="1" hidden="1">
      <c r="A916" t="s" s="17">
        <v>49</v>
      </c>
      <c r="B916" t="s" s="5">
        <v>40</v>
      </c>
      <c r="C916" t="s" s="28">
        <v>1663</v>
      </c>
      <c r="D916" t="s" s="7">
        <v>303</v>
      </c>
      <c r="E916" s="8">
        <v>45589</v>
      </c>
      <c r="F916" t="s" s="10">
        <v>1666</v>
      </c>
      <c r="G916" t="s" s="10">
        <v>1667</v>
      </c>
      <c r="H916" s="29">
        <v>48129.01</v>
      </c>
      <c r="I916" s="12">
        <v>48129.01</v>
      </c>
      <c r="J916" s="15">
        <f>I916-H916</f>
        <v>0</v>
      </c>
      <c r="K916" t="s" s="14">
        <v>306</v>
      </c>
      <c r="L916" s="20"/>
      <c r="M916" s="16"/>
      <c r="N916" s="20"/>
      <c r="O916" t="s" s="17">
        <v>24</v>
      </c>
    </row>
    <row r="917" ht="30.45" customHeight="1" hidden="1">
      <c r="A917" t="s" s="17">
        <v>49</v>
      </c>
      <c r="B917" t="s" s="5">
        <v>40</v>
      </c>
      <c r="C917" t="s" s="28">
        <v>1663</v>
      </c>
      <c r="D917" t="s" s="7">
        <v>303</v>
      </c>
      <c r="E917" s="8">
        <v>45743</v>
      </c>
      <c r="F917" t="s" s="10">
        <v>1668</v>
      </c>
      <c r="G917" t="s" s="10">
        <v>1669</v>
      </c>
      <c r="H917" s="29">
        <v>34484.94</v>
      </c>
      <c r="I917" s="12">
        <v>34484.96</v>
      </c>
      <c r="J917" s="15">
        <f>I917-H917</f>
        <v>0.02</v>
      </c>
      <c r="K917" t="s" s="14">
        <v>306</v>
      </c>
      <c r="L917" s="20"/>
      <c r="M917" s="16"/>
      <c r="N917" s="20"/>
      <c r="O917" t="s" s="17">
        <v>24</v>
      </c>
    </row>
    <row r="918" ht="30.45" customHeight="1" hidden="1">
      <c r="A918" t="s" s="17">
        <v>49</v>
      </c>
      <c r="B918" t="s" s="5">
        <v>40</v>
      </c>
      <c r="C918" t="s" s="18">
        <v>1663</v>
      </c>
      <c r="D918" t="s" s="7">
        <v>303</v>
      </c>
      <c r="E918" s="8">
        <v>45902</v>
      </c>
      <c r="F918" t="s" s="10">
        <v>1670</v>
      </c>
      <c r="G918" t="s" s="10">
        <v>1671</v>
      </c>
      <c r="H918" s="19">
        <v>193307.3</v>
      </c>
      <c r="I918" s="12">
        <v>193307.4</v>
      </c>
      <c r="J918" s="15">
        <f>I918-H918</f>
        <v>0.1</v>
      </c>
      <c r="K918" t="s" s="14">
        <v>306</v>
      </c>
      <c r="L918" s="20"/>
      <c r="M918" s="16"/>
      <c r="N918" s="20"/>
      <c r="O918" t="s" s="17">
        <v>24</v>
      </c>
    </row>
    <row r="919" ht="30.45" customHeight="1" hidden="1">
      <c r="A919" t="s" s="21">
        <v>49</v>
      </c>
      <c r="B919" t="s" s="5">
        <v>40</v>
      </c>
      <c r="C919" t="s" s="18">
        <v>1663</v>
      </c>
      <c r="D919" t="s" s="7">
        <v>303</v>
      </c>
      <c r="E919" s="8">
        <v>46083</v>
      </c>
      <c r="F919" t="s" s="10">
        <v>1672</v>
      </c>
      <c r="G919" t="s" s="10">
        <v>1673</v>
      </c>
      <c r="H919" s="19">
        <v>70913.37</v>
      </c>
      <c r="I919" s="12">
        <v>70913.34</v>
      </c>
      <c r="J919" s="15">
        <f>I919-H919</f>
        <v>-0.03</v>
      </c>
      <c r="K919" t="s" s="14">
        <v>306</v>
      </c>
      <c r="L919" s="20"/>
      <c r="M919" s="16"/>
      <c r="N919" s="20"/>
      <c r="O919" t="s" s="17">
        <v>24</v>
      </c>
    </row>
    <row r="920" ht="30.45" customHeight="1" hidden="1">
      <c r="A920" t="s" s="17">
        <v>96</v>
      </c>
      <c r="B920" t="s" s="5">
        <v>61</v>
      </c>
      <c r="C920" t="s" s="6">
        <v>1674</v>
      </c>
      <c r="D920" t="s" s="7">
        <v>303</v>
      </c>
      <c r="E920" s="8">
        <v>45233</v>
      </c>
      <c r="F920" t="s" s="10">
        <v>1675</v>
      </c>
      <c r="G920" t="s" s="10">
        <v>1676</v>
      </c>
      <c r="H920" s="42">
        <v>37830</v>
      </c>
      <c r="I920" s="26"/>
      <c r="J920" s="15">
        <f>I920-H920</f>
        <v>-37830</v>
      </c>
      <c r="K920" t="s" s="14">
        <v>306</v>
      </c>
      <c r="L920" s="15"/>
      <c r="M920" s="16"/>
      <c r="N920" t="s" s="14">
        <v>1677</v>
      </c>
      <c r="O920" t="s" s="17">
        <v>19</v>
      </c>
    </row>
    <row r="921" ht="30.45" customHeight="1" hidden="1">
      <c r="A921" t="s" s="21">
        <v>20</v>
      </c>
      <c r="B921" t="s" s="5">
        <v>30</v>
      </c>
      <c r="C921" t="s" s="18">
        <v>1678</v>
      </c>
      <c r="D921" t="s" s="7">
        <v>1368</v>
      </c>
      <c r="E921" s="8">
        <v>45870</v>
      </c>
      <c r="F921" s="10"/>
      <c r="G921" t="s" s="10">
        <v>1679</v>
      </c>
      <c r="H921" s="19">
        <v>22634</v>
      </c>
      <c r="I921" s="12">
        <v>22634</v>
      </c>
      <c r="J921" s="13">
        <f>I921-H921</f>
        <v>0</v>
      </c>
      <c r="K921" t="s" s="14">
        <v>386</v>
      </c>
      <c r="L921" s="20"/>
      <c r="M921" s="16"/>
      <c r="N921" s="20"/>
      <c r="O921" t="s" s="17">
        <v>24</v>
      </c>
    </row>
    <row r="922" ht="30.45" customHeight="1" hidden="1">
      <c r="A922" t="s" s="21">
        <v>20</v>
      </c>
      <c r="B922" t="s" s="5">
        <v>30</v>
      </c>
      <c r="C922" t="s" s="18">
        <v>1678</v>
      </c>
      <c r="D922" t="s" s="7">
        <v>1368</v>
      </c>
      <c r="E922" s="8">
        <v>46101</v>
      </c>
      <c r="F922" s="10"/>
      <c r="G922" t="s" s="10">
        <v>341</v>
      </c>
      <c r="H922" s="19">
        <v>24584</v>
      </c>
      <c r="I922" s="12">
        <f>H922</f>
        <v>24584</v>
      </c>
      <c r="J922" s="13">
        <f>I922-H922</f>
        <v>0</v>
      </c>
      <c r="K922" t="s" s="14">
        <v>386</v>
      </c>
      <c r="L922" s="20"/>
      <c r="M922" s="16"/>
      <c r="N922" s="20"/>
      <c r="O922" t="s" s="17">
        <v>24</v>
      </c>
    </row>
    <row r="923" ht="30.45" customHeight="1" hidden="1">
      <c r="A923" t="s" s="17">
        <v>20</v>
      </c>
      <c r="B923" t="s" s="5">
        <v>97</v>
      </c>
      <c r="C923" t="s" s="23">
        <v>1678</v>
      </c>
      <c r="D923" t="s" s="7">
        <v>1368</v>
      </c>
      <c r="E923" s="25">
        <v>45499</v>
      </c>
      <c r="F923" t="s" s="10">
        <v>1680</v>
      </c>
      <c r="G923" t="s" s="10">
        <v>1681</v>
      </c>
      <c r="H923" s="19">
        <v>35286.4</v>
      </c>
      <c r="I923" s="12">
        <v>35286.4</v>
      </c>
      <c r="J923" s="13">
        <f>I923-H923</f>
        <v>0</v>
      </c>
      <c r="K923" t="s" s="14">
        <v>24</v>
      </c>
      <c r="L923" s="20"/>
      <c r="M923" s="16"/>
      <c r="N923" s="20"/>
      <c r="O923" t="s" s="17">
        <v>24</v>
      </c>
    </row>
    <row r="924" ht="30.45" customHeight="1" hidden="1">
      <c r="A924" t="s" s="21">
        <v>20</v>
      </c>
      <c r="B924" t="s" s="5">
        <v>97</v>
      </c>
      <c r="C924" t="s" s="18">
        <v>1678</v>
      </c>
      <c r="D924" t="s" s="7">
        <v>1368</v>
      </c>
      <c r="E924" s="25">
        <v>45623</v>
      </c>
      <c r="F924" t="s" s="10">
        <v>1682</v>
      </c>
      <c r="G924" t="s" s="10">
        <v>1683</v>
      </c>
      <c r="H924" s="19">
        <v>35329.2</v>
      </c>
      <c r="I924" s="12">
        <v>35329.2</v>
      </c>
      <c r="J924" s="15">
        <f>I924-H924</f>
        <v>0</v>
      </c>
      <c r="K924" t="s" s="14">
        <v>386</v>
      </c>
      <c r="L924" s="20"/>
      <c r="M924" s="16"/>
      <c r="N924" s="20"/>
      <c r="O924" t="s" s="17">
        <v>24</v>
      </c>
    </row>
    <row r="925" ht="30.45" customHeight="1" hidden="1">
      <c r="A925" t="s" s="21">
        <v>20</v>
      </c>
      <c r="B925" t="s" s="5">
        <v>97</v>
      </c>
      <c r="C925" t="s" s="18">
        <v>1678</v>
      </c>
      <c r="D925" t="s" s="7">
        <v>1368</v>
      </c>
      <c r="E925" s="25">
        <v>45915</v>
      </c>
      <c r="F925" t="s" s="10">
        <v>1684</v>
      </c>
      <c r="G925" t="s" s="10">
        <v>1685</v>
      </c>
      <c r="H925" s="19">
        <v>83622</v>
      </c>
      <c r="I925" s="12">
        <v>83622</v>
      </c>
      <c r="J925" s="13">
        <f>I925-H925</f>
        <v>0</v>
      </c>
      <c r="K925" t="s" s="14">
        <v>386</v>
      </c>
      <c r="L925" s="20"/>
      <c r="M925" s="16"/>
      <c r="N925" s="20"/>
      <c r="O925" t="s" s="17">
        <v>24</v>
      </c>
    </row>
    <row r="926" ht="30.45" customHeight="1" hidden="1">
      <c r="A926" t="s" s="21">
        <v>49</v>
      </c>
      <c r="B926" t="s" s="5">
        <v>47</v>
      </c>
      <c r="C926" t="s" s="18">
        <v>1678</v>
      </c>
      <c r="D926" t="s" s="7">
        <v>1368</v>
      </c>
      <c r="E926" s="8">
        <v>46135</v>
      </c>
      <c r="F926" t="s" s="10">
        <v>1686</v>
      </c>
      <c r="G926" t="s" s="10">
        <v>1687</v>
      </c>
      <c r="H926" s="19">
        <v>30531.86</v>
      </c>
      <c r="I926" s="12">
        <f>H926</f>
        <v>30531.86</v>
      </c>
      <c r="J926" s="15">
        <f>I926-H926</f>
        <v>0</v>
      </c>
      <c r="K926" t="s" s="14">
        <v>386</v>
      </c>
      <c r="L926" s="20"/>
      <c r="M926" s="8"/>
      <c r="N926" s="20"/>
      <c r="O926" t="s" s="17">
        <v>24</v>
      </c>
    </row>
    <row r="927" ht="30.45" customHeight="1" hidden="1">
      <c r="A927" t="s" s="17">
        <v>20</v>
      </c>
      <c r="B927" t="s" s="5">
        <v>30</v>
      </c>
      <c r="C927" t="s" s="23">
        <v>1688</v>
      </c>
      <c r="D927" t="s" s="7">
        <v>1368</v>
      </c>
      <c r="E927" s="67">
        <v>45527</v>
      </c>
      <c r="F927" s="16"/>
      <c r="G927" s="10"/>
      <c r="H927" s="19">
        <v>9500</v>
      </c>
      <c r="I927" s="12">
        <v>9500</v>
      </c>
      <c r="J927" s="13">
        <f>I927-H927</f>
        <v>0</v>
      </c>
      <c r="K927" t="s" s="14">
        <v>24</v>
      </c>
      <c r="L927" s="20"/>
      <c r="M927" s="16"/>
      <c r="N927" s="20"/>
      <c r="O927" t="s" s="17">
        <v>24</v>
      </c>
    </row>
    <row r="928" ht="30.45" customHeight="1" hidden="1">
      <c r="A928" t="s" s="17">
        <v>20</v>
      </c>
      <c r="B928" t="s" s="5">
        <v>36</v>
      </c>
      <c r="C928" t="s" s="18">
        <v>1689</v>
      </c>
      <c r="D928" t="s" s="7">
        <v>1368</v>
      </c>
      <c r="E928" s="8">
        <v>45611</v>
      </c>
      <c r="F928" s="16"/>
      <c r="G928" s="10"/>
      <c r="H928" s="19">
        <v>9454.059999999999</v>
      </c>
      <c r="I928" s="12">
        <v>9454.059999999999</v>
      </c>
      <c r="J928" s="15">
        <f>I928-H928</f>
        <v>0</v>
      </c>
      <c r="K928" t="s" s="14">
        <v>84</v>
      </c>
      <c r="L928" s="20"/>
      <c r="M928" s="16"/>
      <c r="N928" s="20"/>
      <c r="O928" t="s" s="17">
        <v>24</v>
      </c>
    </row>
    <row r="929" ht="30.45" customHeight="1" hidden="1">
      <c r="A929" t="s" s="17">
        <v>39</v>
      </c>
      <c r="B929" t="s" s="5">
        <v>29</v>
      </c>
      <c r="C929" t="s" s="28">
        <v>1690</v>
      </c>
      <c r="D929" t="s" s="7">
        <v>379</v>
      </c>
      <c r="E929" s="8">
        <v>45264</v>
      </c>
      <c r="F929" t="s" s="10">
        <v>24</v>
      </c>
      <c r="G929" s="55">
        <v>1777</v>
      </c>
      <c r="H929" s="15">
        <v>38956.25</v>
      </c>
      <c r="I929" s="26"/>
      <c r="J929" s="15"/>
      <c r="K929" t="s" s="14">
        <v>17</v>
      </c>
      <c r="L929" s="20"/>
      <c r="M929" t="s" s="14">
        <v>142</v>
      </c>
      <c r="N929" s="16"/>
      <c r="O929" t="s" s="17">
        <v>24</v>
      </c>
    </row>
    <row r="930" ht="30.45" customHeight="1" hidden="1">
      <c r="A930" t="s" s="17">
        <v>732</v>
      </c>
      <c r="B930" t="s" s="5">
        <v>349</v>
      </c>
      <c r="C930" t="s" s="28">
        <v>1690</v>
      </c>
      <c r="D930" t="s" s="7">
        <v>379</v>
      </c>
      <c r="E930" s="8">
        <v>45822</v>
      </c>
      <c r="F930" t="s" s="10">
        <v>1691</v>
      </c>
      <c r="G930" t="s" s="10">
        <v>1692</v>
      </c>
      <c r="H930" s="29">
        <v>61136</v>
      </c>
      <c r="I930" s="12">
        <v>61136</v>
      </c>
      <c r="J930" s="13">
        <f>I930-H930</f>
        <v>0</v>
      </c>
      <c r="K930" t="s" s="14">
        <v>87</v>
      </c>
      <c r="L930" s="20"/>
      <c r="M930" s="16"/>
      <c r="N930" s="20"/>
      <c r="O930" t="s" s="17">
        <v>24</v>
      </c>
    </row>
    <row r="931" ht="30.45" customHeight="1" hidden="1">
      <c r="A931" t="s" s="21">
        <v>20</v>
      </c>
      <c r="B931" t="s" s="5">
        <v>349</v>
      </c>
      <c r="C931" t="s" s="18">
        <v>1690</v>
      </c>
      <c r="D931" t="s" s="7">
        <v>379</v>
      </c>
      <c r="E931" s="8">
        <v>45865</v>
      </c>
      <c r="F931" t="s" s="10">
        <v>1693</v>
      </c>
      <c r="G931" t="s" s="10">
        <v>1694</v>
      </c>
      <c r="H931" s="19">
        <v>48970.62</v>
      </c>
      <c r="I931" s="12">
        <v>48970.62</v>
      </c>
      <c r="J931" s="13">
        <f>I931-H931</f>
        <v>0</v>
      </c>
      <c r="K931" t="s" s="14">
        <v>87</v>
      </c>
      <c r="L931" s="20"/>
      <c r="M931" s="16"/>
      <c r="N931" s="20"/>
      <c r="O931" t="s" s="17">
        <v>24</v>
      </c>
    </row>
    <row r="932" ht="30.45" customHeight="1" hidden="1">
      <c r="A932" t="s" s="21">
        <v>20</v>
      </c>
      <c r="B932" t="s" s="5">
        <v>349</v>
      </c>
      <c r="C932" t="s" s="18">
        <v>1690</v>
      </c>
      <c r="D932" t="s" s="7">
        <v>379</v>
      </c>
      <c r="E932" s="8">
        <v>45915</v>
      </c>
      <c r="F932" t="s" s="10">
        <v>1695</v>
      </c>
      <c r="G932" t="s" s="10">
        <v>1696</v>
      </c>
      <c r="H932" s="19">
        <v>61393.25</v>
      </c>
      <c r="I932" s="12">
        <v>61393.25</v>
      </c>
      <c r="J932" s="13">
        <f>I932-H932</f>
        <v>0</v>
      </c>
      <c r="K932" t="s" s="14">
        <v>87</v>
      </c>
      <c r="L932" s="20"/>
      <c r="M932" s="16"/>
      <c r="N932" s="20"/>
      <c r="O932" t="s" s="17">
        <v>24</v>
      </c>
    </row>
    <row r="933" ht="30.45" customHeight="1" hidden="1">
      <c r="A933" t="s" s="21">
        <v>20</v>
      </c>
      <c r="B933" t="s" s="5">
        <v>349</v>
      </c>
      <c r="C933" t="s" s="18">
        <v>1690</v>
      </c>
      <c r="D933" t="s" s="7">
        <v>379</v>
      </c>
      <c r="E933" s="8">
        <v>46042</v>
      </c>
      <c r="F933" t="s" s="10">
        <v>1697</v>
      </c>
      <c r="G933" t="s" s="10">
        <v>1698</v>
      </c>
      <c r="H933" s="38">
        <v>47991.9</v>
      </c>
      <c r="I933" s="12">
        <v>47991.9</v>
      </c>
      <c r="J933" s="13">
        <f>I933-H933</f>
        <v>0</v>
      </c>
      <c r="K933" t="s" s="14">
        <v>87</v>
      </c>
      <c r="L933" s="20"/>
      <c r="M933" s="16"/>
      <c r="N933" s="20"/>
      <c r="O933" t="s" s="17">
        <v>24</v>
      </c>
    </row>
    <row r="934" ht="30.45" customHeight="1" hidden="1">
      <c r="A934" t="s" s="21">
        <v>77</v>
      </c>
      <c r="B934" t="s" s="5">
        <v>29</v>
      </c>
      <c r="C934" t="s" s="23">
        <v>1690</v>
      </c>
      <c r="D934" t="s" s="7">
        <v>379</v>
      </c>
      <c r="E934" s="8">
        <v>46192</v>
      </c>
      <c r="F934" s="16"/>
      <c r="G934" t="s" s="10">
        <v>1699</v>
      </c>
      <c r="H934" s="19">
        <v>38178.92</v>
      </c>
      <c r="I934" s="26"/>
      <c r="J934" s="13">
        <f>I934-H934</f>
        <v>-38178.92</v>
      </c>
      <c r="K934" t="s" s="14">
        <v>87</v>
      </c>
      <c r="L934" s="20"/>
      <c r="M934" s="20"/>
      <c r="N934" s="16"/>
      <c r="O934" t="s" s="17">
        <v>24</v>
      </c>
    </row>
    <row r="935" ht="30.45" customHeight="1" hidden="1">
      <c r="A935" t="s" s="4">
        <v>39</v>
      </c>
      <c r="B935" t="s" s="5">
        <v>21</v>
      </c>
      <c r="C935" t="s" s="28">
        <v>1700</v>
      </c>
      <c r="D935" t="s" s="7">
        <v>15</v>
      </c>
      <c r="E935" s="8">
        <v>46046</v>
      </c>
      <c r="F935" t="s" s="10">
        <v>1701</v>
      </c>
      <c r="G935" t="s" s="10">
        <v>1702</v>
      </c>
      <c r="H935" s="19">
        <v>6794.462</v>
      </c>
      <c r="I935" s="29">
        <v>6794.46</v>
      </c>
      <c r="J935" s="13">
        <f>I935-H935</f>
        <v>-0.002</v>
      </c>
      <c r="K935" t="s" s="14">
        <v>17</v>
      </c>
      <c r="L935" s="20"/>
      <c r="M935" s="16"/>
      <c r="N935" s="22"/>
      <c r="O935" t="s" s="17">
        <v>24</v>
      </c>
    </row>
    <row r="936" ht="30.45" customHeight="1" hidden="1">
      <c r="A936" t="s" s="17">
        <v>39</v>
      </c>
      <c r="B936" t="s" s="5">
        <v>79</v>
      </c>
      <c r="C936" t="s" s="18">
        <v>1700</v>
      </c>
      <c r="D936" t="s" s="7">
        <v>15</v>
      </c>
      <c r="E936" s="25">
        <v>45581</v>
      </c>
      <c r="F936" t="s" s="10">
        <v>526</v>
      </c>
      <c r="G936" t="s" s="10">
        <v>1703</v>
      </c>
      <c r="H936" s="19">
        <v>17344.992</v>
      </c>
      <c r="I936" s="12">
        <v>17344.992</v>
      </c>
      <c r="J936" s="13">
        <f>I936-H936</f>
        <v>0</v>
      </c>
      <c r="K936" t="s" s="14">
        <v>17</v>
      </c>
      <c r="L936" s="20"/>
      <c r="M936" s="16"/>
      <c r="N936" s="20"/>
      <c r="O936" t="s" s="17">
        <v>24</v>
      </c>
    </row>
    <row r="937" ht="30.45" customHeight="1" hidden="1">
      <c r="A937" t="s" s="4">
        <v>112</v>
      </c>
      <c r="B937" t="s" s="5">
        <v>1113</v>
      </c>
      <c r="C937" t="s" s="18">
        <v>1700</v>
      </c>
      <c r="D937" t="s" s="7">
        <v>15</v>
      </c>
      <c r="E937" s="8">
        <v>46202</v>
      </c>
      <c r="F937" s="10"/>
      <c r="G937" t="s" s="10">
        <v>1704</v>
      </c>
      <c r="H937" s="19">
        <v>23436</v>
      </c>
      <c r="I937" s="12">
        <f>H937</f>
        <v>23436</v>
      </c>
      <c r="J937" s="15">
        <f>I937-H937</f>
        <v>0</v>
      </c>
      <c r="K937" t="s" s="14">
        <v>17</v>
      </c>
      <c r="L937" s="20"/>
      <c r="M937" s="16"/>
      <c r="N937" s="20"/>
      <c r="O937" t="s" s="17">
        <v>24</v>
      </c>
    </row>
    <row r="938" ht="30.45" customHeight="1" hidden="1">
      <c r="A938" t="s" s="21">
        <v>39</v>
      </c>
      <c r="B938" t="s" s="5">
        <v>21</v>
      </c>
      <c r="C938" t="s" s="23">
        <v>1705</v>
      </c>
      <c r="D938" t="s" s="7">
        <v>545</v>
      </c>
      <c r="E938" s="8">
        <v>45643</v>
      </c>
      <c r="F938" t="s" s="10">
        <v>1706</v>
      </c>
      <c r="G938" t="s" s="10">
        <v>1707</v>
      </c>
      <c r="H938" s="19">
        <v>43603.75</v>
      </c>
      <c r="I938" s="12">
        <v>43603.75</v>
      </c>
      <c r="J938" s="13">
        <f>I938-H938</f>
        <v>0</v>
      </c>
      <c r="K938" t="s" s="14">
        <v>153</v>
      </c>
      <c r="L938" s="43">
        <v>45718</v>
      </c>
      <c r="M938" s="16"/>
      <c r="N938" s="20"/>
      <c r="O938" t="s" s="17">
        <v>24</v>
      </c>
    </row>
    <row r="939" ht="30.45" customHeight="1" hidden="1">
      <c r="A939" t="s" s="21">
        <v>39</v>
      </c>
      <c r="B939" t="s" s="5">
        <v>21</v>
      </c>
      <c r="C939" t="s" s="18">
        <v>1705</v>
      </c>
      <c r="D939" t="s" s="7">
        <v>545</v>
      </c>
      <c r="E939" s="8">
        <v>46046</v>
      </c>
      <c r="F939" t="s" s="10">
        <v>1708</v>
      </c>
      <c r="G939" t="s" s="10">
        <v>1709</v>
      </c>
      <c r="H939" s="19">
        <v>11628.17</v>
      </c>
      <c r="I939" s="12">
        <f>H939</f>
        <v>11628.17</v>
      </c>
      <c r="J939" s="13">
        <f>I939-H939</f>
        <v>0</v>
      </c>
      <c r="K939" t="s" s="14">
        <v>153</v>
      </c>
      <c r="L939" s="20"/>
      <c r="M939" s="16"/>
      <c r="N939" s="22"/>
      <c r="O939" t="s" s="17">
        <v>24</v>
      </c>
    </row>
    <row r="940" ht="30.45" customHeight="1" hidden="1">
      <c r="A940" t="s" s="30">
        <v>39</v>
      </c>
      <c r="B940" t="s" s="5">
        <v>79</v>
      </c>
      <c r="C940" t="s" s="28">
        <v>1710</v>
      </c>
      <c r="D940" t="s" s="7">
        <v>15</v>
      </c>
      <c r="E940" s="25">
        <v>46080</v>
      </c>
      <c r="F940" t="s" s="10">
        <v>135</v>
      </c>
      <c r="G940" t="s" s="10">
        <v>1711</v>
      </c>
      <c r="H940" s="50">
        <v>35952</v>
      </c>
      <c r="I940" s="12">
        <f>H940</f>
        <v>35952</v>
      </c>
      <c r="J940" s="13">
        <f>I940-H940</f>
        <v>0</v>
      </c>
      <c r="K940" t="s" s="14">
        <v>24</v>
      </c>
      <c r="L940" s="20"/>
      <c r="M940" s="16"/>
      <c r="N940" s="20"/>
      <c r="O940" t="s" s="17">
        <v>24</v>
      </c>
    </row>
    <row r="941" ht="30.45" customHeight="1" hidden="1">
      <c r="A941" t="s" s="17">
        <v>49</v>
      </c>
      <c r="B941" t="s" s="5">
        <v>47</v>
      </c>
      <c r="C941" t="s" s="18">
        <v>1712</v>
      </c>
      <c r="D941" t="s" s="7">
        <v>468</v>
      </c>
      <c r="E941" s="8">
        <v>45288</v>
      </c>
      <c r="F941" s="9">
        <v>10313</v>
      </c>
      <c r="G941" s="55">
        <v>1799</v>
      </c>
      <c r="H941" s="56">
        <v>21863.57</v>
      </c>
      <c r="I941" s="57">
        <v>21863.57</v>
      </c>
      <c r="J941" s="20"/>
      <c r="K941" t="s" s="14">
        <v>467</v>
      </c>
      <c r="L941" s="20"/>
      <c r="M941" s="8">
        <v>45318</v>
      </c>
      <c r="N941" s="20"/>
      <c r="O941" t="s" s="17">
        <v>24</v>
      </c>
    </row>
    <row r="942" ht="30.45" customHeight="1" hidden="1">
      <c r="A942" t="s" s="17">
        <v>39</v>
      </c>
      <c r="B942" t="s" s="5">
        <v>488</v>
      </c>
      <c r="C942" t="s" s="18">
        <v>1712</v>
      </c>
      <c r="D942" t="s" s="7">
        <v>468</v>
      </c>
      <c r="E942" s="25">
        <v>45226</v>
      </c>
      <c r="F942" s="9">
        <v>5</v>
      </c>
      <c r="G942" t="s" s="10">
        <v>1713</v>
      </c>
      <c r="H942" s="19">
        <v>17434.8</v>
      </c>
      <c r="I942" s="12">
        <v>17434</v>
      </c>
      <c r="J942" s="15">
        <f>I942-H942</f>
        <v>-0.8</v>
      </c>
      <c r="K942" t="s" s="14">
        <v>467</v>
      </c>
      <c r="L942" s="15"/>
      <c r="M942" s="58">
        <v>45257</v>
      </c>
      <c r="N942" s="20"/>
      <c r="O942" t="s" s="17">
        <v>24</v>
      </c>
    </row>
    <row r="943" ht="30.45" customHeight="1" hidden="1">
      <c r="A943" t="s" s="36">
        <v>1121</v>
      </c>
      <c r="B943" t="s" s="5">
        <v>488</v>
      </c>
      <c r="C943" t="s" s="23">
        <v>1712</v>
      </c>
      <c r="D943" t="s" s="7">
        <v>465</v>
      </c>
      <c r="E943" s="8">
        <v>46097</v>
      </c>
      <c r="F943" t="s" s="10">
        <v>135</v>
      </c>
      <c r="G943" t="s" s="10">
        <v>1714</v>
      </c>
      <c r="H943" s="19">
        <v>14080.32</v>
      </c>
      <c r="I943" s="12">
        <v>6516.82</v>
      </c>
      <c r="J943" s="15">
        <f>I943-H943</f>
        <v>-7563.5</v>
      </c>
      <c r="K943" t="s" s="14">
        <v>467</v>
      </c>
      <c r="L943" s="20"/>
      <c r="M943" s="16"/>
      <c r="N943" s="20"/>
      <c r="O943" t="s" s="17">
        <v>24</v>
      </c>
    </row>
    <row r="944" ht="30.45" customHeight="1" hidden="1">
      <c r="A944" t="s" s="21">
        <v>20</v>
      </c>
      <c r="B944" t="s" s="5">
        <v>68</v>
      </c>
      <c r="C944" t="s" s="64">
        <v>1712</v>
      </c>
      <c r="D944" t="s" s="7">
        <v>468</v>
      </c>
      <c r="E944" s="25">
        <v>45831</v>
      </c>
      <c r="F944" s="16"/>
      <c r="G944" s="16"/>
      <c r="H944" s="19">
        <v>12000</v>
      </c>
      <c r="I944" s="12">
        <v>12000</v>
      </c>
      <c r="J944" s="15">
        <f>I944-H944</f>
        <v>0</v>
      </c>
      <c r="K944" t="s" s="14">
        <v>467</v>
      </c>
      <c r="L944" s="15"/>
      <c r="M944" s="16"/>
      <c r="N944" s="20"/>
      <c r="O944" t="s" s="17">
        <v>24</v>
      </c>
    </row>
    <row r="945" ht="30.45" customHeight="1" hidden="1">
      <c r="A945" t="s" s="21">
        <v>20</v>
      </c>
      <c r="B945" t="s" s="5">
        <v>21</v>
      </c>
      <c r="C945" t="s" s="18">
        <v>1715</v>
      </c>
      <c r="D945" t="s" s="7">
        <v>379</v>
      </c>
      <c r="E945" s="8">
        <v>45989</v>
      </c>
      <c r="F945" t="s" s="10">
        <v>1716</v>
      </c>
      <c r="G945" t="s" s="10">
        <v>26</v>
      </c>
      <c r="H945" s="19">
        <v>24290.55</v>
      </c>
      <c r="I945" s="12">
        <f>H945</f>
        <v>24290.55</v>
      </c>
      <c r="J945" s="13">
        <f>I945-H945</f>
        <v>0</v>
      </c>
      <c r="K945" t="s" s="14">
        <v>87</v>
      </c>
      <c r="L945" s="20"/>
      <c r="M945" s="16"/>
      <c r="N945" s="74"/>
      <c r="O945" t="s" s="17">
        <v>24</v>
      </c>
    </row>
    <row r="946" ht="30.45" customHeight="1" hidden="1">
      <c r="A946" t="s" s="21">
        <v>20</v>
      </c>
      <c r="B946" t="s" s="5">
        <v>633</v>
      </c>
      <c r="C946" t="s" s="18">
        <v>1715</v>
      </c>
      <c r="D946" t="s" s="7">
        <v>379</v>
      </c>
      <c r="E946" s="8">
        <v>45894</v>
      </c>
      <c r="F946" t="s" s="10">
        <v>935</v>
      </c>
      <c r="G946" t="s" s="10">
        <v>1717</v>
      </c>
      <c r="H946" s="19">
        <v>96264.259999999995</v>
      </c>
      <c r="I946" s="12">
        <v>96261.5</v>
      </c>
      <c r="J946" s="13">
        <f>I946-H946</f>
        <v>-2.76</v>
      </c>
      <c r="K946" t="s" s="14">
        <v>87</v>
      </c>
      <c r="L946" s="20"/>
      <c r="M946" s="16"/>
      <c r="N946" s="20"/>
      <c r="O946" t="s" s="17">
        <v>24</v>
      </c>
    </row>
    <row r="947" ht="30.45" customHeight="1" hidden="1">
      <c r="A947" t="s" s="17">
        <v>12</v>
      </c>
      <c r="B947" t="s" s="5">
        <v>79</v>
      </c>
      <c r="C947" t="s" s="18">
        <v>1715</v>
      </c>
      <c r="D947" t="s" s="7">
        <v>379</v>
      </c>
      <c r="E947" s="25">
        <v>45323</v>
      </c>
      <c r="F947" t="s" s="10">
        <v>526</v>
      </c>
      <c r="G947" t="s" s="10">
        <v>1718</v>
      </c>
      <c r="H947" s="19">
        <v>130576.5</v>
      </c>
      <c r="I947" s="12">
        <v>116944.2</v>
      </c>
      <c r="J947" s="62">
        <f>I947-H947</f>
        <v>-13632.3</v>
      </c>
      <c r="K947" t="s" s="14">
        <v>87</v>
      </c>
      <c r="L947" s="15"/>
      <c r="M947" s="8">
        <v>45360</v>
      </c>
      <c r="N947" t="s" s="23">
        <v>1719</v>
      </c>
      <c r="O947" t="s" s="17">
        <v>19</v>
      </c>
    </row>
    <row r="948" ht="30.45" customHeight="1" hidden="1">
      <c r="A948" t="s" s="17">
        <v>39</v>
      </c>
      <c r="B948" t="s" s="5">
        <v>30</v>
      </c>
      <c r="C948" t="s" s="23">
        <v>1715</v>
      </c>
      <c r="D948" t="s" s="7">
        <v>379</v>
      </c>
      <c r="E948" s="8">
        <v>45484</v>
      </c>
      <c r="F948" s="16"/>
      <c r="G948" t="s" s="10">
        <v>1720</v>
      </c>
      <c r="H948" s="19">
        <v>25010</v>
      </c>
      <c r="I948" s="12">
        <v>25009.98</v>
      </c>
      <c r="J948" s="13">
        <f>I948-H948</f>
        <v>-0.02</v>
      </c>
      <c r="K948" t="s" s="14">
        <v>24</v>
      </c>
      <c r="L948" s="20"/>
      <c r="M948" s="16"/>
      <c r="N948" s="20"/>
      <c r="O948" t="s" s="17">
        <v>24</v>
      </c>
    </row>
    <row r="949" ht="30.45" customHeight="1" hidden="1">
      <c r="A949" t="s" s="17">
        <v>20</v>
      </c>
      <c r="B949" t="s" s="5">
        <v>30</v>
      </c>
      <c r="C949" t="s" s="23">
        <v>1715</v>
      </c>
      <c r="D949" t="s" s="7">
        <v>379</v>
      </c>
      <c r="E949" s="8">
        <v>45527</v>
      </c>
      <c r="F949" s="16"/>
      <c r="G949" t="s" s="10">
        <v>1721</v>
      </c>
      <c r="H949" s="24">
        <v>28288</v>
      </c>
      <c r="I949" s="12">
        <v>28288</v>
      </c>
      <c r="J949" s="13">
        <f>I949-H949</f>
        <v>0</v>
      </c>
      <c r="K949" t="s" s="14">
        <v>87</v>
      </c>
      <c r="L949" s="20"/>
      <c r="M949" s="16"/>
      <c r="N949" s="20"/>
      <c r="O949" t="s" s="17">
        <v>24</v>
      </c>
    </row>
    <row r="950" ht="30.45" customHeight="1" hidden="1">
      <c r="A950" t="s" s="17">
        <v>20</v>
      </c>
      <c r="B950" t="s" s="5">
        <v>30</v>
      </c>
      <c r="C950" t="s" s="18">
        <v>1715</v>
      </c>
      <c r="D950" t="s" s="7">
        <v>379</v>
      </c>
      <c r="E950" s="8">
        <v>45751</v>
      </c>
      <c r="F950" s="16"/>
      <c r="G950" t="s" s="10">
        <v>1722</v>
      </c>
      <c r="H950" s="19">
        <v>30137</v>
      </c>
      <c r="I950" s="12">
        <v>30137</v>
      </c>
      <c r="J950" s="13">
        <f>I950-H950</f>
        <v>0</v>
      </c>
      <c r="K950" t="s" s="14">
        <v>87</v>
      </c>
      <c r="L950" s="20"/>
      <c r="M950" s="16"/>
      <c r="N950" s="20"/>
      <c r="O950" t="s" s="17">
        <v>24</v>
      </c>
    </row>
    <row r="951" ht="30.45" customHeight="1" hidden="1">
      <c r="A951" t="s" s="21">
        <v>20</v>
      </c>
      <c r="B951" t="s" s="5">
        <v>30</v>
      </c>
      <c r="C951" t="s" s="18">
        <v>1715</v>
      </c>
      <c r="D951" t="s" s="7">
        <v>379</v>
      </c>
      <c r="E951" s="8">
        <v>45821</v>
      </c>
      <c r="F951" s="16"/>
      <c r="G951" t="s" s="10">
        <v>1723</v>
      </c>
      <c r="H951" s="19">
        <v>10546</v>
      </c>
      <c r="I951" s="12">
        <v>10546</v>
      </c>
      <c r="J951" s="13">
        <f>I951-H951</f>
        <v>0</v>
      </c>
      <c r="K951" t="s" s="14">
        <v>87</v>
      </c>
      <c r="L951" s="20"/>
      <c r="M951" s="16"/>
      <c r="N951" s="20"/>
      <c r="O951" t="s" s="17">
        <v>24</v>
      </c>
    </row>
    <row r="952" ht="30.45" customHeight="1" hidden="1">
      <c r="A952" t="s" s="21">
        <v>20</v>
      </c>
      <c r="B952" t="s" s="5">
        <v>30</v>
      </c>
      <c r="C952" t="s" s="18">
        <v>1715</v>
      </c>
      <c r="D952" t="s" s="7">
        <v>379</v>
      </c>
      <c r="E952" s="8">
        <v>45870</v>
      </c>
      <c r="F952" s="10"/>
      <c r="G952" t="s" s="10">
        <v>1724</v>
      </c>
      <c r="H952" s="19">
        <v>43732</v>
      </c>
      <c r="I952" s="12">
        <v>43732</v>
      </c>
      <c r="J952" s="13">
        <f>I952-H952</f>
        <v>0</v>
      </c>
      <c r="K952" t="s" s="14">
        <v>87</v>
      </c>
      <c r="L952" s="20"/>
      <c r="M952" s="16"/>
      <c r="N952" s="20"/>
      <c r="O952" t="s" s="17">
        <v>24</v>
      </c>
    </row>
    <row r="953" ht="30.45" customHeight="1" hidden="1">
      <c r="A953" t="s" s="21">
        <v>20</v>
      </c>
      <c r="B953" t="s" s="5">
        <v>30</v>
      </c>
      <c r="C953" t="s" s="18">
        <v>1715</v>
      </c>
      <c r="D953" t="s" s="7">
        <v>379</v>
      </c>
      <c r="E953" s="8">
        <v>46101</v>
      </c>
      <c r="F953" s="10"/>
      <c r="G953" t="s" s="10">
        <v>1725</v>
      </c>
      <c r="H953" s="19">
        <v>29352</v>
      </c>
      <c r="I953" s="12">
        <f>H953</f>
        <v>29352</v>
      </c>
      <c r="J953" s="13">
        <f>I953-H953</f>
        <v>0</v>
      </c>
      <c r="K953" t="s" s="14">
        <v>87</v>
      </c>
      <c r="L953" s="20"/>
      <c r="M953" s="16"/>
      <c r="N953" s="20"/>
      <c r="O953" t="s" s="17">
        <v>24</v>
      </c>
    </row>
    <row r="954" ht="30.45" customHeight="1" hidden="1">
      <c r="A954" t="s" s="17">
        <v>20</v>
      </c>
      <c r="B954" t="s" s="5">
        <v>40</v>
      </c>
      <c r="C954" t="s" s="23">
        <v>1715</v>
      </c>
      <c r="D954" t="s" s="7">
        <v>379</v>
      </c>
      <c r="E954" s="8">
        <v>45485</v>
      </c>
      <c r="F954" t="s" s="10">
        <v>1726</v>
      </c>
      <c r="G954" t="s" s="10">
        <v>1727</v>
      </c>
      <c r="H954" s="15">
        <v>10836.11</v>
      </c>
      <c r="I954" s="12">
        <v>10836.11</v>
      </c>
      <c r="J954" s="15">
        <f>I954-H954</f>
        <v>0</v>
      </c>
      <c r="K954" t="s" s="14">
        <v>87</v>
      </c>
      <c r="L954" s="20"/>
      <c r="M954" s="8">
        <v>45521</v>
      </c>
      <c r="N954" s="20"/>
      <c r="O954" t="s" s="17">
        <v>24</v>
      </c>
    </row>
    <row r="955" ht="30.45" customHeight="1" hidden="1">
      <c r="A955" t="s" s="21">
        <v>20</v>
      </c>
      <c r="B955" t="s" s="5">
        <v>40</v>
      </c>
      <c r="C955" t="s" s="18">
        <v>1715</v>
      </c>
      <c r="D955" t="s" s="7">
        <v>379</v>
      </c>
      <c r="E955" s="8">
        <v>45924</v>
      </c>
      <c r="F955" t="s" s="10">
        <v>1728</v>
      </c>
      <c r="G955" t="s" s="10">
        <v>1729</v>
      </c>
      <c r="H955" s="19">
        <v>11496.36</v>
      </c>
      <c r="I955" s="12">
        <v>11496.36</v>
      </c>
      <c r="J955" s="15">
        <f>I955-H955</f>
        <v>0</v>
      </c>
      <c r="K955" t="s" s="14">
        <v>87</v>
      </c>
      <c r="L955" s="20"/>
      <c r="M955" s="16"/>
      <c r="N955" s="20"/>
      <c r="O955" t="s" s="17">
        <v>24</v>
      </c>
    </row>
    <row r="956" ht="30.45" customHeight="1" hidden="1">
      <c r="A956" t="s" s="21">
        <v>20</v>
      </c>
      <c r="B956" t="s" s="5">
        <v>40</v>
      </c>
      <c r="C956" t="s" s="18">
        <v>1715</v>
      </c>
      <c r="D956" t="s" s="7">
        <v>379</v>
      </c>
      <c r="E956" s="8">
        <v>45995</v>
      </c>
      <c r="F956" t="s" s="10">
        <v>1730</v>
      </c>
      <c r="G956" t="s" s="10">
        <v>1731</v>
      </c>
      <c r="H956" s="19">
        <v>12023.54</v>
      </c>
      <c r="I956" s="12">
        <v>12023.52</v>
      </c>
      <c r="J956" s="15">
        <f>I956-H956</f>
        <v>-0.02</v>
      </c>
      <c r="K956" t="s" s="14">
        <v>87</v>
      </c>
      <c r="L956" s="20"/>
      <c r="M956" s="16"/>
      <c r="N956" s="20"/>
      <c r="O956" t="s" s="17">
        <v>24</v>
      </c>
    </row>
    <row r="957" ht="30.45" customHeight="1" hidden="1">
      <c r="A957" t="s" s="17">
        <v>39</v>
      </c>
      <c r="B957" t="s" s="5">
        <v>47</v>
      </c>
      <c r="C957" t="s" s="18">
        <v>1715</v>
      </c>
      <c r="D957" t="s" s="7">
        <v>379</v>
      </c>
      <c r="E957" s="27">
        <v>45240</v>
      </c>
      <c r="F957" s="9">
        <v>955</v>
      </c>
      <c r="G957" t="s" s="10">
        <v>1101</v>
      </c>
      <c r="H957" s="26">
        <v>14784.79</v>
      </c>
      <c r="I957" s="12">
        <v>14784.79</v>
      </c>
      <c r="J957" s="15">
        <f>I957-H957</f>
        <v>0</v>
      </c>
      <c r="K957" t="s" s="14">
        <v>87</v>
      </c>
      <c r="L957" s="15"/>
      <c r="M957" s="8">
        <v>45269</v>
      </c>
      <c r="N957" s="20"/>
      <c r="O957" t="s" s="17">
        <v>24</v>
      </c>
    </row>
    <row r="958" ht="30.45" customHeight="1" hidden="1">
      <c r="A958" t="s" s="17">
        <v>49</v>
      </c>
      <c r="B958" t="s" s="5">
        <v>47</v>
      </c>
      <c r="C958" t="s" s="18">
        <v>1715</v>
      </c>
      <c r="D958" t="s" s="7">
        <v>379</v>
      </c>
      <c r="E958" s="8">
        <v>45260</v>
      </c>
      <c r="F958" s="9">
        <v>993</v>
      </c>
      <c r="G958" t="s" s="10">
        <v>1732</v>
      </c>
      <c r="H958" s="26">
        <v>6786.71</v>
      </c>
      <c r="I958" s="26">
        <v>6786.71</v>
      </c>
      <c r="J958" s="15">
        <f>I958-H958</f>
        <v>0</v>
      </c>
      <c r="K958" t="s" s="14">
        <v>87</v>
      </c>
      <c r="L958" s="15"/>
      <c r="M958" s="27">
        <v>45290</v>
      </c>
      <c r="N958" s="20"/>
      <c r="O958" t="s" s="17">
        <v>24</v>
      </c>
    </row>
    <row r="959" ht="30.45" customHeight="1" hidden="1">
      <c r="A959" t="s" s="17">
        <v>49</v>
      </c>
      <c r="B959" t="s" s="5">
        <v>47</v>
      </c>
      <c r="C959" t="s" s="18">
        <v>1715</v>
      </c>
      <c r="D959" t="s" s="7">
        <v>379</v>
      </c>
      <c r="E959" s="8">
        <v>45260</v>
      </c>
      <c r="F959" s="9">
        <v>992</v>
      </c>
      <c r="G959" t="s" s="10">
        <v>1732</v>
      </c>
      <c r="H959" s="26">
        <v>8468.93</v>
      </c>
      <c r="I959" s="26">
        <v>8468.91</v>
      </c>
      <c r="J959" s="15">
        <f>I959-H959</f>
        <v>-0.02</v>
      </c>
      <c r="K959" t="s" s="14">
        <v>87</v>
      </c>
      <c r="L959" s="15"/>
      <c r="M959" s="27">
        <v>45290</v>
      </c>
      <c r="N959" s="20"/>
      <c r="O959" t="s" s="17">
        <v>24</v>
      </c>
    </row>
    <row r="960" ht="30.45" customHeight="1" hidden="1">
      <c r="A960" t="s" s="17">
        <v>49</v>
      </c>
      <c r="B960" t="s" s="5">
        <v>47</v>
      </c>
      <c r="C960" t="s" s="18">
        <v>1715</v>
      </c>
      <c r="D960" t="s" s="7">
        <v>379</v>
      </c>
      <c r="E960" s="8">
        <v>45260</v>
      </c>
      <c r="F960" s="9">
        <v>10256</v>
      </c>
      <c r="G960" t="s" s="10">
        <v>1732</v>
      </c>
      <c r="H960" s="26">
        <v>16318.69</v>
      </c>
      <c r="I960" s="26">
        <v>16318.69</v>
      </c>
      <c r="J960" s="15">
        <f>I960-H960</f>
        <v>0</v>
      </c>
      <c r="K960" t="s" s="14">
        <v>87</v>
      </c>
      <c r="L960" s="15"/>
      <c r="M960" s="27">
        <v>45290</v>
      </c>
      <c r="N960" s="20"/>
      <c r="O960" t="s" s="17">
        <v>24</v>
      </c>
    </row>
    <row r="961" ht="30.45" customHeight="1" hidden="1">
      <c r="A961" t="s" s="17">
        <v>49</v>
      </c>
      <c r="B961" t="s" s="5">
        <v>47</v>
      </c>
      <c r="C961" t="s" s="28">
        <v>1715</v>
      </c>
      <c r="D961" t="s" s="7">
        <v>379</v>
      </c>
      <c r="E961" s="8">
        <v>45476</v>
      </c>
      <c r="F961" t="s" s="10">
        <v>1733</v>
      </c>
      <c r="G961" t="s" s="10">
        <v>1734</v>
      </c>
      <c r="H961" s="15">
        <v>14414.9</v>
      </c>
      <c r="I961" s="12">
        <v>14414.9</v>
      </c>
      <c r="J961" s="15">
        <f>I961-H961</f>
        <v>0</v>
      </c>
      <c r="K961" t="s" s="14">
        <v>87</v>
      </c>
      <c r="L961" s="20"/>
      <c r="M961" s="8"/>
      <c r="N961" s="20"/>
      <c r="O961" t="s" s="17">
        <v>24</v>
      </c>
    </row>
    <row r="962" ht="30.45" customHeight="1" hidden="1">
      <c r="A962" t="s" s="17">
        <v>49</v>
      </c>
      <c r="B962" t="s" s="5">
        <v>47</v>
      </c>
      <c r="C962" t="s" s="28">
        <v>1715</v>
      </c>
      <c r="D962" t="s" s="7">
        <v>379</v>
      </c>
      <c r="E962" s="8">
        <v>45476</v>
      </c>
      <c r="F962" t="s" s="10">
        <v>1735</v>
      </c>
      <c r="G962" t="s" s="10">
        <v>1734</v>
      </c>
      <c r="H962" s="15">
        <v>16017.51</v>
      </c>
      <c r="I962" s="12">
        <v>16017.54</v>
      </c>
      <c r="J962" s="15">
        <f>I962-H962</f>
        <v>0.03</v>
      </c>
      <c r="K962" t="s" s="14">
        <v>87</v>
      </c>
      <c r="L962" s="20"/>
      <c r="M962" s="8"/>
      <c r="N962" s="20"/>
      <c r="O962" t="s" s="17">
        <v>24</v>
      </c>
    </row>
    <row r="963" ht="30.45" customHeight="1" hidden="1">
      <c r="A963" t="s" s="17">
        <v>49</v>
      </c>
      <c r="B963" t="s" s="5">
        <v>47</v>
      </c>
      <c r="C963" t="s" s="28">
        <v>1715</v>
      </c>
      <c r="D963" t="s" s="7">
        <v>379</v>
      </c>
      <c r="E963" s="8">
        <v>45553</v>
      </c>
      <c r="F963" t="s" s="10">
        <v>1736</v>
      </c>
      <c r="G963" t="s" s="10">
        <v>1737</v>
      </c>
      <c r="H963" s="29">
        <v>30496.1</v>
      </c>
      <c r="I963" s="12">
        <v>30496.1</v>
      </c>
      <c r="J963" s="15">
        <f>I963-H963</f>
        <v>0</v>
      </c>
      <c r="K963" t="s" s="14">
        <v>87</v>
      </c>
      <c r="L963" s="20"/>
      <c r="M963" s="8"/>
      <c r="N963" s="20"/>
      <c r="O963" t="s" s="17">
        <v>24</v>
      </c>
    </row>
    <row r="964" ht="30.45" customHeight="1" hidden="1">
      <c r="A964" t="s" s="17">
        <v>49</v>
      </c>
      <c r="B964" t="s" s="5">
        <v>47</v>
      </c>
      <c r="C964" t="s" s="28">
        <v>1715</v>
      </c>
      <c r="D964" t="s" s="7">
        <v>379</v>
      </c>
      <c r="E964" s="8">
        <v>45562</v>
      </c>
      <c r="F964" t="s" s="10">
        <v>1738</v>
      </c>
      <c r="G964" t="s" s="10">
        <v>1739</v>
      </c>
      <c r="H964" s="29">
        <v>30314.86</v>
      </c>
      <c r="I964" s="12">
        <v>30314.86</v>
      </c>
      <c r="J964" s="15">
        <f>I964-H964</f>
        <v>0</v>
      </c>
      <c r="K964" t="s" s="14">
        <v>87</v>
      </c>
      <c r="L964" s="20"/>
      <c r="M964" s="8"/>
      <c r="N964" s="20"/>
      <c r="O964" t="s" s="17">
        <v>24</v>
      </c>
    </row>
    <row r="965" ht="30.45" customHeight="1" hidden="1">
      <c r="A965" t="s" s="17">
        <v>49</v>
      </c>
      <c r="B965" t="s" s="5">
        <v>47</v>
      </c>
      <c r="C965" t="s" s="28">
        <v>1715</v>
      </c>
      <c r="D965" t="s" s="7">
        <v>379</v>
      </c>
      <c r="E965" s="8">
        <v>45562</v>
      </c>
      <c r="F965" t="s" s="10">
        <v>1740</v>
      </c>
      <c r="G965" t="s" s="10">
        <v>1739</v>
      </c>
      <c r="H965" s="29">
        <v>10679.61</v>
      </c>
      <c r="I965" s="12">
        <v>10679.61</v>
      </c>
      <c r="J965" s="15">
        <f>I965-H965</f>
        <v>0</v>
      </c>
      <c r="K965" t="s" s="14">
        <v>87</v>
      </c>
      <c r="L965" s="20"/>
      <c r="M965" s="8"/>
      <c r="N965" s="20"/>
      <c r="O965" t="s" s="17">
        <v>24</v>
      </c>
    </row>
    <row r="966" ht="30.45" customHeight="1" hidden="1">
      <c r="A966" t="s" s="17">
        <v>39</v>
      </c>
      <c r="B966" t="s" s="5">
        <v>47</v>
      </c>
      <c r="C966" t="s" s="28">
        <v>1715</v>
      </c>
      <c r="D966" t="s" s="7">
        <v>379</v>
      </c>
      <c r="E966" s="8">
        <v>45610</v>
      </c>
      <c r="F966" t="s" s="10">
        <v>1741</v>
      </c>
      <c r="G966" t="s" s="10">
        <v>1742</v>
      </c>
      <c r="H966" s="29">
        <v>752.48</v>
      </c>
      <c r="I966" s="12">
        <v>752.48</v>
      </c>
      <c r="J966" s="15">
        <f>I966-H966</f>
        <v>0</v>
      </c>
      <c r="K966" t="s" s="14">
        <v>87</v>
      </c>
      <c r="L966" s="20"/>
      <c r="M966" s="8"/>
      <c r="N966" s="20"/>
      <c r="O966" t="s" s="17">
        <v>24</v>
      </c>
    </row>
    <row r="967" ht="30.45" customHeight="1" hidden="1">
      <c r="A967" t="s" s="17">
        <v>49</v>
      </c>
      <c r="B967" t="s" s="5">
        <v>47</v>
      </c>
      <c r="C967" t="s" s="28">
        <v>1715</v>
      </c>
      <c r="D967" t="s" s="7">
        <v>379</v>
      </c>
      <c r="E967" s="8">
        <v>45674</v>
      </c>
      <c r="F967" t="s" s="10">
        <v>1743</v>
      </c>
      <c r="G967" t="s" s="10">
        <v>1744</v>
      </c>
      <c r="H967" s="29">
        <v>4144.07</v>
      </c>
      <c r="I967" s="12"/>
      <c r="J967" s="15">
        <f>I967-H967</f>
        <v>-4144.07</v>
      </c>
      <c r="K967" t="s" s="14">
        <v>87</v>
      </c>
      <c r="L967" s="20"/>
      <c r="M967" s="8"/>
      <c r="N967" s="20"/>
      <c r="O967" t="s" s="17">
        <v>24</v>
      </c>
    </row>
    <row r="968" ht="30.45" customHeight="1" hidden="1">
      <c r="A968" t="s" s="17">
        <v>49</v>
      </c>
      <c r="B968" t="s" s="5">
        <v>47</v>
      </c>
      <c r="C968" t="s" s="28">
        <v>1715</v>
      </c>
      <c r="D968" t="s" s="7">
        <v>379</v>
      </c>
      <c r="E968" s="8">
        <v>45674</v>
      </c>
      <c r="F968" t="s" s="10">
        <v>1745</v>
      </c>
      <c r="G968" t="s" s="10">
        <v>1744</v>
      </c>
      <c r="H968" s="29">
        <v>10397.25</v>
      </c>
      <c r="I968" s="12"/>
      <c r="J968" s="15">
        <f>I968-H968</f>
        <v>-10397.25</v>
      </c>
      <c r="K968" t="s" s="14">
        <v>87</v>
      </c>
      <c r="L968" s="20"/>
      <c r="M968" s="8"/>
      <c r="N968" s="20"/>
      <c r="O968" t="s" s="17">
        <v>24</v>
      </c>
    </row>
    <row r="969" ht="30.45" customHeight="1" hidden="1">
      <c r="A969" t="s" s="17">
        <v>49</v>
      </c>
      <c r="B969" t="s" s="5">
        <v>47</v>
      </c>
      <c r="C969" t="s" s="28">
        <v>1715</v>
      </c>
      <c r="D969" t="s" s="7">
        <v>379</v>
      </c>
      <c r="E969" s="8">
        <v>45674</v>
      </c>
      <c r="F969" t="s" s="10">
        <v>1746</v>
      </c>
      <c r="G969" t="s" s="10">
        <v>1744</v>
      </c>
      <c r="H969" s="29">
        <v>4625.51</v>
      </c>
      <c r="I969" s="12"/>
      <c r="J969" s="15">
        <f>I969-H969</f>
        <v>-4625.51</v>
      </c>
      <c r="K969" t="s" s="14">
        <v>87</v>
      </c>
      <c r="L969" s="20"/>
      <c r="M969" s="8"/>
      <c r="N969" s="20"/>
      <c r="O969" t="s" s="17">
        <v>24</v>
      </c>
    </row>
    <row r="970" ht="30.45" customHeight="1" hidden="1">
      <c r="A970" t="s" s="30">
        <v>49</v>
      </c>
      <c r="B970" t="s" s="5">
        <v>47</v>
      </c>
      <c r="C970" t="s" s="18">
        <v>1715</v>
      </c>
      <c r="D970" t="s" s="7">
        <v>379</v>
      </c>
      <c r="E970" s="8">
        <v>45751</v>
      </c>
      <c r="F970" t="s" s="10">
        <v>1747</v>
      </c>
      <c r="G970" t="s" s="10">
        <v>1748</v>
      </c>
      <c r="H970" s="15">
        <v>27185.26</v>
      </c>
      <c r="I970" s="12">
        <v>27185.26</v>
      </c>
      <c r="J970" s="15">
        <f>I970-H970</f>
        <v>0</v>
      </c>
      <c r="K970" t="s" s="14">
        <v>87</v>
      </c>
      <c r="L970" s="20"/>
      <c r="M970" s="8"/>
      <c r="N970" s="20"/>
      <c r="O970" t="s" s="17">
        <v>24</v>
      </c>
    </row>
    <row r="971" ht="30.45" customHeight="1" hidden="1">
      <c r="A971" t="s" s="30">
        <v>49</v>
      </c>
      <c r="B971" t="s" s="5">
        <v>47</v>
      </c>
      <c r="C971" t="s" s="18">
        <v>1715</v>
      </c>
      <c r="D971" t="s" s="7">
        <v>379</v>
      </c>
      <c r="E971" s="8">
        <v>45751</v>
      </c>
      <c r="F971" t="s" s="10">
        <v>1749</v>
      </c>
      <c r="G971" t="s" s="10">
        <v>1748</v>
      </c>
      <c r="H971" s="15">
        <v>12577.46</v>
      </c>
      <c r="I971" s="12">
        <v>12577.46</v>
      </c>
      <c r="J971" s="15">
        <f>I971-H971</f>
        <v>0</v>
      </c>
      <c r="K971" t="s" s="14">
        <v>87</v>
      </c>
      <c r="L971" s="20"/>
      <c r="M971" s="8"/>
      <c r="N971" s="20"/>
      <c r="O971" t="s" s="17">
        <v>24</v>
      </c>
    </row>
    <row r="972" ht="30.45" customHeight="1" hidden="1">
      <c r="A972" t="s" s="30">
        <v>49</v>
      </c>
      <c r="B972" t="s" s="5">
        <v>47</v>
      </c>
      <c r="C972" t="s" s="18">
        <v>1715</v>
      </c>
      <c r="D972" t="s" s="7">
        <v>379</v>
      </c>
      <c r="E972" s="8">
        <v>45751</v>
      </c>
      <c r="F972" t="s" s="10">
        <v>1750</v>
      </c>
      <c r="G972" t="s" s="10">
        <v>1748</v>
      </c>
      <c r="H972" s="15">
        <v>21062.06</v>
      </c>
      <c r="I972" s="12">
        <v>21062.06</v>
      </c>
      <c r="J972" s="15">
        <f>I972-H972</f>
        <v>0</v>
      </c>
      <c r="K972" t="s" s="14">
        <v>87</v>
      </c>
      <c r="L972" s="20"/>
      <c r="M972" s="8"/>
      <c r="N972" s="20"/>
      <c r="O972" t="s" s="17">
        <v>24</v>
      </c>
    </row>
    <row r="973" ht="30.45" customHeight="1" hidden="1">
      <c r="A973" t="s" s="17">
        <v>39</v>
      </c>
      <c r="B973" t="s" s="5">
        <v>47</v>
      </c>
      <c r="C973" t="s" s="28">
        <v>1715</v>
      </c>
      <c r="D973" t="s" s="7">
        <v>379</v>
      </c>
      <c r="E973" s="8">
        <v>45784</v>
      </c>
      <c r="F973" t="s" s="10">
        <v>1751</v>
      </c>
      <c r="G973" t="s" s="10">
        <v>1752</v>
      </c>
      <c r="H973" s="29">
        <v>4748.65</v>
      </c>
      <c r="I973" s="12">
        <v>4748.66</v>
      </c>
      <c r="J973" s="15">
        <f>I973-H973</f>
        <v>0.01</v>
      </c>
      <c r="K973" t="s" s="14">
        <v>87</v>
      </c>
      <c r="L973" s="20"/>
      <c r="M973" s="8"/>
      <c r="N973" s="20"/>
      <c r="O973" t="s" s="17">
        <v>24</v>
      </c>
    </row>
    <row r="974" ht="30.45" customHeight="1" hidden="1">
      <c r="A974" t="s" s="21">
        <v>49</v>
      </c>
      <c r="B974" t="s" s="5">
        <v>47</v>
      </c>
      <c r="C974" t="s" s="18">
        <v>1715</v>
      </c>
      <c r="D974" t="s" s="7">
        <v>379</v>
      </c>
      <c r="E974" s="8">
        <v>45891</v>
      </c>
      <c r="F974" t="s" s="10">
        <v>1753</v>
      </c>
      <c r="G974" t="s" s="10">
        <v>1754</v>
      </c>
      <c r="H974" s="38">
        <v>1133.51</v>
      </c>
      <c r="I974" s="12">
        <v>1133.51</v>
      </c>
      <c r="J974" s="15">
        <f>I974-H974</f>
        <v>0</v>
      </c>
      <c r="K974" t="s" s="14">
        <v>87</v>
      </c>
      <c r="L974" s="20"/>
      <c r="M974" s="8"/>
      <c r="N974" s="20"/>
      <c r="O974" t="s" s="17">
        <v>24</v>
      </c>
    </row>
    <row r="975" ht="30.45" customHeight="1" hidden="1">
      <c r="A975" t="s" s="21">
        <v>49</v>
      </c>
      <c r="B975" t="s" s="5">
        <v>47</v>
      </c>
      <c r="C975" t="s" s="18">
        <v>1715</v>
      </c>
      <c r="D975" t="s" s="7">
        <v>379</v>
      </c>
      <c r="E975" s="8">
        <v>45891</v>
      </c>
      <c r="F975" t="s" s="10">
        <v>1755</v>
      </c>
      <c r="G975" t="s" s="10">
        <v>1754</v>
      </c>
      <c r="H975" s="19">
        <v>6148.68</v>
      </c>
      <c r="I975" s="12">
        <v>6148.68</v>
      </c>
      <c r="J975" s="15">
        <f>I975-H975</f>
        <v>0</v>
      </c>
      <c r="K975" t="s" s="14">
        <v>87</v>
      </c>
      <c r="L975" s="20"/>
      <c r="M975" s="8"/>
      <c r="N975" s="20"/>
      <c r="O975" t="s" s="17">
        <v>24</v>
      </c>
    </row>
    <row r="976" ht="30.45" customHeight="1" hidden="1">
      <c r="A976" t="s" s="17">
        <v>12</v>
      </c>
      <c r="B976" t="s" s="5">
        <v>97</v>
      </c>
      <c r="C976" t="s" s="18">
        <v>1715</v>
      </c>
      <c r="D976" t="s" s="7">
        <v>379</v>
      </c>
      <c r="E976" s="25">
        <v>45246</v>
      </c>
      <c r="F976" s="9"/>
      <c r="G976" s="10"/>
      <c r="H976" s="19">
        <v>68252.350000000006</v>
      </c>
      <c r="I976" s="12">
        <v>66164.95</v>
      </c>
      <c r="J976" s="62">
        <f>I976-H976</f>
        <v>-2087.4</v>
      </c>
      <c r="K976" t="s" s="14">
        <v>87</v>
      </c>
      <c r="L976" s="15"/>
      <c r="M976" s="26"/>
      <c r="N976" t="s" s="63">
        <v>846</v>
      </c>
      <c r="O976" t="s" s="17">
        <v>19</v>
      </c>
    </row>
    <row r="977" ht="30.45" customHeight="1" hidden="1">
      <c r="A977" t="s" s="17">
        <v>20</v>
      </c>
      <c r="B977" t="s" s="5">
        <v>97</v>
      </c>
      <c r="C977" t="s" s="18">
        <v>1715</v>
      </c>
      <c r="D977" t="s" s="7">
        <v>379</v>
      </c>
      <c r="E977" s="25">
        <v>45699</v>
      </c>
      <c r="F977" t="s" s="10">
        <v>1756</v>
      </c>
      <c r="G977" t="s" s="10">
        <v>1757</v>
      </c>
      <c r="H977" s="19">
        <v>58035.4</v>
      </c>
      <c r="I977" s="12">
        <v>58035.4</v>
      </c>
      <c r="J977" s="13">
        <f>I977-H977</f>
        <v>0</v>
      </c>
      <c r="K977" t="s" s="14">
        <v>87</v>
      </c>
      <c r="L977" s="20"/>
      <c r="M977" s="16"/>
      <c r="N977" s="20"/>
      <c r="O977" t="s" s="17">
        <v>24</v>
      </c>
    </row>
    <row r="978" ht="30.45" customHeight="1" hidden="1">
      <c r="A978" t="s" s="21">
        <v>20</v>
      </c>
      <c r="B978" t="s" s="5">
        <v>97</v>
      </c>
      <c r="C978" t="s" s="18">
        <v>1715</v>
      </c>
      <c r="D978" t="s" s="7">
        <v>379</v>
      </c>
      <c r="E978" s="25">
        <v>46090</v>
      </c>
      <c r="F978" t="s" s="10">
        <v>1758</v>
      </c>
      <c r="G978" t="s" s="10">
        <v>1759</v>
      </c>
      <c r="H978" s="19">
        <v>105710</v>
      </c>
      <c r="I978" s="12">
        <f>H978</f>
        <v>105710</v>
      </c>
      <c r="J978" s="13">
        <f>I978-H978</f>
        <v>0</v>
      </c>
      <c r="K978" t="s" s="14">
        <v>87</v>
      </c>
      <c r="L978" s="20"/>
      <c r="M978" s="16"/>
      <c r="N978" s="20"/>
      <c r="O978" t="s" s="17">
        <v>24</v>
      </c>
    </row>
    <row r="979" ht="30.45" customHeight="1" hidden="1">
      <c r="A979" t="s" s="17">
        <v>96</v>
      </c>
      <c r="B979" t="s" s="5">
        <v>61</v>
      </c>
      <c r="C979" t="s" s="52">
        <v>1715</v>
      </c>
      <c r="D979" t="s" s="7">
        <v>379</v>
      </c>
      <c r="E979" s="8">
        <v>45181</v>
      </c>
      <c r="F979" t="s" s="10">
        <v>1760</v>
      </c>
      <c r="G979" t="s" s="10">
        <v>1761</v>
      </c>
      <c r="H979" s="42">
        <v>30353.91</v>
      </c>
      <c r="I979" s="26"/>
      <c r="J979" s="15">
        <f>I979-H979</f>
        <v>-30353.91</v>
      </c>
      <c r="K979" t="s" s="14">
        <v>87</v>
      </c>
      <c r="L979" s="15"/>
      <c r="M979" s="72">
        <v>45216</v>
      </c>
      <c r="N979" s="20"/>
      <c r="O979" t="s" s="17">
        <v>19</v>
      </c>
    </row>
    <row r="980" ht="30.45" customHeight="1" hidden="1">
      <c r="A980" t="s" s="17">
        <v>20</v>
      </c>
      <c r="B980" t="s" s="5">
        <v>61</v>
      </c>
      <c r="C980" t="s" s="18">
        <v>1715</v>
      </c>
      <c r="D980" t="s" s="7">
        <v>379</v>
      </c>
      <c r="E980" s="25">
        <v>45316</v>
      </c>
      <c r="F980" s="10"/>
      <c r="G980" s="10"/>
      <c r="H980" s="19">
        <v>10048.78</v>
      </c>
      <c r="I980" s="12">
        <v>10048.78</v>
      </c>
      <c r="J980" s="15">
        <f>I980-H980</f>
        <v>0</v>
      </c>
      <c r="K980" t="s" s="14">
        <v>24</v>
      </c>
      <c r="L980" s="15"/>
      <c r="M980" s="16"/>
      <c r="N980" t="s" s="113">
        <v>1762</v>
      </c>
      <c r="O980" t="s" s="17">
        <v>24</v>
      </c>
    </row>
    <row r="981" ht="30.45" customHeight="1" hidden="1">
      <c r="A981" t="s" s="21">
        <v>20</v>
      </c>
      <c r="B981" t="s" s="5">
        <v>21</v>
      </c>
      <c r="C981" t="s" s="18">
        <v>1763</v>
      </c>
      <c r="D981" t="s" s="7">
        <v>379</v>
      </c>
      <c r="E981" s="8">
        <v>46003</v>
      </c>
      <c r="F981" t="s" s="10">
        <v>1764</v>
      </c>
      <c r="G981" t="s" s="10">
        <v>1765</v>
      </c>
      <c r="H981" s="38">
        <v>28579.45</v>
      </c>
      <c r="I981" s="12">
        <v>28579.44</v>
      </c>
      <c r="J981" s="13">
        <f>I981-H981</f>
        <v>-0.01</v>
      </c>
      <c r="K981" t="s" s="14">
        <v>87</v>
      </c>
      <c r="L981" s="20"/>
      <c r="M981" s="16"/>
      <c r="N981" s="74"/>
      <c r="O981" t="s" s="17">
        <v>24</v>
      </c>
    </row>
    <row r="982" ht="30.45" customHeight="1" hidden="1">
      <c r="A982" t="s" s="21">
        <v>20</v>
      </c>
      <c r="B982" t="s" s="5">
        <v>30</v>
      </c>
      <c r="C982" t="s" s="18">
        <v>1766</v>
      </c>
      <c r="D982" t="s" s="7">
        <v>379</v>
      </c>
      <c r="E982" s="8">
        <v>46038</v>
      </c>
      <c r="F982" s="10"/>
      <c r="G982" t="s" s="10">
        <v>1767</v>
      </c>
      <c r="H982" s="19">
        <v>50197</v>
      </c>
      <c r="I982" s="12">
        <f>H982</f>
        <v>50197</v>
      </c>
      <c r="J982" s="13">
        <f>I982-H982</f>
        <v>0</v>
      </c>
      <c r="K982" t="s" s="14">
        <v>87</v>
      </c>
      <c r="L982" s="20"/>
      <c r="M982" s="16"/>
      <c r="N982" s="20"/>
      <c r="O982" t="s" s="17">
        <v>24</v>
      </c>
    </row>
    <row r="983" ht="30.45" customHeight="1" hidden="1">
      <c r="A983" t="s" s="21">
        <v>39</v>
      </c>
      <c r="B983" t="s" s="5">
        <v>349</v>
      </c>
      <c r="C983" t="s" s="18">
        <v>1768</v>
      </c>
      <c r="D983" t="s" s="7">
        <v>465</v>
      </c>
      <c r="E983" s="8">
        <v>46118</v>
      </c>
      <c r="F983" t="s" s="10">
        <v>1769</v>
      </c>
      <c r="G983" t="s" s="10">
        <v>1770</v>
      </c>
      <c r="H983" s="19">
        <v>6590.29</v>
      </c>
      <c r="I983" s="12">
        <f>H983</f>
        <v>6590.29</v>
      </c>
      <c r="J983" s="13">
        <f>I983-H983</f>
        <v>0</v>
      </c>
      <c r="K983" t="s" s="14">
        <v>467</v>
      </c>
      <c r="L983" s="20"/>
      <c r="M983" s="16"/>
      <c r="N983" s="20"/>
      <c r="O983" t="s" s="17">
        <v>24</v>
      </c>
    </row>
    <row r="984" ht="30.45" customHeight="1" hidden="1">
      <c r="A984" t="s" s="21">
        <v>39</v>
      </c>
      <c r="B984" t="s" s="5">
        <v>79</v>
      </c>
      <c r="C984" t="s" s="18">
        <v>1768</v>
      </c>
      <c r="D984" t="s" s="7">
        <v>465</v>
      </c>
      <c r="E984" s="25">
        <v>46031</v>
      </c>
      <c r="F984" t="s" s="10">
        <v>424</v>
      </c>
      <c r="G984" t="s" s="10">
        <v>1771</v>
      </c>
      <c r="H984" s="19">
        <v>15605</v>
      </c>
      <c r="I984" s="12">
        <f>H984</f>
        <v>15605</v>
      </c>
      <c r="J984" s="13">
        <f>I984-H984</f>
        <v>0</v>
      </c>
      <c r="K984" t="s" s="14">
        <v>467</v>
      </c>
      <c r="L984" s="20"/>
      <c r="M984" s="16"/>
      <c r="N984" s="20"/>
      <c r="O984" t="s" s="17">
        <v>24</v>
      </c>
    </row>
    <row r="985" ht="30.45" customHeight="1" hidden="1">
      <c r="A985" t="s" s="21">
        <v>39</v>
      </c>
      <c r="B985" t="s" s="5">
        <v>30</v>
      </c>
      <c r="C985" t="s" s="18">
        <v>1768</v>
      </c>
      <c r="D985" t="s" s="7">
        <v>465</v>
      </c>
      <c r="E985" s="8">
        <v>46023</v>
      </c>
      <c r="F985" s="10"/>
      <c r="G985" t="s" s="10">
        <v>1772</v>
      </c>
      <c r="H985" s="19">
        <v>13890</v>
      </c>
      <c r="I985" s="12">
        <f>H985</f>
        <v>13890</v>
      </c>
      <c r="J985" s="13">
        <f>I985-H985</f>
        <v>0</v>
      </c>
      <c r="K985" t="s" s="14">
        <v>467</v>
      </c>
      <c r="L985" s="20"/>
      <c r="M985" s="16"/>
      <c r="N985" s="20"/>
      <c r="O985" t="s" s="17">
        <v>24</v>
      </c>
    </row>
    <row r="986" ht="30.45" customHeight="1" hidden="1">
      <c r="A986" t="s" s="17">
        <v>133</v>
      </c>
      <c r="B986" t="s" s="5">
        <v>317</v>
      </c>
      <c r="C986" t="s" s="18">
        <v>1768</v>
      </c>
      <c r="D986" t="s" s="7">
        <v>468</v>
      </c>
      <c r="E986" s="8">
        <v>45233</v>
      </c>
      <c r="F986" s="9">
        <v>114</v>
      </c>
      <c r="G986" t="s" s="10">
        <v>1773</v>
      </c>
      <c r="H986" s="19">
        <v>20520.5</v>
      </c>
      <c r="I986" s="12">
        <v>20220.5</v>
      </c>
      <c r="J986" s="15">
        <f>I986-H986</f>
        <v>-300</v>
      </c>
      <c r="K986" t="s" s="14">
        <v>467</v>
      </c>
      <c r="L986" s="15"/>
      <c r="M986" s="58">
        <v>45270</v>
      </c>
      <c r="N986" t="s" s="114">
        <v>1774</v>
      </c>
      <c r="O986" t="s" s="17">
        <v>19</v>
      </c>
    </row>
    <row r="987" ht="30.45" customHeight="1" hidden="1">
      <c r="A987" t="s" s="21">
        <v>39</v>
      </c>
      <c r="B987" t="s" s="5">
        <v>36</v>
      </c>
      <c r="C987" t="s" s="18">
        <v>1768</v>
      </c>
      <c r="D987" t="s" s="7">
        <v>465</v>
      </c>
      <c r="E987" s="25">
        <v>45999</v>
      </c>
      <c r="F987" t="s" s="10">
        <v>1775</v>
      </c>
      <c r="G987" t="s" s="10">
        <v>1776</v>
      </c>
      <c r="H987" s="19">
        <v>22811.75</v>
      </c>
      <c r="I987" s="12">
        <v>22706.35</v>
      </c>
      <c r="J987" s="15">
        <f>I987-H987</f>
        <v>-105.4</v>
      </c>
      <c r="K987" t="s" s="14">
        <v>467</v>
      </c>
      <c r="L987" s="20"/>
      <c r="M987" s="16"/>
      <c r="N987" s="20"/>
      <c r="O987" t="s" s="17">
        <v>24</v>
      </c>
    </row>
    <row r="988" ht="30.45" customHeight="1" hidden="1">
      <c r="A988" t="s" s="17">
        <v>39</v>
      </c>
      <c r="B988" t="s" s="5">
        <v>40</v>
      </c>
      <c r="C988" t="s" s="18">
        <v>1768</v>
      </c>
      <c r="D988" t="s" s="7">
        <v>468</v>
      </c>
      <c r="E988" s="25">
        <v>45244</v>
      </c>
      <c r="F988" s="9">
        <v>409</v>
      </c>
      <c r="G988" s="55">
        <v>1657</v>
      </c>
      <c r="H988" s="26">
        <v>10556.03</v>
      </c>
      <c r="I988" s="12">
        <v>10556.03</v>
      </c>
      <c r="J988" s="20"/>
      <c r="K988" t="s" s="14">
        <v>467</v>
      </c>
      <c r="L988" s="15"/>
      <c r="M988" s="27">
        <v>45281</v>
      </c>
      <c r="N988" s="16"/>
      <c r="O988" t="s" s="17">
        <v>24</v>
      </c>
    </row>
    <row r="989" ht="30.45" customHeight="1" hidden="1">
      <c r="A989" t="s" s="17">
        <v>39</v>
      </c>
      <c r="B989" t="s" s="5">
        <v>40</v>
      </c>
      <c r="C989" t="s" s="18">
        <v>1768</v>
      </c>
      <c r="D989" t="s" s="7">
        <v>468</v>
      </c>
      <c r="E989" s="25">
        <v>45365</v>
      </c>
      <c r="F989" t="s" s="10">
        <v>1777</v>
      </c>
      <c r="G989" t="s" s="10">
        <v>1778</v>
      </c>
      <c r="H989" s="26">
        <v>18656.72</v>
      </c>
      <c r="I989" s="12">
        <v>18656.64</v>
      </c>
      <c r="J989" s="15">
        <f>I989-H989</f>
        <v>-0.08</v>
      </c>
      <c r="K989" t="s" s="14">
        <v>467</v>
      </c>
      <c r="L989" s="15"/>
      <c r="M989" s="8">
        <v>45402</v>
      </c>
      <c r="N989" s="16"/>
      <c r="O989" t="s" s="17">
        <v>24</v>
      </c>
    </row>
    <row r="990" ht="30.45" customHeight="1" hidden="1">
      <c r="A990" t="s" s="17">
        <v>39</v>
      </c>
      <c r="B990" t="s" s="5">
        <v>40</v>
      </c>
      <c r="C990" t="s" s="18">
        <v>1768</v>
      </c>
      <c r="D990" t="s" s="7">
        <v>468</v>
      </c>
      <c r="E990" s="8">
        <v>45449</v>
      </c>
      <c r="F990" t="s" s="10">
        <v>1779</v>
      </c>
      <c r="G990" t="s" s="10">
        <v>1780</v>
      </c>
      <c r="H990" s="15">
        <v>17698.36</v>
      </c>
      <c r="I990" s="12">
        <v>17698.36</v>
      </c>
      <c r="J990" s="15">
        <f>I990-H990</f>
        <v>0</v>
      </c>
      <c r="K990" t="s" s="14">
        <v>467</v>
      </c>
      <c r="L990" s="15"/>
      <c r="M990" s="8">
        <v>45484</v>
      </c>
      <c r="N990" s="20"/>
      <c r="O990" t="s" s="17">
        <v>24</v>
      </c>
    </row>
    <row r="991" ht="30.45" customHeight="1" hidden="1">
      <c r="A991" t="s" s="17">
        <v>20</v>
      </c>
      <c r="B991" t="s" s="5">
        <v>40</v>
      </c>
      <c r="C991" t="s" s="23">
        <v>1768</v>
      </c>
      <c r="D991" t="s" s="7">
        <v>468</v>
      </c>
      <c r="E991" s="8">
        <v>45525</v>
      </c>
      <c r="F991" t="s" s="10">
        <v>1781</v>
      </c>
      <c r="G991" t="s" s="10">
        <v>1782</v>
      </c>
      <c r="H991" s="15">
        <v>7411.03</v>
      </c>
      <c r="I991" s="12">
        <v>7411.32</v>
      </c>
      <c r="J991" s="15">
        <f>I991-H991</f>
        <v>0.29</v>
      </c>
      <c r="K991" t="s" s="14">
        <v>467</v>
      </c>
      <c r="L991" s="20"/>
      <c r="M991" s="16"/>
      <c r="N991" s="20"/>
      <c r="O991" t="s" s="17">
        <v>24</v>
      </c>
    </row>
    <row r="992" ht="30.45" customHeight="1" hidden="1">
      <c r="A992" t="s" s="17">
        <v>49</v>
      </c>
      <c r="B992" t="s" s="5">
        <v>40</v>
      </c>
      <c r="C992" t="s" s="18">
        <v>1768</v>
      </c>
      <c r="D992" t="s" s="7">
        <v>468</v>
      </c>
      <c r="E992" s="8">
        <v>45707</v>
      </c>
      <c r="F992" t="s" s="10">
        <v>1783</v>
      </c>
      <c r="G992" t="s" s="10">
        <v>1784</v>
      </c>
      <c r="H992" s="39">
        <v>10996.28</v>
      </c>
      <c r="I992" s="12">
        <v>10996.28</v>
      </c>
      <c r="J992" s="15">
        <f>I992-H992</f>
        <v>0</v>
      </c>
      <c r="K992" t="s" s="14">
        <v>467</v>
      </c>
      <c r="L992" s="20"/>
      <c r="M992" s="16"/>
      <c r="N992" s="20"/>
      <c r="O992" t="s" s="17">
        <v>24</v>
      </c>
    </row>
    <row r="993" ht="30.45" customHeight="1" hidden="1">
      <c r="A993" t="s" s="21">
        <v>20</v>
      </c>
      <c r="B993" t="s" s="5">
        <v>40</v>
      </c>
      <c r="C993" t="s" s="18">
        <v>1768</v>
      </c>
      <c r="D993" t="s" s="7">
        <v>468</v>
      </c>
      <c r="E993" s="8">
        <v>45854</v>
      </c>
      <c r="F993" t="s" s="10">
        <v>1785</v>
      </c>
      <c r="G993" t="s" s="10">
        <v>1786</v>
      </c>
      <c r="H993" s="19">
        <v>14838.69</v>
      </c>
      <c r="I993" s="12">
        <v>14838.59</v>
      </c>
      <c r="J993" s="15">
        <f>I993-H993</f>
        <v>-0.1</v>
      </c>
      <c r="K993" t="s" s="14">
        <v>467</v>
      </c>
      <c r="L993" s="20"/>
      <c r="M993" s="16"/>
      <c r="N993" s="20"/>
      <c r="O993" t="s" s="17">
        <v>24</v>
      </c>
    </row>
    <row r="994" ht="30.45" customHeight="1" hidden="1">
      <c r="A994" t="s" s="21">
        <v>20</v>
      </c>
      <c r="B994" t="s" s="5">
        <v>40</v>
      </c>
      <c r="C994" t="s" s="18">
        <v>1768</v>
      </c>
      <c r="D994" t="s" s="7">
        <v>465</v>
      </c>
      <c r="E994" s="8">
        <v>45924</v>
      </c>
      <c r="F994" t="s" s="10">
        <v>1787</v>
      </c>
      <c r="G994" t="s" s="10">
        <v>1788</v>
      </c>
      <c r="H994" s="19">
        <v>8418.120000000001</v>
      </c>
      <c r="I994" s="12">
        <v>8418.120000000001</v>
      </c>
      <c r="J994" s="15">
        <f>I994-H994</f>
        <v>0</v>
      </c>
      <c r="K994" t="s" s="14">
        <v>17</v>
      </c>
      <c r="L994" s="20"/>
      <c r="M994" s="16"/>
      <c r="N994" s="20"/>
      <c r="O994" t="s" s="17">
        <v>24</v>
      </c>
    </row>
    <row r="995" ht="30.45" customHeight="1" hidden="1">
      <c r="A995" t="s" s="21">
        <v>39</v>
      </c>
      <c r="B995" t="s" s="5">
        <v>40</v>
      </c>
      <c r="C995" t="s" s="18">
        <v>1768</v>
      </c>
      <c r="D995" t="s" s="7">
        <v>465</v>
      </c>
      <c r="E995" s="8">
        <v>46083</v>
      </c>
      <c r="F995" t="s" s="10">
        <v>1789</v>
      </c>
      <c r="G995" t="s" s="10">
        <v>1790</v>
      </c>
      <c r="H995" s="19">
        <v>11536.84</v>
      </c>
      <c r="I995" s="12">
        <f>H995</f>
        <v>11536.84</v>
      </c>
      <c r="J995" s="15">
        <f>I995-H995</f>
        <v>0</v>
      </c>
      <c r="K995" t="s" s="14">
        <v>467</v>
      </c>
      <c r="L995" s="20"/>
      <c r="M995" s="16"/>
      <c r="N995" s="20"/>
      <c r="O995" t="s" s="17">
        <v>24</v>
      </c>
    </row>
    <row r="996" ht="30.45" customHeight="1" hidden="1">
      <c r="A996" t="s" s="21">
        <v>20</v>
      </c>
      <c r="B996" t="s" s="5">
        <v>97</v>
      </c>
      <c r="C996" t="s" s="23">
        <v>1768</v>
      </c>
      <c r="D996" t="s" s="7">
        <v>468</v>
      </c>
      <c r="E996" s="25">
        <v>45777</v>
      </c>
      <c r="F996" t="s" s="10">
        <v>1791</v>
      </c>
      <c r="G996" t="s" s="10">
        <v>1792</v>
      </c>
      <c r="H996" s="19">
        <v>28922.4</v>
      </c>
      <c r="I996" s="12">
        <v>28922.4</v>
      </c>
      <c r="J996" s="13">
        <f>I996-H996</f>
        <v>0</v>
      </c>
      <c r="K996" t="s" s="14">
        <v>467</v>
      </c>
      <c r="L996" s="20"/>
      <c r="M996" s="16"/>
      <c r="N996" s="20"/>
      <c r="O996" t="s" s="17">
        <v>24</v>
      </c>
    </row>
    <row r="997" ht="30.45" customHeight="1" hidden="1">
      <c r="A997" t="s" s="21">
        <v>20</v>
      </c>
      <c r="B997" t="s" s="5">
        <v>61</v>
      </c>
      <c r="C997" t="s" s="18">
        <v>1768</v>
      </c>
      <c r="D997" t="s" s="7">
        <v>468</v>
      </c>
      <c r="E997" s="25">
        <v>45737</v>
      </c>
      <c r="F997" t="s" s="10">
        <v>1793</v>
      </c>
      <c r="G997" t="s" s="10">
        <v>1794</v>
      </c>
      <c r="H997" s="31">
        <v>30326.25</v>
      </c>
      <c r="I997" s="12">
        <v>30326.68</v>
      </c>
      <c r="J997" s="15">
        <f>I997-H997</f>
        <v>0.43</v>
      </c>
      <c r="K997" t="s" s="14">
        <v>467</v>
      </c>
      <c r="L997" s="15"/>
      <c r="M997" s="16"/>
      <c r="N997" s="20"/>
      <c r="O997" t="s" s="17">
        <v>24</v>
      </c>
    </row>
    <row r="998" ht="30.45" customHeight="1" hidden="1">
      <c r="A998" t="s" s="21">
        <v>20</v>
      </c>
      <c r="B998" t="s" s="5">
        <v>61</v>
      </c>
      <c r="C998" t="s" s="18">
        <v>1768</v>
      </c>
      <c r="D998" t="s" s="7">
        <v>468</v>
      </c>
      <c r="E998" s="25">
        <v>45845</v>
      </c>
      <c r="F998" t="s" s="10">
        <v>1795</v>
      </c>
      <c r="G998" t="s" s="10">
        <v>1796</v>
      </c>
      <c r="H998" s="31">
        <v>28454.45</v>
      </c>
      <c r="I998" s="12">
        <v>28454.45</v>
      </c>
      <c r="J998" s="15">
        <f>I998-H998</f>
        <v>0</v>
      </c>
      <c r="K998" t="s" s="14">
        <v>467</v>
      </c>
      <c r="L998" s="15"/>
      <c r="M998" s="16"/>
      <c r="N998" s="20"/>
      <c r="O998" t="s" s="17">
        <v>24</v>
      </c>
    </row>
    <row r="999" ht="30.45" customHeight="1" hidden="1">
      <c r="A999" t="s" s="21">
        <v>39</v>
      </c>
      <c r="B999" t="s" s="5">
        <v>488</v>
      </c>
      <c r="C999" t="s" s="18">
        <v>1768</v>
      </c>
      <c r="D999" t="s" s="7">
        <v>465</v>
      </c>
      <c r="E999" s="8">
        <v>46064</v>
      </c>
      <c r="F999" t="s" s="10">
        <v>977</v>
      </c>
      <c r="G999" t="s" s="10">
        <v>1797</v>
      </c>
      <c r="H999" s="19">
        <v>9021.6</v>
      </c>
      <c r="I999" s="12">
        <f>H999</f>
        <v>9021.6</v>
      </c>
      <c r="J999" s="15">
        <f>I999-H999</f>
        <v>0</v>
      </c>
      <c r="K999" t="s" s="14">
        <v>467</v>
      </c>
      <c r="L999" s="20"/>
      <c r="M999" s="16"/>
      <c r="N999" s="20"/>
      <c r="O999" t="s" s="17">
        <v>24</v>
      </c>
    </row>
    <row r="1000" ht="30.45" customHeight="1" hidden="1">
      <c r="A1000" t="s" s="21">
        <v>501</v>
      </c>
      <c r="B1000" t="s" s="5">
        <v>47</v>
      </c>
      <c r="C1000" t="s" s="23">
        <v>1768</v>
      </c>
      <c r="D1000" t="s" s="7">
        <v>468</v>
      </c>
      <c r="E1000" s="8">
        <v>46157</v>
      </c>
      <c r="F1000" t="s" s="10">
        <v>1798</v>
      </c>
      <c r="G1000" t="s" s="10">
        <v>1799</v>
      </c>
      <c r="H1000" s="19">
        <v>16541.15</v>
      </c>
      <c r="I1000" s="12">
        <v>5513.73</v>
      </c>
      <c r="J1000" s="15">
        <f>I1000-H1000</f>
        <v>-11027.42</v>
      </c>
      <c r="K1000" t="s" s="14">
        <v>467</v>
      </c>
      <c r="L1000" s="20"/>
      <c r="M1000" s="8"/>
      <c r="N1000" s="20"/>
      <c r="O1000" t="s" s="17">
        <v>24</v>
      </c>
    </row>
    <row r="1001" ht="30.45" customHeight="1" hidden="1">
      <c r="A1001" t="s" s="21">
        <v>77</v>
      </c>
      <c r="B1001" t="s" s="5">
        <v>30</v>
      </c>
      <c r="C1001" t="s" s="23">
        <v>1768</v>
      </c>
      <c r="D1001" t="s" s="7">
        <v>468</v>
      </c>
      <c r="E1001" s="8">
        <v>46198</v>
      </c>
      <c r="F1001" s="10"/>
      <c r="G1001" t="s" s="10">
        <v>1800</v>
      </c>
      <c r="H1001" s="19">
        <v>15710</v>
      </c>
      <c r="I1001" s="26"/>
      <c r="J1001" s="13">
        <f>I1001-H1001</f>
        <v>-15710</v>
      </c>
      <c r="K1001" t="s" s="14">
        <v>467</v>
      </c>
      <c r="L1001" s="20"/>
      <c r="M1001" s="16"/>
      <c r="N1001" s="20"/>
      <c r="O1001" t="s" s="17">
        <v>24</v>
      </c>
    </row>
    <row r="1002" ht="30.45" customHeight="1" hidden="1">
      <c r="A1002" s="32"/>
      <c r="B1002" t="s" s="5">
        <v>40</v>
      </c>
      <c r="C1002" t="s" s="33">
        <v>1768</v>
      </c>
      <c r="D1002" t="s" s="7">
        <v>468</v>
      </c>
      <c r="E1002" s="8"/>
      <c r="F1002" s="10"/>
      <c r="G1002" s="10"/>
      <c r="H1002" s="15"/>
      <c r="I1002" s="26"/>
      <c r="J1002" s="15">
        <f>I1002-H1002</f>
        <v>0</v>
      </c>
      <c r="K1002" t="s" s="14">
        <v>24</v>
      </c>
      <c r="L1002" s="20"/>
      <c r="M1002" s="16"/>
      <c r="N1002" s="20"/>
      <c r="O1002" t="s" s="17">
        <v>24</v>
      </c>
    </row>
    <row r="1003" ht="30.45" customHeight="1" hidden="1">
      <c r="A1003" t="s" s="17">
        <v>39</v>
      </c>
      <c r="B1003" t="s" s="5">
        <v>633</v>
      </c>
      <c r="C1003" t="s" s="28">
        <v>1801</v>
      </c>
      <c r="D1003" t="s" s="7">
        <v>379</v>
      </c>
      <c r="E1003" s="8">
        <v>45563</v>
      </c>
      <c r="F1003" t="s" s="10">
        <v>1802</v>
      </c>
      <c r="G1003" t="s" s="10">
        <v>1803</v>
      </c>
      <c r="H1003" s="39">
        <v>31531.84</v>
      </c>
      <c r="I1003" s="29">
        <v>31526.88</v>
      </c>
      <c r="J1003" s="15">
        <f>I1003-H1003</f>
        <v>-4.96</v>
      </c>
      <c r="K1003" t="s" s="14">
        <v>87</v>
      </c>
      <c r="L1003" s="20"/>
      <c r="M1003" s="16"/>
      <c r="N1003" s="20"/>
      <c r="O1003" t="s" s="17">
        <v>24</v>
      </c>
    </row>
    <row r="1004" ht="30.45" customHeight="1" hidden="1">
      <c r="A1004" t="s" s="17">
        <v>20</v>
      </c>
      <c r="B1004" t="s" s="5">
        <v>79</v>
      </c>
      <c r="C1004" t="s" s="18">
        <v>1801</v>
      </c>
      <c r="D1004" t="s" s="7">
        <v>379</v>
      </c>
      <c r="E1004" s="25">
        <v>45569</v>
      </c>
      <c r="F1004" t="s" s="10">
        <v>583</v>
      </c>
      <c r="G1004" t="s" s="10">
        <v>1804</v>
      </c>
      <c r="H1004" s="19">
        <v>21417.6</v>
      </c>
      <c r="I1004" s="12">
        <v>21400</v>
      </c>
      <c r="J1004" s="13">
        <f>I1004-H1004</f>
        <v>-17.6</v>
      </c>
      <c r="K1004" t="s" s="14">
        <v>87</v>
      </c>
      <c r="L1004" s="20"/>
      <c r="M1004" s="16"/>
      <c r="N1004" s="20"/>
      <c r="O1004" t="s" s="17">
        <v>24</v>
      </c>
    </row>
    <row r="1005" ht="30.45" customHeight="1" hidden="1">
      <c r="A1005" t="s" s="17">
        <v>39</v>
      </c>
      <c r="B1005" t="s" s="5">
        <v>633</v>
      </c>
      <c r="C1005" t="s" s="28">
        <v>1805</v>
      </c>
      <c r="D1005" t="s" s="7">
        <v>379</v>
      </c>
      <c r="E1005" s="8">
        <v>45563</v>
      </c>
      <c r="F1005" t="s" s="10">
        <v>1806</v>
      </c>
      <c r="G1005" t="s" s="10">
        <v>1803</v>
      </c>
      <c r="H1005" s="39">
        <v>29502.35</v>
      </c>
      <c r="I1005" s="29">
        <v>29502.35</v>
      </c>
      <c r="J1005" s="15">
        <f>I1005-H1005</f>
        <v>0</v>
      </c>
      <c r="K1005" t="s" s="14">
        <v>87</v>
      </c>
      <c r="L1005" s="20"/>
      <c r="M1005" s="8"/>
      <c r="N1005" s="20"/>
      <c r="O1005" t="s" s="17">
        <v>24</v>
      </c>
    </row>
    <row r="1006" ht="30.45" customHeight="1" hidden="1">
      <c r="A1006" t="s" s="17">
        <v>39</v>
      </c>
      <c r="B1006" t="s" s="5">
        <v>79</v>
      </c>
      <c r="C1006" t="s" s="18">
        <v>1805</v>
      </c>
      <c r="D1006" t="s" s="7">
        <v>379</v>
      </c>
      <c r="E1006" s="25">
        <v>45205</v>
      </c>
      <c r="F1006" s="9">
        <v>9</v>
      </c>
      <c r="G1006" t="s" s="10">
        <v>1652</v>
      </c>
      <c r="H1006" s="26">
        <v>4561.2</v>
      </c>
      <c r="I1006" s="12">
        <v>4560</v>
      </c>
      <c r="J1006" s="15">
        <f>I1006-H1006</f>
        <v>-1.2</v>
      </c>
      <c r="K1006" t="s" s="14">
        <v>24</v>
      </c>
      <c r="L1006" s="15"/>
      <c r="M1006" s="16"/>
      <c r="N1006" t="s" s="10">
        <v>1807</v>
      </c>
      <c r="O1006" t="s" s="17">
        <v>24</v>
      </c>
    </row>
    <row r="1007" ht="30.45" customHeight="1" hidden="1">
      <c r="A1007" t="s" s="17">
        <v>39</v>
      </c>
      <c r="B1007" t="s" s="5">
        <v>79</v>
      </c>
      <c r="C1007" t="s" s="18">
        <v>1805</v>
      </c>
      <c r="D1007" t="s" s="7">
        <v>379</v>
      </c>
      <c r="E1007" s="25">
        <v>45312</v>
      </c>
      <c r="F1007" s="9">
        <v>10</v>
      </c>
      <c r="G1007" s="9">
        <v>1750</v>
      </c>
      <c r="H1007" s="19">
        <v>7725</v>
      </c>
      <c r="I1007" s="12">
        <v>7550</v>
      </c>
      <c r="J1007" s="24">
        <f>I1007-H1007</f>
        <v>-175</v>
      </c>
      <c r="K1007" t="s" s="14">
        <v>87</v>
      </c>
      <c r="L1007" s="15"/>
      <c r="M1007" s="43">
        <v>45349</v>
      </c>
      <c r="N1007" t="s" s="81">
        <v>1808</v>
      </c>
      <c r="O1007" t="s" s="17">
        <v>24</v>
      </c>
    </row>
    <row r="1008" ht="30.45" customHeight="1" hidden="1">
      <c r="A1008" t="s" s="21">
        <v>133</v>
      </c>
      <c r="B1008" t="s" s="5">
        <v>79</v>
      </c>
      <c r="C1008" t="s" s="18">
        <v>1805</v>
      </c>
      <c r="D1008" t="s" s="7">
        <v>379</v>
      </c>
      <c r="E1008" s="25">
        <v>45735</v>
      </c>
      <c r="F1008" t="s" s="10">
        <v>905</v>
      </c>
      <c r="G1008" t="s" s="10">
        <v>1809</v>
      </c>
      <c r="H1008" s="50">
        <v>8447.040000000001</v>
      </c>
      <c r="I1008" s="12">
        <v>8535</v>
      </c>
      <c r="J1008" s="13">
        <f>I1008-H1008</f>
        <v>87.95999999999999</v>
      </c>
      <c r="K1008" t="s" s="14">
        <v>87</v>
      </c>
      <c r="L1008" s="20"/>
      <c r="M1008" s="16"/>
      <c r="N1008" s="20"/>
      <c r="O1008" t="s" s="17">
        <v>19</v>
      </c>
    </row>
    <row r="1009" ht="30.45" customHeight="1" hidden="1">
      <c r="A1009" t="s" s="17">
        <v>39</v>
      </c>
      <c r="B1009" t="s" s="5">
        <v>68</v>
      </c>
      <c r="C1009" t="s" s="18">
        <v>1805</v>
      </c>
      <c r="D1009" t="s" s="7">
        <v>379</v>
      </c>
      <c r="E1009" s="25">
        <v>45254</v>
      </c>
      <c r="F1009" s="9"/>
      <c r="G1009" s="10"/>
      <c r="H1009" s="19">
        <v>10660.6</v>
      </c>
      <c r="I1009" s="12">
        <v>10660</v>
      </c>
      <c r="J1009" s="15">
        <f>I1009-H1009</f>
        <v>-0.6</v>
      </c>
      <c r="K1009" t="s" s="14">
        <v>87</v>
      </c>
      <c r="L1009" s="15"/>
      <c r="M1009" s="27">
        <v>45288</v>
      </c>
      <c r="N1009" s="20"/>
      <c r="O1009" t="s" s="17">
        <v>24</v>
      </c>
    </row>
    <row r="1010" ht="30.45" customHeight="1" hidden="1">
      <c r="A1010" t="s" s="4">
        <v>39</v>
      </c>
      <c r="B1010" t="s" s="5">
        <v>420</v>
      </c>
      <c r="C1010" t="s" s="91">
        <v>1810</v>
      </c>
      <c r="D1010" t="s" s="7">
        <v>151</v>
      </c>
      <c r="E1010" s="25">
        <v>46028</v>
      </c>
      <c r="F1010" s="16"/>
      <c r="G1010" s="16"/>
      <c r="H1010" s="50">
        <v>11900</v>
      </c>
      <c r="I1010" s="12">
        <f>H1010</f>
        <v>11900</v>
      </c>
      <c r="J1010" s="15">
        <f>I1010-H1010</f>
        <v>0</v>
      </c>
      <c r="K1010" t="s" s="14">
        <v>153</v>
      </c>
      <c r="L1010" s="15"/>
      <c r="M1010" s="16"/>
      <c r="N1010" s="20"/>
      <c r="O1010" t="s" s="17">
        <v>24</v>
      </c>
    </row>
    <row r="1011" ht="30.45" customHeight="1" hidden="1">
      <c r="A1011" t="s" s="30">
        <v>39</v>
      </c>
      <c r="B1011" t="s" s="5">
        <v>68</v>
      </c>
      <c r="C1011" t="s" s="64">
        <v>1810</v>
      </c>
      <c r="D1011" t="s" s="7">
        <v>151</v>
      </c>
      <c r="E1011" s="25">
        <v>45992</v>
      </c>
      <c r="F1011" s="16"/>
      <c r="G1011" s="16"/>
      <c r="H1011" s="50">
        <v>9520</v>
      </c>
      <c r="I1011" s="12">
        <f>H1011</f>
        <v>9520</v>
      </c>
      <c r="J1011" s="15">
        <f>I1011-H1011</f>
        <v>0</v>
      </c>
      <c r="K1011" t="s" s="14">
        <v>153</v>
      </c>
      <c r="L1011" s="15"/>
      <c r="M1011" s="22"/>
      <c r="N1011" s="20"/>
      <c r="O1011" t="s" s="17">
        <v>24</v>
      </c>
    </row>
    <row r="1012" ht="30.45" customHeight="1" hidden="1">
      <c r="A1012" t="s" s="36">
        <v>112</v>
      </c>
      <c r="B1012" t="s" s="5">
        <v>68</v>
      </c>
      <c r="C1012" t="s" s="23">
        <v>1810</v>
      </c>
      <c r="D1012" t="s" s="7">
        <v>151</v>
      </c>
      <c r="E1012" s="8">
        <v>46108</v>
      </c>
      <c r="F1012" s="10"/>
      <c r="G1012" s="10"/>
      <c r="H1012" s="19">
        <v>11900</v>
      </c>
      <c r="I1012" s="12">
        <v>3000</v>
      </c>
      <c r="J1012" s="15">
        <f>I1012-H1012</f>
        <v>-8900</v>
      </c>
      <c r="K1012" t="s" s="14">
        <v>153</v>
      </c>
      <c r="L1012" s="20"/>
      <c r="M1012" s="8"/>
      <c r="N1012" s="20"/>
      <c r="O1012" t="s" s="17">
        <v>24</v>
      </c>
    </row>
    <row r="1013" ht="30.45" customHeight="1" hidden="1">
      <c r="A1013" t="s" s="21">
        <v>20</v>
      </c>
      <c r="B1013" t="s" s="5">
        <v>40</v>
      </c>
      <c r="C1013" t="s" s="18">
        <v>1811</v>
      </c>
      <c r="D1013" t="s" s="7">
        <v>468</v>
      </c>
      <c r="E1013" s="8">
        <v>46142</v>
      </c>
      <c r="F1013" t="s" s="10">
        <v>1812</v>
      </c>
      <c r="G1013" t="s" s="10">
        <v>1813</v>
      </c>
      <c r="H1013" s="19">
        <v>21075.11</v>
      </c>
      <c r="I1013" s="12">
        <f>H1013</f>
        <v>21075.11</v>
      </c>
      <c r="J1013" s="15">
        <f>I1013-H1013</f>
        <v>0</v>
      </c>
      <c r="K1013" t="s" s="14">
        <v>467</v>
      </c>
      <c r="L1013" s="20"/>
      <c r="M1013" s="16"/>
      <c r="N1013" s="20"/>
      <c r="O1013" t="s" s="17">
        <v>24</v>
      </c>
    </row>
    <row r="1014" ht="30.45" customHeight="1" hidden="1">
      <c r="A1014" t="s" s="17">
        <v>39</v>
      </c>
      <c r="B1014" t="s" s="5">
        <v>79</v>
      </c>
      <c r="C1014" t="s" s="18">
        <v>1811</v>
      </c>
      <c r="D1014" t="s" s="7">
        <v>468</v>
      </c>
      <c r="E1014" s="25">
        <v>45476</v>
      </c>
      <c r="F1014" t="s" s="10">
        <v>82</v>
      </c>
      <c r="G1014" t="s" s="10">
        <v>1814</v>
      </c>
      <c r="H1014" s="19">
        <v>21911.25</v>
      </c>
      <c r="I1014" s="12">
        <v>21911.25</v>
      </c>
      <c r="J1014" s="26">
        <f>I1014-H1014</f>
        <v>0</v>
      </c>
      <c r="K1014" t="s" s="14">
        <v>24</v>
      </c>
      <c r="L1014" s="20"/>
      <c r="M1014" s="16"/>
      <c r="N1014" s="20"/>
      <c r="O1014" t="s" s="17">
        <v>24</v>
      </c>
    </row>
    <row r="1015" ht="30.45" customHeight="1" hidden="1">
      <c r="A1015" t="s" s="21">
        <v>20</v>
      </c>
      <c r="B1015" t="s" s="5">
        <v>30</v>
      </c>
      <c r="C1015" t="s" s="23">
        <v>1811</v>
      </c>
      <c r="D1015" t="s" s="7">
        <v>468</v>
      </c>
      <c r="E1015" s="8">
        <v>45751</v>
      </c>
      <c r="F1015" s="16"/>
      <c r="G1015" t="s" s="10">
        <v>1815</v>
      </c>
      <c r="H1015" s="19">
        <v>51531</v>
      </c>
      <c r="I1015" s="12">
        <v>51531</v>
      </c>
      <c r="J1015" s="13">
        <f>I1015-H1015</f>
        <v>0</v>
      </c>
      <c r="K1015" t="s" s="14">
        <v>467</v>
      </c>
      <c r="L1015" s="20"/>
      <c r="M1015" s="16"/>
      <c r="N1015" s="20"/>
      <c r="O1015" t="s" s="17">
        <v>24</v>
      </c>
    </row>
    <row r="1016" ht="30.45" customHeight="1" hidden="1">
      <c r="A1016" t="s" s="21">
        <v>20</v>
      </c>
      <c r="B1016" t="s" s="5">
        <v>36</v>
      </c>
      <c r="C1016" t="s" s="18">
        <v>1811</v>
      </c>
      <c r="D1016" t="s" s="7">
        <v>465</v>
      </c>
      <c r="E1016" s="8">
        <v>46129</v>
      </c>
      <c r="F1016" s="9">
        <v>4058</v>
      </c>
      <c r="G1016" t="s" s="10">
        <v>1816</v>
      </c>
      <c r="H1016" s="19">
        <v>31021.19</v>
      </c>
      <c r="I1016" s="12">
        <v>31021.2</v>
      </c>
      <c r="J1016" s="15">
        <f>I1016-H1016</f>
        <v>0.01</v>
      </c>
      <c r="K1016" t="s" s="14">
        <v>467</v>
      </c>
      <c r="L1016" s="20"/>
      <c r="M1016" s="16"/>
      <c r="N1016" s="20"/>
      <c r="O1016" t="s" s="17">
        <v>24</v>
      </c>
    </row>
    <row r="1017" ht="30.45" customHeight="1" hidden="1">
      <c r="A1017" t="s" s="17">
        <v>20</v>
      </c>
      <c r="B1017" t="s" s="5">
        <v>40</v>
      </c>
      <c r="C1017" t="s" s="6">
        <v>1811</v>
      </c>
      <c r="D1017" t="s" s="7">
        <v>468</v>
      </c>
      <c r="E1017" s="25">
        <v>45365</v>
      </c>
      <c r="F1017" t="s" s="10">
        <v>1817</v>
      </c>
      <c r="G1017" t="s" s="10">
        <v>1818</v>
      </c>
      <c r="H1017" s="19">
        <v>13128.68</v>
      </c>
      <c r="I1017" s="40">
        <v>13128.2</v>
      </c>
      <c r="J1017" s="15">
        <f>I1017-H1017</f>
        <v>-0.48</v>
      </c>
      <c r="K1017" t="s" s="14">
        <v>467</v>
      </c>
      <c r="L1017" s="15"/>
      <c r="M1017" s="8">
        <v>45402</v>
      </c>
      <c r="N1017" s="16"/>
      <c r="O1017" t="s" s="17">
        <v>24</v>
      </c>
    </row>
    <row r="1018" ht="30.45" customHeight="1" hidden="1">
      <c r="A1018" t="s" s="17">
        <v>49</v>
      </c>
      <c r="B1018" t="s" s="5">
        <v>40</v>
      </c>
      <c r="C1018" t="s" s="6">
        <v>1811</v>
      </c>
      <c r="D1018" t="s" s="7">
        <v>468</v>
      </c>
      <c r="E1018" s="8">
        <v>45483</v>
      </c>
      <c r="F1018" t="s" s="10">
        <v>1819</v>
      </c>
      <c r="G1018" t="s" s="10">
        <v>1820</v>
      </c>
      <c r="H1018" s="29">
        <v>32842.68</v>
      </c>
      <c r="I1018" s="12">
        <v>32842.68</v>
      </c>
      <c r="J1018" s="15">
        <f>I1018-H1018</f>
        <v>0</v>
      </c>
      <c r="K1018" t="s" s="14">
        <v>467</v>
      </c>
      <c r="L1018" s="20"/>
      <c r="M1018" s="8">
        <v>45519</v>
      </c>
      <c r="N1018" s="20"/>
      <c r="O1018" t="s" s="17">
        <v>24</v>
      </c>
    </row>
    <row r="1019" ht="30.45" customHeight="1" hidden="1">
      <c r="A1019" t="s" s="17">
        <v>20</v>
      </c>
      <c r="B1019" t="s" s="5">
        <v>40</v>
      </c>
      <c r="C1019" t="s" s="18">
        <v>1811</v>
      </c>
      <c r="D1019" t="s" s="7">
        <v>468</v>
      </c>
      <c r="E1019" s="8">
        <v>45604</v>
      </c>
      <c r="F1019" t="s" s="10">
        <v>1821</v>
      </c>
      <c r="G1019" t="s" s="10">
        <v>1822</v>
      </c>
      <c r="H1019" s="19">
        <v>19787.62</v>
      </c>
      <c r="I1019" s="12">
        <v>19787.62</v>
      </c>
      <c r="J1019" s="15">
        <f>I1019-H1019</f>
        <v>0</v>
      </c>
      <c r="K1019" t="s" s="14">
        <v>467</v>
      </c>
      <c r="L1019" s="20"/>
      <c r="M1019" s="16"/>
      <c r="N1019" s="20"/>
      <c r="O1019" t="s" s="17">
        <v>24</v>
      </c>
    </row>
    <row r="1020" ht="30.45" customHeight="1" hidden="1">
      <c r="A1020" t="s" s="21">
        <v>20</v>
      </c>
      <c r="B1020" t="s" s="5">
        <v>40</v>
      </c>
      <c r="C1020" t="s" s="18">
        <v>1811</v>
      </c>
      <c r="D1020" t="s" s="7">
        <v>465</v>
      </c>
      <c r="E1020" s="8">
        <v>45924</v>
      </c>
      <c r="F1020" t="s" s="10">
        <v>1823</v>
      </c>
      <c r="G1020" t="s" s="10">
        <v>1824</v>
      </c>
      <c r="H1020" s="19">
        <v>24077.79</v>
      </c>
      <c r="I1020" s="12">
        <v>24076</v>
      </c>
      <c r="J1020" s="15">
        <f>I1020-H1020</f>
        <v>-1.79</v>
      </c>
      <c r="K1020" t="s" s="14">
        <v>17</v>
      </c>
      <c r="L1020" s="20"/>
      <c r="M1020" s="16"/>
      <c r="N1020" s="20"/>
      <c r="O1020" t="s" s="17">
        <v>24</v>
      </c>
    </row>
    <row r="1021" ht="30.45" customHeight="1" hidden="1">
      <c r="A1021" t="s" s="21">
        <v>20</v>
      </c>
      <c r="B1021" t="s" s="5">
        <v>40</v>
      </c>
      <c r="C1021" t="s" s="18">
        <v>1811</v>
      </c>
      <c r="D1021" t="s" s="7">
        <v>468</v>
      </c>
      <c r="E1021" s="8">
        <v>45946</v>
      </c>
      <c r="F1021" t="s" s="10">
        <v>1825</v>
      </c>
      <c r="G1021" t="s" s="10">
        <v>1826</v>
      </c>
      <c r="H1021" s="19">
        <v>21095.96</v>
      </c>
      <c r="I1021" s="12">
        <v>21096</v>
      </c>
      <c r="J1021" s="15">
        <f>I1021-H1021</f>
        <v>0.04</v>
      </c>
      <c r="K1021" t="s" s="14">
        <v>467</v>
      </c>
      <c r="L1021" s="20"/>
      <c r="M1021" s="16"/>
      <c r="N1021" s="20"/>
      <c r="O1021" t="s" s="17">
        <v>24</v>
      </c>
    </row>
    <row r="1022" ht="30.45" customHeight="1" hidden="1">
      <c r="A1022" t="s" s="21">
        <v>20</v>
      </c>
      <c r="B1022" t="s" s="5">
        <v>40</v>
      </c>
      <c r="C1022" t="s" s="18">
        <v>1811</v>
      </c>
      <c r="D1022" t="s" s="7">
        <v>468</v>
      </c>
      <c r="E1022" s="8">
        <v>45995</v>
      </c>
      <c r="F1022" t="s" s="10">
        <v>281</v>
      </c>
      <c r="G1022" t="s" s="10">
        <v>1827</v>
      </c>
      <c r="H1022" s="19">
        <v>15010.77</v>
      </c>
      <c r="I1022" s="12">
        <f>H1022</f>
        <v>15010.77</v>
      </c>
      <c r="J1022" s="15">
        <f>I1022-H1022</f>
        <v>0</v>
      </c>
      <c r="K1022" t="s" s="14">
        <v>467</v>
      </c>
      <c r="L1022" s="20"/>
      <c r="M1022" s="16"/>
      <c r="N1022" s="20"/>
      <c r="O1022" t="s" s="17">
        <v>24</v>
      </c>
    </row>
    <row r="1023" ht="30.45" customHeight="1" hidden="1">
      <c r="A1023" t="s" s="17">
        <v>39</v>
      </c>
      <c r="B1023" t="s" s="5">
        <v>47</v>
      </c>
      <c r="C1023" t="s" s="18">
        <v>1811</v>
      </c>
      <c r="D1023" t="s" s="7">
        <v>468</v>
      </c>
      <c r="E1023" s="8">
        <v>45215</v>
      </c>
      <c r="F1023" s="9">
        <v>10228</v>
      </c>
      <c r="G1023" t="s" s="10">
        <v>1828</v>
      </c>
      <c r="H1023" s="26">
        <v>24305.43</v>
      </c>
      <c r="I1023" s="12">
        <v>24305.43</v>
      </c>
      <c r="J1023" s="15"/>
      <c r="K1023" t="s" s="14">
        <v>467</v>
      </c>
      <c r="L1023" s="15"/>
      <c r="M1023" s="27">
        <v>45276</v>
      </c>
      <c r="N1023" s="20"/>
      <c r="O1023" t="s" s="17">
        <v>24</v>
      </c>
    </row>
    <row r="1024" ht="30.45" customHeight="1" hidden="1">
      <c r="A1024" t="s" s="21">
        <v>20</v>
      </c>
      <c r="B1024" t="s" s="5">
        <v>97</v>
      </c>
      <c r="C1024" t="s" s="23">
        <v>1811</v>
      </c>
      <c r="D1024" t="s" s="7">
        <v>468</v>
      </c>
      <c r="E1024" s="25">
        <v>45800</v>
      </c>
      <c r="F1024" t="s" s="10">
        <v>1829</v>
      </c>
      <c r="G1024" t="s" s="10">
        <v>1830</v>
      </c>
      <c r="H1024" s="19">
        <v>33345</v>
      </c>
      <c r="I1024" s="12">
        <v>33345</v>
      </c>
      <c r="J1024" s="13">
        <f>I1024-H1024</f>
        <v>0</v>
      </c>
      <c r="K1024" t="s" s="14">
        <v>467</v>
      </c>
      <c r="L1024" s="20"/>
      <c r="M1024" s="16"/>
      <c r="N1024" s="20"/>
      <c r="O1024" t="s" s="17">
        <v>24</v>
      </c>
    </row>
    <row r="1025" ht="30.45" customHeight="1" hidden="1">
      <c r="A1025" t="s" s="21">
        <v>20</v>
      </c>
      <c r="B1025" t="s" s="5">
        <v>97</v>
      </c>
      <c r="C1025" t="s" s="18">
        <v>1811</v>
      </c>
      <c r="D1025" t="s" s="7">
        <v>465</v>
      </c>
      <c r="E1025" s="25">
        <v>45912</v>
      </c>
      <c r="F1025" t="s" s="10">
        <v>1831</v>
      </c>
      <c r="G1025" t="s" s="10">
        <v>1832</v>
      </c>
      <c r="H1025" s="19">
        <v>80559.399999999994</v>
      </c>
      <c r="I1025" s="12">
        <v>80560</v>
      </c>
      <c r="J1025" s="13">
        <f>I1025-H1025</f>
        <v>0.6</v>
      </c>
      <c r="K1025" t="s" s="14">
        <v>467</v>
      </c>
      <c r="L1025" s="20"/>
      <c r="M1025" s="16"/>
      <c r="N1025" s="20"/>
      <c r="O1025" t="s" s="17">
        <v>24</v>
      </c>
    </row>
    <row r="1026" ht="30.45" customHeight="1" hidden="1">
      <c r="A1026" t="s" s="17">
        <v>20</v>
      </c>
      <c r="B1026" t="s" s="5">
        <v>61</v>
      </c>
      <c r="C1026" t="s" s="18">
        <v>1811</v>
      </c>
      <c r="D1026" t="s" s="7">
        <v>468</v>
      </c>
      <c r="E1026" s="25">
        <v>45373</v>
      </c>
      <c r="F1026" t="s" s="10">
        <v>1833</v>
      </c>
      <c r="G1026" t="s" s="10">
        <v>1834</v>
      </c>
      <c r="H1026" s="19">
        <v>34661.6</v>
      </c>
      <c r="I1026" s="40">
        <v>34661.6</v>
      </c>
      <c r="J1026" s="15"/>
      <c r="K1026" t="s" s="14">
        <v>467</v>
      </c>
      <c r="L1026" s="39"/>
      <c r="M1026" s="8">
        <v>45412</v>
      </c>
      <c r="N1026" s="20"/>
      <c r="O1026" t="s" s="17">
        <v>24</v>
      </c>
    </row>
    <row r="1027" ht="30.45" customHeight="1" hidden="1">
      <c r="A1027" t="s" s="17">
        <v>39</v>
      </c>
      <c r="B1027" t="s" s="5">
        <v>488</v>
      </c>
      <c r="C1027" t="s" s="18">
        <v>1811</v>
      </c>
      <c r="D1027" t="s" s="7">
        <v>468</v>
      </c>
      <c r="E1027" s="25">
        <v>45239</v>
      </c>
      <c r="F1027" t="s" s="10">
        <v>82</v>
      </c>
      <c r="G1027" t="s" s="10">
        <v>1835</v>
      </c>
      <c r="H1027" s="19">
        <v>14753.16</v>
      </c>
      <c r="I1027" s="12">
        <v>14753.16</v>
      </c>
      <c r="J1027" s="15"/>
      <c r="K1027" t="s" s="14">
        <v>467</v>
      </c>
      <c r="L1027" s="15"/>
      <c r="M1027" s="43">
        <v>45269</v>
      </c>
      <c r="N1027" s="20"/>
      <c r="O1027" t="s" s="17">
        <v>24</v>
      </c>
    </row>
    <row r="1028" ht="30.45" customHeight="1" hidden="1">
      <c r="A1028" t="s" s="17">
        <v>39</v>
      </c>
      <c r="B1028" t="s" s="5">
        <v>488</v>
      </c>
      <c r="C1028" t="s" s="18">
        <v>1811</v>
      </c>
      <c r="D1028" t="s" s="7">
        <v>468</v>
      </c>
      <c r="E1028" s="8">
        <v>45405</v>
      </c>
      <c r="F1028" s="16"/>
      <c r="G1028" t="s" s="10">
        <v>16</v>
      </c>
      <c r="H1028" s="19">
        <v>8568.450000000001</v>
      </c>
      <c r="I1028" s="12">
        <v>8568.450000000001</v>
      </c>
      <c r="J1028" s="15">
        <f>I1028-H1028</f>
        <v>0</v>
      </c>
      <c r="K1028" t="s" s="14">
        <v>467</v>
      </c>
      <c r="L1028" s="15"/>
      <c r="M1028" s="16"/>
      <c r="N1028" s="20"/>
      <c r="O1028" t="s" s="17">
        <v>24</v>
      </c>
    </row>
    <row r="1029" ht="30.45" customHeight="1" hidden="1">
      <c r="A1029" t="s" s="17">
        <v>39</v>
      </c>
      <c r="B1029" t="s" s="5">
        <v>488</v>
      </c>
      <c r="C1029" t="s" s="18">
        <v>1811</v>
      </c>
      <c r="D1029" t="s" s="7">
        <v>468</v>
      </c>
      <c r="E1029" s="8">
        <v>45646</v>
      </c>
      <c r="F1029" s="10"/>
      <c r="G1029" s="10"/>
      <c r="H1029" s="19">
        <v>17498.33</v>
      </c>
      <c r="I1029" s="12">
        <v>17498.33</v>
      </c>
      <c r="J1029" s="15">
        <f>I1029-H1029</f>
        <v>0</v>
      </c>
      <c r="K1029" t="s" s="14">
        <v>467</v>
      </c>
      <c r="L1029" s="20"/>
      <c r="M1029" s="16"/>
      <c r="N1029" s="20"/>
      <c r="O1029" t="s" s="17">
        <v>24</v>
      </c>
    </row>
    <row r="1030" ht="30.45" customHeight="1" hidden="1">
      <c r="A1030" t="s" s="21">
        <v>39</v>
      </c>
      <c r="B1030" t="s" s="5">
        <v>488</v>
      </c>
      <c r="C1030" t="s" s="18">
        <v>1811</v>
      </c>
      <c r="D1030" t="s" s="7">
        <v>465</v>
      </c>
      <c r="E1030" s="25">
        <v>45853</v>
      </c>
      <c r="F1030" t="s" s="10">
        <v>583</v>
      </c>
      <c r="G1030" t="s" s="10">
        <v>1836</v>
      </c>
      <c r="H1030" s="19">
        <v>8183.25</v>
      </c>
      <c r="I1030" s="12">
        <v>8183.25</v>
      </c>
      <c r="J1030" s="13">
        <f>I1030-H1030</f>
        <v>0</v>
      </c>
      <c r="K1030" t="s" s="14">
        <v>467</v>
      </c>
      <c r="L1030" s="20"/>
      <c r="M1030" s="16"/>
      <c r="N1030" s="20"/>
      <c r="O1030" t="s" s="17">
        <v>24</v>
      </c>
    </row>
    <row r="1031" ht="30.45" customHeight="1" hidden="1">
      <c r="A1031" t="s" s="21">
        <v>39</v>
      </c>
      <c r="B1031" t="s" s="5">
        <v>488</v>
      </c>
      <c r="C1031" t="s" s="18">
        <v>1811</v>
      </c>
      <c r="D1031" t="s" s="7">
        <v>468</v>
      </c>
      <c r="E1031" s="8">
        <v>46064</v>
      </c>
      <c r="F1031" t="s" s="10">
        <v>905</v>
      </c>
      <c r="G1031" t="s" s="10">
        <v>1837</v>
      </c>
      <c r="H1031" s="19">
        <v>17895</v>
      </c>
      <c r="I1031" s="12">
        <f>H1031</f>
        <v>17895</v>
      </c>
      <c r="J1031" s="15">
        <f>I1031-H1031</f>
        <v>0</v>
      </c>
      <c r="K1031" t="s" s="14">
        <v>467</v>
      </c>
      <c r="L1031" s="20"/>
      <c r="M1031" s="16"/>
      <c r="N1031" s="20"/>
      <c r="O1031" t="s" s="17">
        <v>24</v>
      </c>
    </row>
    <row r="1032" ht="30.45" customHeight="1" hidden="1">
      <c r="A1032" t="s" s="17">
        <v>20</v>
      </c>
      <c r="B1032" t="s" s="5">
        <v>68</v>
      </c>
      <c r="C1032" t="s" s="18">
        <v>1811</v>
      </c>
      <c r="D1032" t="s" s="7">
        <v>468</v>
      </c>
      <c r="E1032" s="25">
        <v>45299</v>
      </c>
      <c r="F1032" s="16"/>
      <c r="G1032" s="16"/>
      <c r="H1032" s="19">
        <v>18426</v>
      </c>
      <c r="I1032" s="12">
        <v>18426</v>
      </c>
      <c r="J1032" s="20"/>
      <c r="K1032" t="s" s="14">
        <v>467</v>
      </c>
      <c r="L1032" s="15"/>
      <c r="M1032" s="8">
        <v>45333</v>
      </c>
      <c r="N1032" s="20"/>
      <c r="O1032" t="s" s="17">
        <v>24</v>
      </c>
    </row>
    <row r="1033" ht="30.45" customHeight="1" hidden="1">
      <c r="A1033" t="s" s="21">
        <v>49</v>
      </c>
      <c r="B1033" t="s" s="5">
        <v>47</v>
      </c>
      <c r="C1033" t="s" s="18">
        <v>1811</v>
      </c>
      <c r="D1033" t="s" s="7">
        <v>468</v>
      </c>
      <c r="E1033" s="8">
        <v>46135</v>
      </c>
      <c r="F1033" t="s" s="10">
        <v>1838</v>
      </c>
      <c r="G1033" t="s" s="10">
        <v>1839</v>
      </c>
      <c r="H1033" s="19">
        <v>20373.32</v>
      </c>
      <c r="I1033" s="12">
        <f>H1033</f>
        <v>20373.32</v>
      </c>
      <c r="J1033" s="15">
        <f>I1033-H1033</f>
        <v>0</v>
      </c>
      <c r="K1033" t="s" s="14">
        <v>467</v>
      </c>
      <c r="L1033" s="20"/>
      <c r="M1033" s="8"/>
      <c r="N1033" s="20"/>
      <c r="O1033" t="s" s="17">
        <v>24</v>
      </c>
    </row>
    <row r="1034" ht="30.45" customHeight="1" hidden="1">
      <c r="A1034" t="s" s="47">
        <v>112</v>
      </c>
      <c r="B1034" t="s" s="5">
        <v>47</v>
      </c>
      <c r="C1034" t="s" s="23">
        <v>1811</v>
      </c>
      <c r="D1034" t="s" s="7">
        <v>468</v>
      </c>
      <c r="E1034" s="8">
        <v>46209</v>
      </c>
      <c r="F1034" t="s" s="10">
        <v>1840</v>
      </c>
      <c r="G1034" t="s" s="10">
        <v>1841</v>
      </c>
      <c r="H1034" s="19">
        <v>15429.4</v>
      </c>
      <c r="I1034" s="26"/>
      <c r="J1034" s="15">
        <f>I1034-H1034</f>
        <v>-15429.4</v>
      </c>
      <c r="K1034" t="s" s="14">
        <v>467</v>
      </c>
      <c r="L1034" s="20"/>
      <c r="M1034" s="8"/>
      <c r="N1034" s="20"/>
      <c r="O1034" t="s" s="17">
        <v>24</v>
      </c>
    </row>
    <row r="1035" ht="30.45" customHeight="1" hidden="1">
      <c r="A1035" t="s" s="17">
        <v>39</v>
      </c>
      <c r="B1035" t="s" s="5">
        <v>88</v>
      </c>
      <c r="C1035" t="s" s="18">
        <v>1842</v>
      </c>
      <c r="D1035" t="s" s="7">
        <v>379</v>
      </c>
      <c r="E1035" s="8">
        <v>45322</v>
      </c>
      <c r="F1035" s="16"/>
      <c r="G1035" s="16"/>
      <c r="H1035" s="26">
        <v>20960.4</v>
      </c>
      <c r="I1035" s="12">
        <v>20961</v>
      </c>
      <c r="J1035" s="15">
        <f>I1035-H1035</f>
        <v>0.6</v>
      </c>
      <c r="K1035" t="s" s="14">
        <v>87</v>
      </c>
      <c r="L1035" s="20"/>
      <c r="M1035" s="16"/>
      <c r="N1035" t="s" s="63">
        <v>1843</v>
      </c>
      <c r="O1035" t="s" s="17">
        <v>24</v>
      </c>
    </row>
    <row r="1036" ht="30.45" customHeight="1" hidden="1">
      <c r="A1036" t="s" s="17">
        <v>39</v>
      </c>
      <c r="B1036" t="s" s="5">
        <v>79</v>
      </c>
      <c r="C1036" t="s" s="28">
        <v>1844</v>
      </c>
      <c r="D1036" t="s" s="7">
        <v>539</v>
      </c>
      <c r="E1036" s="25">
        <v>45840</v>
      </c>
      <c r="F1036" t="s" s="10">
        <v>489</v>
      </c>
      <c r="G1036" t="s" s="10">
        <v>1845</v>
      </c>
      <c r="H1036" s="35">
        <v>16128</v>
      </c>
      <c r="I1036" s="12">
        <v>16128</v>
      </c>
      <c r="J1036" s="13">
        <f>I1036-H1036</f>
        <v>0</v>
      </c>
      <c r="K1036" t="s" s="14">
        <v>87</v>
      </c>
      <c r="L1036" s="20"/>
      <c r="M1036" s="16"/>
      <c r="N1036" s="20"/>
      <c r="O1036" t="s" s="17">
        <v>24</v>
      </c>
    </row>
    <row r="1037" ht="30.45" customHeight="1" hidden="1">
      <c r="A1037" t="s" s="17">
        <v>39</v>
      </c>
      <c r="B1037" t="s" s="5">
        <v>40</v>
      </c>
      <c r="C1037" t="s" s="28">
        <v>1844</v>
      </c>
      <c r="D1037" t="s" s="7">
        <v>539</v>
      </c>
      <c r="E1037" s="8">
        <v>45854</v>
      </c>
      <c r="F1037" t="s" s="10">
        <v>1846</v>
      </c>
      <c r="G1037" t="s" s="10">
        <v>1847</v>
      </c>
      <c r="H1037" s="29">
        <v>51242.342</v>
      </c>
      <c r="I1037" s="12">
        <v>51242.342</v>
      </c>
      <c r="J1037" s="15">
        <f>I1037-H1037</f>
        <v>0</v>
      </c>
      <c r="K1037" t="s" s="14">
        <v>87</v>
      </c>
      <c r="L1037" s="20"/>
      <c r="M1037" s="16"/>
      <c r="N1037" s="20"/>
      <c r="O1037" t="s" s="17">
        <v>24</v>
      </c>
    </row>
    <row r="1038" ht="30.45" customHeight="1" hidden="1">
      <c r="A1038" t="s" s="17">
        <v>39</v>
      </c>
      <c r="B1038" t="s" s="5">
        <v>40</v>
      </c>
      <c r="C1038" t="s" s="28">
        <v>1844</v>
      </c>
      <c r="D1038" t="s" s="7">
        <v>539</v>
      </c>
      <c r="E1038" s="8">
        <v>45946</v>
      </c>
      <c r="F1038" t="s" s="10">
        <v>1848</v>
      </c>
      <c r="G1038" t="s" s="10">
        <v>1849</v>
      </c>
      <c r="H1038" s="50">
        <v>28202.428</v>
      </c>
      <c r="I1038" s="12">
        <v>28202.428</v>
      </c>
      <c r="J1038" s="15">
        <f>I1038-H1038</f>
        <v>0</v>
      </c>
      <c r="K1038" t="s" s="14">
        <v>87</v>
      </c>
      <c r="L1038" s="20"/>
      <c r="M1038" s="16"/>
      <c r="N1038" s="20"/>
      <c r="O1038" t="s" s="17">
        <v>24</v>
      </c>
    </row>
    <row r="1039" ht="30.45" customHeight="1" hidden="1">
      <c r="A1039" s="32"/>
      <c r="B1039" t="s" s="5">
        <v>40</v>
      </c>
      <c r="C1039" t="s" s="33">
        <v>1844</v>
      </c>
      <c r="D1039" t="s" s="7">
        <v>539</v>
      </c>
      <c r="E1039" s="8"/>
      <c r="F1039" s="10"/>
      <c r="G1039" t="s" s="10">
        <v>1850</v>
      </c>
      <c r="H1039" s="15"/>
      <c r="I1039" s="26"/>
      <c r="J1039" s="15">
        <f>I1039-H1039</f>
        <v>0</v>
      </c>
      <c r="K1039" t="s" s="14">
        <v>24</v>
      </c>
      <c r="L1039" s="20"/>
      <c r="M1039" s="16"/>
      <c r="N1039" s="20"/>
      <c r="O1039" t="s" s="17">
        <v>24</v>
      </c>
    </row>
    <row r="1040" ht="30.45" customHeight="1" hidden="1">
      <c r="A1040" t="s" s="17">
        <v>39</v>
      </c>
      <c r="B1040" t="s" s="5">
        <v>21</v>
      </c>
      <c r="C1040" t="s" s="18">
        <v>1851</v>
      </c>
      <c r="D1040" t="s" s="7">
        <v>683</v>
      </c>
      <c r="E1040" s="41">
        <v>45219</v>
      </c>
      <c r="F1040" s="115">
        <v>0.997840172786177</v>
      </c>
      <c r="G1040" t="s" s="10">
        <v>1852</v>
      </c>
      <c r="H1040" s="19">
        <v>46497</v>
      </c>
      <c r="I1040" s="12">
        <v>46497</v>
      </c>
      <c r="J1040" s="15">
        <f>I1040-H1040</f>
        <v>0</v>
      </c>
      <c r="K1040" t="s" s="14">
        <v>467</v>
      </c>
      <c r="L1040" s="39"/>
      <c r="M1040" s="8"/>
      <c r="N1040" s="20"/>
      <c r="O1040" t="s" s="17">
        <v>24</v>
      </c>
    </row>
    <row r="1041" ht="30.45" customHeight="1" hidden="1">
      <c r="A1041" t="s" s="17">
        <v>20</v>
      </c>
      <c r="B1041" t="s" s="5">
        <v>21</v>
      </c>
      <c r="C1041" t="s" s="18">
        <v>1851</v>
      </c>
      <c r="D1041" t="s" s="7">
        <v>683</v>
      </c>
      <c r="E1041" s="8">
        <v>45694</v>
      </c>
      <c r="F1041" t="s" s="10">
        <v>1853</v>
      </c>
      <c r="G1041" t="s" s="10">
        <v>1854</v>
      </c>
      <c r="H1041" s="19">
        <v>14436.2</v>
      </c>
      <c r="I1041" s="12">
        <v>14436.2</v>
      </c>
      <c r="J1041" s="13">
        <f>I1041-H1041</f>
        <v>0</v>
      </c>
      <c r="K1041" t="s" s="14">
        <v>467</v>
      </c>
      <c r="L1041" s="20"/>
      <c r="M1041" s="16"/>
      <c r="N1041" s="20"/>
      <c r="O1041" t="s" s="17">
        <v>24</v>
      </c>
    </row>
    <row r="1042" ht="30.45" customHeight="1" hidden="1">
      <c r="A1042" t="s" s="17">
        <v>20</v>
      </c>
      <c r="B1042" t="s" s="5">
        <v>21</v>
      </c>
      <c r="C1042" t="s" s="18">
        <v>1851</v>
      </c>
      <c r="D1042" t="s" s="7">
        <v>683</v>
      </c>
      <c r="E1042" s="8">
        <v>45702</v>
      </c>
      <c r="F1042" t="s" s="10">
        <v>1855</v>
      </c>
      <c r="G1042" t="s" s="10">
        <v>1854</v>
      </c>
      <c r="H1042" s="19">
        <v>19692.05</v>
      </c>
      <c r="I1042" s="12">
        <v>19692.05</v>
      </c>
      <c r="J1042" s="13">
        <f>I1042-H1042</f>
        <v>0</v>
      </c>
      <c r="K1042" t="s" s="14">
        <v>467</v>
      </c>
      <c r="L1042" s="20"/>
      <c r="M1042" s="16"/>
      <c r="N1042" s="20"/>
      <c r="O1042" t="s" s="17">
        <v>24</v>
      </c>
    </row>
    <row r="1043" ht="30.45" customHeight="1" hidden="1">
      <c r="A1043" t="s" s="21">
        <v>20</v>
      </c>
      <c r="B1043" t="s" s="5">
        <v>21</v>
      </c>
      <c r="C1043" t="s" s="18">
        <v>1851</v>
      </c>
      <c r="D1043" t="s" s="7">
        <v>683</v>
      </c>
      <c r="E1043" s="8">
        <v>45786</v>
      </c>
      <c r="F1043" t="s" s="10">
        <v>1856</v>
      </c>
      <c r="G1043" t="s" s="10">
        <v>1857</v>
      </c>
      <c r="H1043" s="19">
        <v>64763.8</v>
      </c>
      <c r="I1043" s="12">
        <v>64763</v>
      </c>
      <c r="J1043" s="13">
        <f>I1043-H1043</f>
        <v>-0.8</v>
      </c>
      <c r="K1043" t="s" s="14">
        <v>467</v>
      </c>
      <c r="L1043" s="20"/>
      <c r="M1043" s="16"/>
      <c r="N1043" s="20"/>
      <c r="O1043" t="s" s="17">
        <v>24</v>
      </c>
    </row>
    <row r="1044" ht="30.45" customHeight="1" hidden="1">
      <c r="A1044" t="s" s="21">
        <v>20</v>
      </c>
      <c r="B1044" t="s" s="5">
        <v>21</v>
      </c>
      <c r="C1044" t="s" s="18">
        <v>1851</v>
      </c>
      <c r="D1044" t="s" s="7">
        <v>683</v>
      </c>
      <c r="E1044" s="8">
        <v>46046</v>
      </c>
      <c r="F1044" t="s" s="10">
        <v>1858</v>
      </c>
      <c r="G1044" t="s" s="10">
        <v>1859</v>
      </c>
      <c r="H1044" s="19">
        <v>29055.8</v>
      </c>
      <c r="I1044" s="12">
        <v>29055</v>
      </c>
      <c r="J1044" s="13">
        <f>I1044-H1044</f>
        <v>-0.8</v>
      </c>
      <c r="K1044" t="s" s="14">
        <v>467</v>
      </c>
      <c r="L1044" s="20"/>
      <c r="M1044" s="16"/>
      <c r="N1044" s="22"/>
      <c r="O1044" t="s" s="17">
        <v>24</v>
      </c>
    </row>
    <row r="1045" ht="30.45" customHeight="1" hidden="1">
      <c r="A1045" t="s" s="21">
        <v>20</v>
      </c>
      <c r="B1045" t="s" s="5">
        <v>21</v>
      </c>
      <c r="C1045" t="s" s="18">
        <v>1851</v>
      </c>
      <c r="D1045" t="s" s="7">
        <v>683</v>
      </c>
      <c r="E1045" s="8">
        <v>46065</v>
      </c>
      <c r="F1045" t="s" s="10">
        <v>1860</v>
      </c>
      <c r="G1045" t="s" s="10">
        <v>1861</v>
      </c>
      <c r="H1045" s="19">
        <v>9845.1</v>
      </c>
      <c r="I1045" s="12">
        <v>9841</v>
      </c>
      <c r="J1045" s="13">
        <f>I1045-H1045</f>
        <v>-4.1</v>
      </c>
      <c r="K1045" t="s" s="14">
        <v>467</v>
      </c>
      <c r="L1045" s="20"/>
      <c r="M1045" s="16"/>
      <c r="N1045" s="22"/>
      <c r="O1045" t="s" s="17">
        <v>24</v>
      </c>
    </row>
    <row r="1046" ht="30.45" customHeight="1" hidden="1">
      <c r="A1046" t="s" s="30">
        <v>39</v>
      </c>
      <c r="B1046" t="s" s="5">
        <v>633</v>
      </c>
      <c r="C1046" t="s" s="18">
        <v>1851</v>
      </c>
      <c r="D1046" t="s" s="7">
        <v>683</v>
      </c>
      <c r="E1046" s="8">
        <v>45786</v>
      </c>
      <c r="F1046" t="s" s="10">
        <v>1862</v>
      </c>
      <c r="G1046" t="s" s="10">
        <v>1863</v>
      </c>
      <c r="H1046" s="19">
        <v>29774.33</v>
      </c>
      <c r="I1046" s="12">
        <v>29774.2</v>
      </c>
      <c r="J1046" s="13">
        <f>I1046-H1046</f>
        <v>-0.13</v>
      </c>
      <c r="K1046" t="s" s="14">
        <v>467</v>
      </c>
      <c r="L1046" s="20"/>
      <c r="M1046" s="16"/>
      <c r="N1046" s="20"/>
      <c r="O1046" t="s" s="17">
        <v>24</v>
      </c>
    </row>
    <row r="1047" ht="30.45" customHeight="1" hidden="1">
      <c r="A1047" t="s" s="17">
        <v>39</v>
      </c>
      <c r="B1047" t="s" s="5">
        <v>30</v>
      </c>
      <c r="C1047" t="s" s="18">
        <v>1851</v>
      </c>
      <c r="D1047" t="s" s="7">
        <v>683</v>
      </c>
      <c r="E1047" s="8">
        <v>45352</v>
      </c>
      <c r="F1047" s="16"/>
      <c r="G1047" s="9">
        <v>1906</v>
      </c>
      <c r="H1047" s="19">
        <v>13234</v>
      </c>
      <c r="I1047" s="40">
        <v>13234</v>
      </c>
      <c r="J1047" s="15">
        <f>I1047-H1047</f>
        <v>0</v>
      </c>
      <c r="K1047" t="s" s="14">
        <v>467</v>
      </c>
      <c r="L1047" s="20"/>
      <c r="M1047" s="66">
        <v>45402</v>
      </c>
      <c r="N1047" t="s" s="63">
        <v>1864</v>
      </c>
      <c r="O1047" t="s" s="17">
        <v>24</v>
      </c>
    </row>
    <row r="1048" ht="30.45" customHeight="1" hidden="1">
      <c r="A1048" t="s" s="21">
        <v>20</v>
      </c>
      <c r="B1048" t="s" s="5">
        <v>30</v>
      </c>
      <c r="C1048" t="s" s="18">
        <v>1851</v>
      </c>
      <c r="D1048" t="s" s="7">
        <v>683</v>
      </c>
      <c r="E1048" s="8">
        <v>45617</v>
      </c>
      <c r="F1048" s="16"/>
      <c r="G1048" t="s" s="10">
        <v>1865</v>
      </c>
      <c r="H1048" s="19">
        <v>14396</v>
      </c>
      <c r="I1048" s="12">
        <v>14397.38</v>
      </c>
      <c r="J1048" s="13">
        <f>I1048-H1048</f>
        <v>1.38</v>
      </c>
      <c r="K1048" t="s" s="14">
        <v>467</v>
      </c>
      <c r="L1048" s="20"/>
      <c r="M1048" s="16"/>
      <c r="N1048" s="20"/>
      <c r="O1048" t="s" s="17">
        <v>24</v>
      </c>
    </row>
    <row r="1049" ht="30.45" customHeight="1" hidden="1">
      <c r="A1049" t="s" s="17">
        <v>20</v>
      </c>
      <c r="B1049" t="s" s="5">
        <v>30</v>
      </c>
      <c r="C1049" t="s" s="18">
        <v>1851</v>
      </c>
      <c r="D1049" t="s" s="7">
        <v>683</v>
      </c>
      <c r="E1049" s="8">
        <v>45717</v>
      </c>
      <c r="F1049" s="16"/>
      <c r="G1049" t="s" s="10">
        <v>1866</v>
      </c>
      <c r="H1049" s="19">
        <v>11060</v>
      </c>
      <c r="I1049" s="12">
        <v>11060</v>
      </c>
      <c r="J1049" s="13">
        <f>I1049-H1049</f>
        <v>0</v>
      </c>
      <c r="K1049" t="s" s="14">
        <v>467</v>
      </c>
      <c r="L1049" s="20"/>
      <c r="M1049" s="16"/>
      <c r="N1049" s="20"/>
      <c r="O1049" t="s" s="17">
        <v>24</v>
      </c>
    </row>
    <row r="1050" ht="30.45" customHeight="1" hidden="1">
      <c r="A1050" t="s" s="21">
        <v>20</v>
      </c>
      <c r="B1050" t="s" s="5">
        <v>30</v>
      </c>
      <c r="C1050" t="s" s="18">
        <v>1851</v>
      </c>
      <c r="D1050" t="s" s="7">
        <v>683</v>
      </c>
      <c r="E1050" s="8">
        <v>46023</v>
      </c>
      <c r="F1050" s="10"/>
      <c r="G1050" t="s" s="10">
        <v>1867</v>
      </c>
      <c r="H1050" s="19">
        <v>27360</v>
      </c>
      <c r="I1050" s="12">
        <f>H1050</f>
        <v>27360</v>
      </c>
      <c r="J1050" s="13">
        <f>I1050-H1050</f>
        <v>0</v>
      </c>
      <c r="K1050" t="s" s="14">
        <v>467</v>
      </c>
      <c r="L1050" s="20"/>
      <c r="M1050" s="16"/>
      <c r="N1050" s="20"/>
      <c r="O1050" t="s" s="17">
        <v>24</v>
      </c>
    </row>
    <row r="1051" ht="30.45" customHeight="1" hidden="1">
      <c r="A1051" t="s" s="17">
        <v>39</v>
      </c>
      <c r="B1051" t="s" s="5">
        <v>36</v>
      </c>
      <c r="C1051" t="s" s="23">
        <v>1851</v>
      </c>
      <c r="D1051" t="s" s="7">
        <v>683</v>
      </c>
      <c r="E1051" s="25">
        <v>45419</v>
      </c>
      <c r="F1051" s="9">
        <v>3522</v>
      </c>
      <c r="G1051" s="9">
        <v>2099</v>
      </c>
      <c r="H1051" s="19">
        <v>51235.3</v>
      </c>
      <c r="I1051" s="26">
        <v>51235.3</v>
      </c>
      <c r="J1051" s="13">
        <f>I1051-H1051</f>
        <v>0</v>
      </c>
      <c r="K1051" t="s" s="14">
        <v>467</v>
      </c>
      <c r="L1051" s="39"/>
      <c r="M1051" s="43">
        <v>45456</v>
      </c>
      <c r="N1051" s="20"/>
      <c r="O1051" t="s" s="17">
        <v>24</v>
      </c>
    </row>
    <row r="1052" ht="30.45" customHeight="1" hidden="1">
      <c r="A1052" t="s" s="21">
        <v>20</v>
      </c>
      <c r="B1052" t="s" s="5">
        <v>36</v>
      </c>
      <c r="C1052" t="s" s="18">
        <v>1851</v>
      </c>
      <c r="D1052" t="s" s="7">
        <v>683</v>
      </c>
      <c r="E1052" s="8">
        <v>45624</v>
      </c>
      <c r="F1052" t="s" s="10">
        <v>1868</v>
      </c>
      <c r="G1052" t="s" s="10">
        <v>1869</v>
      </c>
      <c r="H1052" s="19">
        <v>26400.5</v>
      </c>
      <c r="I1052" s="12">
        <v>26401.35</v>
      </c>
      <c r="J1052" s="15">
        <f>I1052-H1052</f>
        <v>0.85</v>
      </c>
      <c r="K1052" t="s" s="14">
        <v>467</v>
      </c>
      <c r="L1052" s="20"/>
      <c r="M1052" s="16"/>
      <c r="N1052" s="20"/>
      <c r="O1052" t="s" s="17">
        <v>24</v>
      </c>
    </row>
    <row r="1053" ht="30.45" customHeight="1" hidden="1">
      <c r="A1053" t="s" s="21">
        <v>20</v>
      </c>
      <c r="B1053" t="s" s="5">
        <v>36</v>
      </c>
      <c r="C1053" t="s" s="18">
        <v>1851</v>
      </c>
      <c r="D1053" t="s" s="7">
        <v>683</v>
      </c>
      <c r="E1053" s="8">
        <v>46129</v>
      </c>
      <c r="F1053" s="9">
        <v>4063</v>
      </c>
      <c r="G1053" t="s" s="10">
        <v>1870</v>
      </c>
      <c r="H1053" s="19">
        <v>11003.7</v>
      </c>
      <c r="I1053" s="12">
        <f>H1053</f>
        <v>11003.7</v>
      </c>
      <c r="J1053" s="15">
        <f>I1053-H1053</f>
        <v>0</v>
      </c>
      <c r="K1053" t="s" s="14">
        <v>467</v>
      </c>
      <c r="L1053" s="20"/>
      <c r="M1053" s="16"/>
      <c r="N1053" s="20"/>
      <c r="O1053" t="s" s="17">
        <v>24</v>
      </c>
    </row>
    <row r="1054" ht="30.45" customHeight="1" hidden="1">
      <c r="A1054" t="s" s="17">
        <v>49</v>
      </c>
      <c r="B1054" t="s" s="5">
        <v>47</v>
      </c>
      <c r="C1054" t="s" s="28">
        <v>1851</v>
      </c>
      <c r="D1054" t="s" s="7">
        <v>683</v>
      </c>
      <c r="E1054" s="25">
        <v>45408</v>
      </c>
      <c r="F1054" s="9">
        <v>1165</v>
      </c>
      <c r="G1054" t="s" s="10">
        <v>1755</v>
      </c>
      <c r="H1054" s="15">
        <v>10534.92</v>
      </c>
      <c r="I1054" s="12">
        <v>10534.92</v>
      </c>
      <c r="J1054" s="15">
        <f>I1054-H1054</f>
        <v>0</v>
      </c>
      <c r="K1054" t="s" s="14">
        <v>467</v>
      </c>
      <c r="L1054" s="15"/>
      <c r="M1054" s="68">
        <v>45438</v>
      </c>
      <c r="N1054" s="20"/>
      <c r="O1054" t="s" s="17">
        <v>24</v>
      </c>
    </row>
    <row r="1055" ht="30.45" customHeight="1" hidden="1">
      <c r="A1055" t="s" s="17">
        <v>49</v>
      </c>
      <c r="B1055" t="s" s="5">
        <v>47</v>
      </c>
      <c r="C1055" t="s" s="28">
        <v>1851</v>
      </c>
      <c r="D1055" t="s" s="7">
        <v>683</v>
      </c>
      <c r="E1055" s="25">
        <v>45408</v>
      </c>
      <c r="F1055" s="9">
        <v>1166</v>
      </c>
      <c r="G1055" t="s" s="10">
        <v>1755</v>
      </c>
      <c r="H1055" s="15">
        <v>10358.86</v>
      </c>
      <c r="I1055" s="12">
        <v>10358.86</v>
      </c>
      <c r="J1055" s="15">
        <f>I1055-H1055</f>
        <v>0</v>
      </c>
      <c r="K1055" t="s" s="14">
        <v>467</v>
      </c>
      <c r="L1055" s="15"/>
      <c r="M1055" s="68">
        <v>45438</v>
      </c>
      <c r="N1055" s="20"/>
      <c r="O1055" t="s" s="17">
        <v>24</v>
      </c>
    </row>
    <row r="1056" ht="30.45" customHeight="1" hidden="1">
      <c r="A1056" t="s" s="17">
        <v>39</v>
      </c>
      <c r="B1056" t="s" s="5">
        <v>47</v>
      </c>
      <c r="C1056" t="s" s="28">
        <v>1851</v>
      </c>
      <c r="D1056" t="s" s="7">
        <v>683</v>
      </c>
      <c r="E1056" s="8">
        <v>45561</v>
      </c>
      <c r="F1056" t="s" s="10">
        <v>1871</v>
      </c>
      <c r="G1056" t="s" s="10">
        <v>1872</v>
      </c>
      <c r="H1056" s="29">
        <v>4029.22</v>
      </c>
      <c r="I1056" s="12">
        <v>4029.22</v>
      </c>
      <c r="J1056" s="15">
        <f>I1056-H1056</f>
        <v>0</v>
      </c>
      <c r="K1056" t="s" s="14">
        <v>24</v>
      </c>
      <c r="L1056" s="20"/>
      <c r="M1056" s="8"/>
      <c r="N1056" s="20"/>
      <c r="O1056" t="s" s="17">
        <v>24</v>
      </c>
    </row>
    <row r="1057" ht="30.45" customHeight="1" hidden="1">
      <c r="A1057" t="s" s="17">
        <v>20</v>
      </c>
      <c r="B1057" t="s" s="5">
        <v>97</v>
      </c>
      <c r="C1057" t="s" s="18">
        <v>1851</v>
      </c>
      <c r="D1057" t="s" s="7">
        <v>683</v>
      </c>
      <c r="E1057" s="25">
        <v>45527</v>
      </c>
      <c r="F1057" t="s" s="10">
        <v>1873</v>
      </c>
      <c r="G1057" t="s" s="10">
        <v>1874</v>
      </c>
      <c r="H1057" s="19">
        <v>99231.2</v>
      </c>
      <c r="I1057" s="12">
        <v>99232</v>
      </c>
      <c r="J1057" s="13">
        <f>I1057-H1057</f>
        <v>0.8</v>
      </c>
      <c r="K1057" t="s" s="14">
        <v>467</v>
      </c>
      <c r="L1057" s="20"/>
      <c r="M1057" s="16"/>
      <c r="N1057" t="s" s="63">
        <v>1875</v>
      </c>
      <c r="O1057" t="s" s="17">
        <v>24</v>
      </c>
    </row>
    <row r="1058" ht="30.45" customHeight="1" hidden="1">
      <c r="A1058" t="s" s="21">
        <v>20</v>
      </c>
      <c r="B1058" t="s" s="5">
        <v>97</v>
      </c>
      <c r="C1058" t="s" s="18">
        <v>1851</v>
      </c>
      <c r="D1058" t="s" s="7">
        <v>683</v>
      </c>
      <c r="E1058" s="25">
        <v>45637</v>
      </c>
      <c r="F1058" t="s" s="10">
        <v>1876</v>
      </c>
      <c r="G1058" t="s" s="10">
        <v>1877</v>
      </c>
      <c r="H1058" s="19">
        <v>110733.69735446</v>
      </c>
      <c r="I1058" s="12">
        <v>110735</v>
      </c>
      <c r="J1058" s="13">
        <f>I1058-H1058</f>
        <v>1.30264554</v>
      </c>
      <c r="K1058" t="s" s="14">
        <v>467</v>
      </c>
      <c r="L1058" s="20"/>
      <c r="M1058" s="16"/>
      <c r="N1058" s="20"/>
      <c r="O1058" t="s" s="17">
        <v>24</v>
      </c>
    </row>
    <row r="1059" ht="30.45" customHeight="1" hidden="1">
      <c r="A1059" t="s" s="30">
        <v>39</v>
      </c>
      <c r="B1059" t="s" s="5">
        <v>97</v>
      </c>
      <c r="C1059" t="s" s="110">
        <v>1851</v>
      </c>
      <c r="D1059" t="s" s="7">
        <v>683</v>
      </c>
      <c r="E1059" s="25">
        <v>45891</v>
      </c>
      <c r="F1059" t="s" s="10">
        <v>1878</v>
      </c>
      <c r="G1059" t="s" s="10">
        <v>1879</v>
      </c>
      <c r="H1059" s="19">
        <v>67352</v>
      </c>
      <c r="I1059" s="12">
        <v>14967</v>
      </c>
      <c r="J1059" s="13">
        <f>I1059-H1059</f>
        <v>-52385</v>
      </c>
      <c r="K1059" t="s" s="14">
        <v>17</v>
      </c>
      <c r="L1059" s="20"/>
      <c r="M1059" s="16"/>
      <c r="N1059" s="20"/>
      <c r="O1059" t="s" s="17">
        <v>24</v>
      </c>
    </row>
    <row r="1060" ht="30.45" customHeight="1" hidden="1">
      <c r="A1060" t="s" s="17">
        <v>20</v>
      </c>
      <c r="B1060" t="s" s="5">
        <v>61</v>
      </c>
      <c r="C1060" t="s" s="18">
        <v>1851</v>
      </c>
      <c r="D1060" t="s" s="7">
        <v>683</v>
      </c>
      <c r="E1060" s="8">
        <v>45288</v>
      </c>
      <c r="F1060" s="9">
        <v>7628</v>
      </c>
      <c r="G1060" s="9">
        <v>1812</v>
      </c>
      <c r="H1060" s="19">
        <v>15301.6</v>
      </c>
      <c r="I1060" s="12">
        <v>15302</v>
      </c>
      <c r="J1060" s="20"/>
      <c r="K1060" t="s" s="14">
        <v>467</v>
      </c>
      <c r="L1060" s="15"/>
      <c r="M1060" s="8">
        <v>45325</v>
      </c>
      <c r="N1060" s="16"/>
      <c r="O1060" t="s" s="17">
        <v>24</v>
      </c>
    </row>
    <row r="1061" ht="30.45" customHeight="1" hidden="1">
      <c r="A1061" t="s" s="21">
        <v>20</v>
      </c>
      <c r="B1061" t="s" s="5">
        <v>61</v>
      </c>
      <c r="C1061" t="s" s="18">
        <v>1851</v>
      </c>
      <c r="D1061" t="s" s="7">
        <v>683</v>
      </c>
      <c r="E1061" s="25">
        <v>45668</v>
      </c>
      <c r="F1061" t="s" s="10">
        <v>1880</v>
      </c>
      <c r="G1061" t="s" s="10">
        <v>1881</v>
      </c>
      <c r="H1061" s="31">
        <v>19215.746</v>
      </c>
      <c r="I1061" s="12">
        <v>19215.55</v>
      </c>
      <c r="J1061" s="15">
        <f>I1061-H1061</f>
        <v>-0.196</v>
      </c>
      <c r="K1061" t="s" s="14">
        <v>467</v>
      </c>
      <c r="L1061" s="15"/>
      <c r="M1061" s="16"/>
      <c r="N1061" s="20"/>
      <c r="O1061" t="s" s="17">
        <v>24</v>
      </c>
    </row>
    <row r="1062" ht="30.45" customHeight="1" hidden="1">
      <c r="A1062" t="s" s="21">
        <v>20</v>
      </c>
      <c r="B1062" t="s" s="5">
        <v>61</v>
      </c>
      <c r="C1062" t="s" s="18">
        <v>1851</v>
      </c>
      <c r="D1062" t="s" s="7">
        <v>683</v>
      </c>
      <c r="E1062" s="25">
        <v>45845</v>
      </c>
      <c r="F1062" t="s" s="10">
        <v>403</v>
      </c>
      <c r="G1062" t="s" s="10">
        <v>1882</v>
      </c>
      <c r="H1062" s="31">
        <v>23974.25</v>
      </c>
      <c r="I1062" s="12">
        <v>23974.25</v>
      </c>
      <c r="J1062" s="15">
        <f>I1062-H1062</f>
        <v>0</v>
      </c>
      <c r="K1062" t="s" s="14">
        <v>467</v>
      </c>
      <c r="L1062" s="15"/>
      <c r="M1062" s="16"/>
      <c r="N1062" s="20"/>
      <c r="O1062" t="s" s="17">
        <v>24</v>
      </c>
    </row>
    <row r="1063" ht="30.45" customHeight="1" hidden="1">
      <c r="A1063" t="s" s="21">
        <v>20</v>
      </c>
      <c r="B1063" t="s" s="5">
        <v>61</v>
      </c>
      <c r="C1063" t="s" s="18">
        <v>1851</v>
      </c>
      <c r="D1063" t="s" s="7">
        <v>683</v>
      </c>
      <c r="E1063" s="8">
        <v>46052</v>
      </c>
      <c r="F1063" t="s" s="10">
        <v>1883</v>
      </c>
      <c r="G1063" t="s" s="10">
        <v>1884</v>
      </c>
      <c r="H1063" s="31">
        <v>28762</v>
      </c>
      <c r="I1063" s="12">
        <f>H1063</f>
        <v>28762</v>
      </c>
      <c r="J1063" s="15">
        <f>I1063-H1063</f>
        <v>0</v>
      </c>
      <c r="K1063" t="s" s="14">
        <v>467</v>
      </c>
      <c r="L1063" s="20"/>
      <c r="M1063" s="16"/>
      <c r="N1063" s="20"/>
      <c r="O1063" t="s" s="17">
        <v>24</v>
      </c>
    </row>
    <row r="1064" ht="30.45" customHeight="1" hidden="1">
      <c r="A1064" t="s" s="4">
        <v>133</v>
      </c>
      <c r="B1064" t="s" s="5">
        <v>68</v>
      </c>
      <c r="C1064" t="s" s="18">
        <v>1851</v>
      </c>
      <c r="D1064" t="s" s="7">
        <v>683</v>
      </c>
      <c r="E1064" s="8">
        <v>45425</v>
      </c>
      <c r="F1064" s="9"/>
      <c r="G1064" s="10"/>
      <c r="H1064" s="19">
        <v>9127.6</v>
      </c>
      <c r="I1064" s="12">
        <v>9127.6</v>
      </c>
      <c r="J1064" s="13">
        <f>I1064-H1064</f>
        <v>0</v>
      </c>
      <c r="K1064" t="s" s="14">
        <v>467</v>
      </c>
      <c r="L1064" s="15">
        <v>6084</v>
      </c>
      <c r="M1064" s="8">
        <v>45460</v>
      </c>
      <c r="N1064" s="20"/>
      <c r="O1064" t="s" s="17">
        <v>19</v>
      </c>
    </row>
    <row r="1065" ht="30.45" customHeight="1" hidden="1">
      <c r="A1065" t="s" s="21">
        <v>1112</v>
      </c>
      <c r="B1065" t="s" s="5">
        <v>1113</v>
      </c>
      <c r="C1065" t="s" s="6">
        <v>1885</v>
      </c>
      <c r="D1065" t="s" s="7">
        <v>683</v>
      </c>
      <c r="E1065" s="8">
        <v>46202</v>
      </c>
      <c r="F1065" s="10"/>
      <c r="G1065" t="s" s="10">
        <v>1886</v>
      </c>
      <c r="H1065" s="15">
        <v>25999.3</v>
      </c>
      <c r="I1065" s="26"/>
      <c r="J1065" s="15">
        <f>I1065-H1065</f>
        <v>-25999.3</v>
      </c>
      <c r="K1065" t="s" s="14">
        <v>467</v>
      </c>
      <c r="L1065" s="20"/>
      <c r="M1065" s="16"/>
      <c r="N1065" s="20"/>
      <c r="O1065" t="s" s="17">
        <v>24</v>
      </c>
    </row>
    <row r="1066" ht="30.45" customHeight="1" hidden="1">
      <c r="A1066" t="s" s="21">
        <v>20</v>
      </c>
      <c r="B1066" t="s" s="5">
        <v>30</v>
      </c>
      <c r="C1066" t="s" s="18">
        <v>1887</v>
      </c>
      <c r="D1066" t="s" s="7">
        <v>683</v>
      </c>
      <c r="E1066" s="8">
        <v>46095</v>
      </c>
      <c r="F1066" s="10"/>
      <c r="G1066" t="s" s="10">
        <v>1888</v>
      </c>
      <c r="H1066" s="19">
        <v>21666</v>
      </c>
      <c r="I1066" s="12">
        <f>H1066</f>
        <v>21666</v>
      </c>
      <c r="J1066" s="13">
        <f>I1066-H1066</f>
        <v>0</v>
      </c>
      <c r="K1066" t="s" s="14">
        <v>24</v>
      </c>
      <c r="L1066" s="20"/>
      <c r="M1066" s="16"/>
      <c r="N1066" s="20"/>
      <c r="O1066" t="s" s="17">
        <v>24</v>
      </c>
    </row>
    <row r="1067" ht="30.45" customHeight="1" hidden="1">
      <c r="A1067" t="s" s="17">
        <v>39</v>
      </c>
      <c r="B1067" t="s" s="5">
        <v>633</v>
      </c>
      <c r="C1067" t="s" s="18">
        <v>1889</v>
      </c>
      <c r="D1067" t="s" s="7">
        <v>539</v>
      </c>
      <c r="E1067" s="8">
        <v>45763</v>
      </c>
      <c r="F1067" t="s" s="10">
        <v>1890</v>
      </c>
      <c r="G1067" t="s" s="10">
        <v>1891</v>
      </c>
      <c r="H1067" s="19">
        <v>40467.5</v>
      </c>
      <c r="I1067" s="12">
        <v>40467.5</v>
      </c>
      <c r="J1067" s="13">
        <f>I1067-H1067</f>
        <v>0</v>
      </c>
      <c r="K1067" t="s" s="14">
        <v>87</v>
      </c>
      <c r="L1067" s="20"/>
      <c r="M1067" s="16"/>
      <c r="N1067" s="20"/>
      <c r="O1067" t="s" s="17">
        <v>24</v>
      </c>
    </row>
    <row r="1068" ht="30.45" customHeight="1" hidden="1">
      <c r="A1068" t="s" s="17">
        <v>39</v>
      </c>
      <c r="B1068" t="s" s="5">
        <v>30</v>
      </c>
      <c r="C1068" t="s" s="28">
        <v>1889</v>
      </c>
      <c r="D1068" t="s" s="7">
        <v>539</v>
      </c>
      <c r="E1068" s="8">
        <v>45579</v>
      </c>
      <c r="F1068" s="16"/>
      <c r="G1068" t="s" s="10">
        <v>1892</v>
      </c>
      <c r="H1068" s="50">
        <v>9787.200000000001</v>
      </c>
      <c r="I1068" s="12">
        <v>9787.200000000001</v>
      </c>
      <c r="J1068" s="13">
        <f>I1068-H1068</f>
        <v>0</v>
      </c>
      <c r="K1068" t="s" s="14">
        <v>87</v>
      </c>
      <c r="L1068" s="20"/>
      <c r="M1068" s="16"/>
      <c r="N1068" s="20"/>
      <c r="O1068" t="s" s="17">
        <v>24</v>
      </c>
    </row>
    <row r="1069" ht="30.45" customHeight="1" hidden="1">
      <c r="A1069" t="s" s="17">
        <v>39</v>
      </c>
      <c r="B1069" t="s" s="5">
        <v>317</v>
      </c>
      <c r="C1069" t="s" s="28">
        <v>1889</v>
      </c>
      <c r="D1069" t="s" s="7">
        <v>539</v>
      </c>
      <c r="E1069" s="8">
        <v>45302</v>
      </c>
      <c r="F1069" s="9">
        <v>137</v>
      </c>
      <c r="G1069" t="s" s="10">
        <v>1893</v>
      </c>
      <c r="H1069" s="26">
        <v>25083.25</v>
      </c>
      <c r="I1069" s="29">
        <v>25083.25</v>
      </c>
      <c r="J1069" s="15"/>
      <c r="K1069" t="s" s="14">
        <v>87</v>
      </c>
      <c r="L1069" s="15"/>
      <c r="M1069" t="s" s="10">
        <v>142</v>
      </c>
      <c r="N1069" s="16"/>
      <c r="O1069" t="s" s="17">
        <v>24</v>
      </c>
    </row>
    <row r="1070" ht="30.45" customHeight="1" hidden="1">
      <c r="A1070" t="s" s="17">
        <v>39</v>
      </c>
      <c r="B1070" t="s" s="5">
        <v>40</v>
      </c>
      <c r="C1070" t="s" s="18">
        <v>1889</v>
      </c>
      <c r="D1070" t="s" s="7">
        <v>539</v>
      </c>
      <c r="E1070" s="8">
        <v>45485</v>
      </c>
      <c r="F1070" t="s" s="10">
        <v>1894</v>
      </c>
      <c r="G1070" t="s" s="10">
        <v>1895</v>
      </c>
      <c r="H1070" s="29">
        <v>54965.492</v>
      </c>
      <c r="I1070" s="12">
        <v>54965.492</v>
      </c>
      <c r="J1070" s="15">
        <f>I1070-H1070</f>
        <v>0</v>
      </c>
      <c r="K1070" t="s" s="14">
        <v>87</v>
      </c>
      <c r="L1070" s="20"/>
      <c r="M1070" s="8">
        <v>45521</v>
      </c>
      <c r="N1070" s="20"/>
      <c r="O1070" t="s" s="17">
        <v>24</v>
      </c>
    </row>
    <row r="1071" ht="30.45" customHeight="1" hidden="1">
      <c r="A1071" t="s" s="17">
        <v>39</v>
      </c>
      <c r="B1071" t="s" s="5">
        <v>40</v>
      </c>
      <c r="C1071" t="s" s="28">
        <v>1889</v>
      </c>
      <c r="D1071" t="s" s="7">
        <v>539</v>
      </c>
      <c r="E1071" s="8">
        <v>45604</v>
      </c>
      <c r="F1071" t="s" s="10">
        <v>1896</v>
      </c>
      <c r="G1071" t="s" s="10">
        <v>1897</v>
      </c>
      <c r="H1071" s="29">
        <v>37193.7488</v>
      </c>
      <c r="I1071" s="12">
        <v>37193.7488</v>
      </c>
      <c r="J1071" s="15">
        <f>I1071-H1071</f>
        <v>0</v>
      </c>
      <c r="K1071" t="s" s="14">
        <v>87</v>
      </c>
      <c r="L1071" s="20"/>
      <c r="M1071" s="16"/>
      <c r="N1071" s="20"/>
      <c r="O1071" t="s" s="17">
        <v>24</v>
      </c>
    </row>
    <row r="1072" ht="30.45" customHeight="1" hidden="1">
      <c r="A1072" t="s" s="4">
        <v>39</v>
      </c>
      <c r="B1072" t="s" s="5">
        <v>40</v>
      </c>
      <c r="C1072" t="s" s="18">
        <v>1889</v>
      </c>
      <c r="D1072" t="s" s="7">
        <v>539</v>
      </c>
      <c r="E1072" s="8">
        <v>46101</v>
      </c>
      <c r="F1072" t="s" s="10">
        <v>1898</v>
      </c>
      <c r="G1072" t="s" s="10">
        <v>1899</v>
      </c>
      <c r="H1072" s="19">
        <v>41495.56</v>
      </c>
      <c r="I1072" s="12">
        <f>H1072</f>
        <v>41495.56</v>
      </c>
      <c r="J1072" s="15">
        <f>I1072-H1072</f>
        <v>0</v>
      </c>
      <c r="K1072" t="s" s="14">
        <v>87</v>
      </c>
      <c r="L1072" s="20"/>
      <c r="M1072" s="16"/>
      <c r="N1072" s="20"/>
      <c r="O1072" t="s" s="17">
        <v>24</v>
      </c>
    </row>
    <row r="1073" ht="30.45" customHeight="1" hidden="1">
      <c r="A1073" t="s" s="17">
        <v>39</v>
      </c>
      <c r="B1073" t="s" s="5">
        <v>30</v>
      </c>
      <c r="C1073" t="s" s="23">
        <v>1900</v>
      </c>
      <c r="D1073" t="s" s="7">
        <v>390</v>
      </c>
      <c r="E1073" s="8">
        <v>45484</v>
      </c>
      <c r="F1073" s="16"/>
      <c r="G1073" t="s" s="10">
        <v>24</v>
      </c>
      <c r="H1073" s="19">
        <v>2160</v>
      </c>
      <c r="I1073" s="12">
        <v>2160</v>
      </c>
      <c r="J1073" s="13">
        <f>I1073-H1073</f>
        <v>0</v>
      </c>
      <c r="K1073" t="s" s="14">
        <v>92</v>
      </c>
      <c r="L1073" s="20"/>
      <c r="M1073" s="16"/>
      <c r="N1073" s="20"/>
      <c r="O1073" t="s" s="17">
        <v>24</v>
      </c>
    </row>
    <row r="1074" ht="30.45" customHeight="1" hidden="1">
      <c r="A1074" t="s" s="17">
        <v>39</v>
      </c>
      <c r="B1074" t="s" s="5">
        <v>40</v>
      </c>
      <c r="C1074" t="s" s="18">
        <v>1901</v>
      </c>
      <c r="D1074" t="s" s="7">
        <v>390</v>
      </c>
      <c r="E1074" s="25">
        <v>45244</v>
      </c>
      <c r="F1074" s="9">
        <v>402</v>
      </c>
      <c r="G1074" t="s" s="10">
        <v>1902</v>
      </c>
      <c r="H1074" s="26">
        <v>47808.46</v>
      </c>
      <c r="I1074" s="12">
        <v>47808.45</v>
      </c>
      <c r="J1074" s="15">
        <f>I1074-H1074</f>
        <v>-0.01</v>
      </c>
      <c r="K1074" t="s" s="14">
        <v>92</v>
      </c>
      <c r="L1074" s="15"/>
      <c r="M1074" s="58">
        <v>45281</v>
      </c>
      <c r="N1074" s="16"/>
      <c r="O1074" t="s" s="17">
        <v>24</v>
      </c>
    </row>
    <row r="1075" ht="30.45" customHeight="1" hidden="1">
      <c r="A1075" t="s" s="17">
        <v>39</v>
      </c>
      <c r="B1075" t="s" s="5">
        <v>40</v>
      </c>
      <c r="C1075" t="s" s="18">
        <v>1901</v>
      </c>
      <c r="D1075" t="s" s="7">
        <v>390</v>
      </c>
      <c r="E1075" s="25">
        <v>45342</v>
      </c>
      <c r="F1075" t="s" s="10">
        <v>1903</v>
      </c>
      <c r="G1075" t="s" s="10">
        <v>1904</v>
      </c>
      <c r="H1075" s="26">
        <v>40302.68</v>
      </c>
      <c r="I1075" s="12">
        <v>40302.68</v>
      </c>
      <c r="J1075" s="15"/>
      <c r="K1075" t="s" s="14">
        <v>92</v>
      </c>
      <c r="L1075" s="20"/>
      <c r="M1075" s="8">
        <v>45379</v>
      </c>
      <c r="N1075" s="16"/>
      <c r="O1075" t="s" s="17">
        <v>24</v>
      </c>
    </row>
    <row r="1076" ht="30.45" customHeight="1" hidden="1">
      <c r="A1076" t="s" s="17">
        <v>20</v>
      </c>
      <c r="B1076" t="s" s="5">
        <v>40</v>
      </c>
      <c r="C1076" t="s" s="23">
        <v>1901</v>
      </c>
      <c r="D1076" t="s" s="7">
        <v>390</v>
      </c>
      <c r="E1076" s="8">
        <v>45485</v>
      </c>
      <c r="F1076" t="s" s="10">
        <v>1905</v>
      </c>
      <c r="G1076" t="s" s="10">
        <v>1906</v>
      </c>
      <c r="H1076" s="15">
        <v>21998.34</v>
      </c>
      <c r="I1076" s="12">
        <v>21998.34</v>
      </c>
      <c r="J1076" s="15">
        <f>I1076-H1076</f>
        <v>0</v>
      </c>
      <c r="K1076" t="s" s="14">
        <v>92</v>
      </c>
      <c r="L1076" s="20"/>
      <c r="M1076" s="8">
        <v>45521</v>
      </c>
      <c r="N1076" s="20"/>
      <c r="O1076" t="s" s="17">
        <v>24</v>
      </c>
    </row>
    <row r="1077" ht="30.45" customHeight="1" hidden="1">
      <c r="A1077" t="s" s="17">
        <v>49</v>
      </c>
      <c r="B1077" t="s" s="5">
        <v>40</v>
      </c>
      <c r="C1077" t="s" s="18">
        <v>1901</v>
      </c>
      <c r="D1077" t="s" s="7">
        <v>390</v>
      </c>
      <c r="E1077" s="8">
        <v>45553</v>
      </c>
      <c r="F1077" t="s" s="10">
        <v>1907</v>
      </c>
      <c r="G1077" t="s" s="10">
        <v>1908</v>
      </c>
      <c r="H1077" s="15">
        <v>37745.72</v>
      </c>
      <c r="I1077" s="12">
        <v>37745.72</v>
      </c>
      <c r="J1077" s="15">
        <f>I1077-H1077</f>
        <v>0</v>
      </c>
      <c r="K1077" t="s" s="14">
        <v>92</v>
      </c>
      <c r="L1077" s="20"/>
      <c r="M1077" s="16"/>
      <c r="N1077" s="20"/>
      <c r="O1077" t="s" s="17">
        <v>24</v>
      </c>
    </row>
    <row r="1078" ht="30.45" customHeight="1" hidden="1">
      <c r="A1078" t="s" s="17">
        <v>20</v>
      </c>
      <c r="B1078" t="s" s="5">
        <v>40</v>
      </c>
      <c r="C1078" t="s" s="18">
        <v>1901</v>
      </c>
      <c r="D1078" t="s" s="7">
        <v>390</v>
      </c>
      <c r="E1078" s="8">
        <v>45707</v>
      </c>
      <c r="F1078" t="s" s="10">
        <v>1909</v>
      </c>
      <c r="G1078" t="s" s="10">
        <v>1910</v>
      </c>
      <c r="H1078" s="19">
        <v>46489.4</v>
      </c>
      <c r="I1078" s="12">
        <v>46489.22</v>
      </c>
      <c r="J1078" s="15">
        <f>I1078-H1078</f>
        <v>-0.18</v>
      </c>
      <c r="K1078" t="s" s="14">
        <v>92</v>
      </c>
      <c r="L1078" s="20"/>
      <c r="M1078" s="16"/>
      <c r="N1078" s="20"/>
      <c r="O1078" t="s" s="17">
        <v>24</v>
      </c>
    </row>
    <row r="1079" ht="30.45" customHeight="1" hidden="1">
      <c r="A1079" t="s" s="21">
        <v>20</v>
      </c>
      <c r="B1079" t="s" s="5">
        <v>40</v>
      </c>
      <c r="C1079" t="s" s="18">
        <v>1901</v>
      </c>
      <c r="D1079" t="s" s="7">
        <v>390</v>
      </c>
      <c r="E1079" s="8">
        <v>45854</v>
      </c>
      <c r="F1079" t="s" s="10">
        <v>1911</v>
      </c>
      <c r="G1079" t="s" s="10">
        <v>1912</v>
      </c>
      <c r="H1079" s="19">
        <v>26261.99</v>
      </c>
      <c r="I1079" s="12">
        <v>26261.99</v>
      </c>
      <c r="J1079" s="15">
        <f>I1079-H1079</f>
        <v>0</v>
      </c>
      <c r="K1079" t="s" s="14">
        <v>92</v>
      </c>
      <c r="L1079" s="20"/>
      <c r="M1079" s="16"/>
      <c r="N1079" s="20"/>
      <c r="O1079" t="s" s="17">
        <v>24</v>
      </c>
    </row>
    <row r="1080" ht="30.45" customHeight="1" hidden="1">
      <c r="A1080" t="s" s="21">
        <v>20</v>
      </c>
      <c r="B1080" t="s" s="5">
        <v>40</v>
      </c>
      <c r="C1080" t="s" s="18">
        <v>1901</v>
      </c>
      <c r="D1080" t="s" s="7">
        <v>390</v>
      </c>
      <c r="E1080" s="8">
        <v>45875</v>
      </c>
      <c r="F1080" t="s" s="10">
        <v>1913</v>
      </c>
      <c r="G1080" t="s" s="10">
        <v>1914</v>
      </c>
      <c r="H1080" s="19">
        <v>40699.38</v>
      </c>
      <c r="I1080" s="12">
        <v>40700</v>
      </c>
      <c r="J1080" s="15">
        <f>I1080-H1080</f>
        <v>0.62</v>
      </c>
      <c r="K1080" t="s" s="14">
        <v>92</v>
      </c>
      <c r="L1080" s="20"/>
      <c r="M1080" s="16"/>
      <c r="N1080" s="20"/>
      <c r="O1080" t="s" s="17">
        <v>24</v>
      </c>
    </row>
    <row r="1081" ht="30.45" customHeight="1" hidden="1">
      <c r="A1081" t="s" s="21">
        <v>20</v>
      </c>
      <c r="B1081" t="s" s="5">
        <v>40</v>
      </c>
      <c r="C1081" t="s" s="18">
        <v>1901</v>
      </c>
      <c r="D1081" t="s" s="7">
        <v>390</v>
      </c>
      <c r="E1081" s="8">
        <v>46083</v>
      </c>
      <c r="F1081" t="s" s="10">
        <v>1915</v>
      </c>
      <c r="G1081" t="s" s="10">
        <v>1916</v>
      </c>
      <c r="H1081" s="19">
        <v>45150.47</v>
      </c>
      <c r="I1081" s="12">
        <f>H1081</f>
        <v>45150.47</v>
      </c>
      <c r="J1081" s="15">
        <f>I1081-H1081</f>
        <v>0</v>
      </c>
      <c r="K1081" t="s" s="14">
        <v>92</v>
      </c>
      <c r="L1081" s="20"/>
      <c r="M1081" s="16"/>
      <c r="N1081" s="20"/>
      <c r="O1081" t="s" s="17">
        <v>24</v>
      </c>
    </row>
    <row r="1082" ht="30.45" customHeight="1" hidden="1">
      <c r="A1082" t="s" s="21">
        <v>49</v>
      </c>
      <c r="B1082" t="s" s="5">
        <v>47</v>
      </c>
      <c r="C1082" t="s" s="18">
        <v>1901</v>
      </c>
      <c r="D1082" t="s" s="7">
        <v>390</v>
      </c>
      <c r="E1082" s="8">
        <v>46066</v>
      </c>
      <c r="F1082" t="s" s="10">
        <v>1917</v>
      </c>
      <c r="G1082" t="s" s="10">
        <v>1918</v>
      </c>
      <c r="H1082" s="19">
        <v>23890.3</v>
      </c>
      <c r="I1082" s="12">
        <f>H1082</f>
        <v>23890.3</v>
      </c>
      <c r="J1082" s="15">
        <f>I1082-H1082</f>
        <v>0</v>
      </c>
      <c r="K1082" t="s" s="14">
        <v>92</v>
      </c>
      <c r="L1082" s="20"/>
      <c r="M1082" s="8"/>
      <c r="N1082" s="20"/>
      <c r="O1082" t="s" s="17">
        <v>24</v>
      </c>
    </row>
    <row r="1083" ht="30.45" customHeight="1" hidden="1">
      <c r="A1083" t="s" s="21">
        <v>20</v>
      </c>
      <c r="B1083" t="s" s="5">
        <v>97</v>
      </c>
      <c r="C1083" t="s" s="18">
        <v>1901</v>
      </c>
      <c r="D1083" t="s" s="7">
        <v>390</v>
      </c>
      <c r="E1083" s="25">
        <v>45877</v>
      </c>
      <c r="F1083" t="s" s="10">
        <v>1919</v>
      </c>
      <c r="G1083" t="s" s="10">
        <v>1920</v>
      </c>
      <c r="H1083" s="19">
        <v>25904.25</v>
      </c>
      <c r="I1083" s="12">
        <v>25904</v>
      </c>
      <c r="J1083" s="13">
        <f>I1083-H1083</f>
        <v>-0.25</v>
      </c>
      <c r="K1083" t="s" s="14">
        <v>92</v>
      </c>
      <c r="L1083" s="20"/>
      <c r="M1083" s="16"/>
      <c r="N1083" s="20"/>
      <c r="O1083" t="s" s="17">
        <v>24</v>
      </c>
    </row>
    <row r="1084" ht="30.45" customHeight="1" hidden="1">
      <c r="A1084" t="s" s="21">
        <v>39</v>
      </c>
      <c r="B1084" t="s" s="5">
        <v>61</v>
      </c>
      <c r="C1084" t="s" s="18">
        <v>1901</v>
      </c>
      <c r="D1084" t="s" s="7">
        <v>390</v>
      </c>
      <c r="E1084" s="25">
        <v>45989</v>
      </c>
      <c r="F1084" t="s" s="10">
        <v>1921</v>
      </c>
      <c r="G1084" t="s" s="10">
        <v>1031</v>
      </c>
      <c r="H1084" s="31">
        <v>9393.65</v>
      </c>
      <c r="I1084" s="12">
        <f>H1084</f>
        <v>9393.65</v>
      </c>
      <c r="J1084" s="15">
        <f>I1084-H1084</f>
        <v>0</v>
      </c>
      <c r="K1084" t="s" s="14">
        <v>92</v>
      </c>
      <c r="L1084" s="15"/>
      <c r="M1084" s="16"/>
      <c r="N1084" s="20"/>
      <c r="O1084" t="s" s="17">
        <v>24</v>
      </c>
    </row>
    <row r="1085" ht="30.45" customHeight="1" hidden="1">
      <c r="A1085" t="s" s="21">
        <v>20</v>
      </c>
      <c r="B1085" t="s" s="5">
        <v>40</v>
      </c>
      <c r="C1085" t="s" s="18">
        <v>1922</v>
      </c>
      <c r="D1085" t="s" s="7">
        <v>246</v>
      </c>
      <c r="E1085" s="8">
        <v>46101</v>
      </c>
      <c r="F1085" t="s" s="10">
        <v>1923</v>
      </c>
      <c r="G1085" t="s" s="10">
        <v>1924</v>
      </c>
      <c r="H1085" s="19">
        <v>7759.18</v>
      </c>
      <c r="I1085" s="12">
        <v>7759</v>
      </c>
      <c r="J1085" s="15">
        <f>I1085-H1085</f>
        <v>-0.18</v>
      </c>
      <c r="K1085" t="s" s="14">
        <v>153</v>
      </c>
      <c r="L1085" s="20"/>
      <c r="M1085" s="16"/>
      <c r="N1085" s="20"/>
      <c r="O1085" t="s" s="17">
        <v>24</v>
      </c>
    </row>
    <row r="1086" ht="30.45" customHeight="1" hidden="1">
      <c r="A1086" t="s" s="17">
        <v>20</v>
      </c>
      <c r="B1086" t="s" s="5">
        <v>97</v>
      </c>
      <c r="C1086" t="s" s="23">
        <v>1922</v>
      </c>
      <c r="D1086" t="s" s="7">
        <v>246</v>
      </c>
      <c r="E1086" s="25">
        <v>45513</v>
      </c>
      <c r="F1086" t="s" s="10">
        <v>1925</v>
      </c>
      <c r="G1086" t="s" s="10">
        <v>1926</v>
      </c>
      <c r="H1086" s="19">
        <v>50916.8</v>
      </c>
      <c r="I1086" s="12">
        <v>50917.17</v>
      </c>
      <c r="J1086" s="13">
        <f>I1086-H1086</f>
        <v>0.37</v>
      </c>
      <c r="K1086" t="s" s="14">
        <v>153</v>
      </c>
      <c r="L1086" s="20"/>
      <c r="M1086" s="16"/>
      <c r="N1086" s="20"/>
      <c r="O1086" t="s" s="17">
        <v>24</v>
      </c>
    </row>
    <row r="1087" ht="30.45" customHeight="1" hidden="1">
      <c r="A1087" t="s" s="21">
        <v>20</v>
      </c>
      <c r="B1087" t="s" s="5">
        <v>97</v>
      </c>
      <c r="C1087" t="s" s="18">
        <v>1922</v>
      </c>
      <c r="D1087" t="s" s="7">
        <v>246</v>
      </c>
      <c r="E1087" s="25">
        <v>45678</v>
      </c>
      <c r="F1087" t="s" s="10">
        <v>1927</v>
      </c>
      <c r="G1087" t="s" s="10">
        <v>1928</v>
      </c>
      <c r="H1087" s="19">
        <v>62228</v>
      </c>
      <c r="I1087" s="12">
        <v>63094.17</v>
      </c>
      <c r="J1087" s="13">
        <f>I1087-H1087</f>
        <v>866.17</v>
      </c>
      <c r="K1087" t="s" s="14">
        <v>153</v>
      </c>
      <c r="L1087" s="20"/>
      <c r="M1087" s="16"/>
      <c r="N1087" t="s" s="21">
        <v>1929</v>
      </c>
      <c r="O1087" t="s" s="17">
        <v>24</v>
      </c>
    </row>
    <row r="1088" ht="30.45" customHeight="1" hidden="1">
      <c r="A1088" t="s" s="21">
        <v>20</v>
      </c>
      <c r="B1088" t="s" s="5">
        <v>97</v>
      </c>
      <c r="C1088" t="s" s="23">
        <v>1922</v>
      </c>
      <c r="D1088" t="s" s="7">
        <v>246</v>
      </c>
      <c r="E1088" s="25">
        <v>45729</v>
      </c>
      <c r="F1088" t="s" s="10">
        <v>1930</v>
      </c>
      <c r="G1088" t="s" s="10">
        <v>1931</v>
      </c>
      <c r="H1088" s="19">
        <v>60311.6</v>
      </c>
      <c r="I1088" s="12">
        <v>59445.43</v>
      </c>
      <c r="J1088" s="13">
        <f>I1088-H1088</f>
        <v>-866.17</v>
      </c>
      <c r="K1088" t="s" s="14">
        <v>153</v>
      </c>
      <c r="L1088" s="20"/>
      <c r="M1088" s="16"/>
      <c r="N1088" s="20"/>
      <c r="O1088" t="s" s="17">
        <v>24</v>
      </c>
    </row>
    <row r="1089" ht="30.45" customHeight="1" hidden="1">
      <c r="A1089" t="s" s="21">
        <v>20</v>
      </c>
      <c r="B1089" t="s" s="5">
        <v>97</v>
      </c>
      <c r="C1089" t="s" s="18">
        <v>1922</v>
      </c>
      <c r="D1089" t="s" s="7">
        <v>246</v>
      </c>
      <c r="E1089" s="25">
        <v>45785</v>
      </c>
      <c r="F1089" t="s" s="10">
        <v>1932</v>
      </c>
      <c r="G1089" t="s" s="10">
        <v>1933</v>
      </c>
      <c r="H1089" s="19">
        <v>41897.2</v>
      </c>
      <c r="I1089" s="12">
        <v>41868.54</v>
      </c>
      <c r="J1089" s="13">
        <f>I1089-H1089</f>
        <v>-28.66</v>
      </c>
      <c r="K1089" t="s" s="14">
        <v>153</v>
      </c>
      <c r="L1089" s="20"/>
      <c r="M1089" s="16"/>
      <c r="N1089" s="20"/>
      <c r="O1089" t="s" s="17">
        <v>24</v>
      </c>
    </row>
    <row r="1090" ht="30.45" customHeight="1" hidden="1">
      <c r="A1090" t="s" s="21">
        <v>20</v>
      </c>
      <c r="B1090" t="s" s="5">
        <v>97</v>
      </c>
      <c r="C1090" t="s" s="18">
        <v>1922</v>
      </c>
      <c r="D1090" t="s" s="7">
        <v>246</v>
      </c>
      <c r="E1090" s="25">
        <v>45944</v>
      </c>
      <c r="F1090" t="s" s="10">
        <v>1934</v>
      </c>
      <c r="G1090" t="s" s="10">
        <v>1935</v>
      </c>
      <c r="H1090" s="19">
        <v>31082.4</v>
      </c>
      <c r="I1090" s="12">
        <v>31089.5</v>
      </c>
      <c r="J1090" s="13">
        <f>I1090-H1090</f>
        <v>7.1</v>
      </c>
      <c r="K1090" t="s" s="14">
        <v>153</v>
      </c>
      <c r="L1090" s="20"/>
      <c r="M1090" s="16"/>
      <c r="N1090" s="20"/>
      <c r="O1090" t="s" s="17">
        <v>24</v>
      </c>
    </row>
    <row r="1091" ht="30.45" customHeight="1" hidden="1">
      <c r="A1091" t="s" s="47">
        <v>1936</v>
      </c>
      <c r="B1091" t="s" s="5">
        <v>97</v>
      </c>
      <c r="C1091" t="s" s="18">
        <v>1922</v>
      </c>
      <c r="D1091" t="s" s="7">
        <v>246</v>
      </c>
      <c r="E1091" s="25">
        <v>46090</v>
      </c>
      <c r="F1091" t="s" s="10">
        <v>1937</v>
      </c>
      <c r="G1091" t="s" s="10">
        <v>1938</v>
      </c>
      <c r="H1091" s="19">
        <v>33145.6</v>
      </c>
      <c r="I1091" s="12">
        <v>32834.09</v>
      </c>
      <c r="J1091" s="13">
        <f>I1091-H1091</f>
        <v>-311.51</v>
      </c>
      <c r="K1091" t="s" s="14">
        <v>153</v>
      </c>
      <c r="L1091" s="20"/>
      <c r="M1091" s="16"/>
      <c r="N1091" s="20"/>
      <c r="O1091" t="s" s="17">
        <v>24</v>
      </c>
    </row>
    <row r="1092" ht="30.45" customHeight="1" hidden="1">
      <c r="A1092" t="s" s="21">
        <v>1939</v>
      </c>
      <c r="B1092" t="s" s="5">
        <v>21</v>
      </c>
      <c r="C1092" t="s" s="18">
        <v>1922</v>
      </c>
      <c r="D1092" t="s" s="7">
        <v>246</v>
      </c>
      <c r="E1092" s="8">
        <v>46157</v>
      </c>
      <c r="F1092" t="s" s="10">
        <v>1940</v>
      </c>
      <c r="G1092" t="s" s="10">
        <v>1941</v>
      </c>
      <c r="H1092" s="19">
        <v>58381</v>
      </c>
      <c r="I1092" s="12">
        <f>H1092</f>
        <v>58381</v>
      </c>
      <c r="J1092" s="13">
        <f>I1092-H1092</f>
        <v>0</v>
      </c>
      <c r="K1092" t="s" s="14">
        <v>153</v>
      </c>
      <c r="L1092" s="20"/>
      <c r="M1092" s="16"/>
      <c r="N1092" s="22"/>
      <c r="O1092" t="s" s="17">
        <v>24</v>
      </c>
    </row>
    <row r="1093" ht="30.45" customHeight="1" hidden="1">
      <c r="A1093" t="s" s="17">
        <v>654</v>
      </c>
      <c r="B1093" t="s" s="5">
        <v>21</v>
      </c>
      <c r="C1093" t="s" s="116">
        <v>205</v>
      </c>
      <c r="D1093" t="s" s="7">
        <v>206</v>
      </c>
      <c r="E1093" s="8">
        <v>46212</v>
      </c>
      <c r="F1093" t="s" s="10">
        <v>1942</v>
      </c>
      <c r="G1093" t="s" s="10">
        <v>227</v>
      </c>
      <c r="H1093" s="39">
        <v>39657.15</v>
      </c>
      <c r="I1093" s="15"/>
      <c r="J1093" s="13">
        <f>I1093-H1093</f>
        <v>-39657.15</v>
      </c>
      <c r="K1093" t="s" s="14">
        <v>209</v>
      </c>
      <c r="L1093" s="20"/>
      <c r="M1093" s="16"/>
      <c r="N1093" s="22"/>
      <c r="O1093" t="s" s="17">
        <v>24</v>
      </c>
    </row>
    <row r="1094" ht="30.45" customHeight="1" hidden="1">
      <c r="A1094" t="s" s="17">
        <v>654</v>
      </c>
      <c r="B1094" t="s" s="5">
        <v>21</v>
      </c>
      <c r="C1094" t="s" s="116">
        <v>1922</v>
      </c>
      <c r="D1094" t="s" s="7">
        <v>246</v>
      </c>
      <c r="E1094" s="8">
        <v>46212</v>
      </c>
      <c r="F1094" t="s" s="10">
        <v>1943</v>
      </c>
      <c r="G1094" t="s" s="10">
        <v>1941</v>
      </c>
      <c r="H1094" s="39">
        <v>20610.7</v>
      </c>
      <c r="I1094" s="15"/>
      <c r="J1094" s="13">
        <f>I1094-H1094</f>
        <v>-20610.7</v>
      </c>
      <c r="K1094" t="s" s="14">
        <v>153</v>
      </c>
      <c r="L1094" s="20"/>
      <c r="M1094" s="16"/>
      <c r="N1094" s="22"/>
      <c r="O1094" t="s" s="17">
        <v>24</v>
      </c>
    </row>
    <row r="1095" ht="30.45" customHeight="1" hidden="1">
      <c r="A1095" t="s" s="30">
        <v>49</v>
      </c>
      <c r="B1095" t="s" s="5">
        <v>47</v>
      </c>
      <c r="C1095" t="s" s="28">
        <v>1944</v>
      </c>
      <c r="D1095" t="s" s="7">
        <v>246</v>
      </c>
      <c r="E1095" s="8">
        <v>45868</v>
      </c>
      <c r="F1095" t="s" s="10">
        <v>1945</v>
      </c>
      <c r="G1095" t="s" s="10">
        <v>1946</v>
      </c>
      <c r="H1095" s="50">
        <v>13734.72</v>
      </c>
      <c r="I1095" s="12">
        <f>H1095</f>
        <v>13734.72</v>
      </c>
      <c r="J1095" s="15">
        <f>I1095-H1095</f>
        <v>0</v>
      </c>
      <c r="K1095" t="s" s="14">
        <v>153</v>
      </c>
      <c r="L1095" s="20"/>
      <c r="M1095" s="8"/>
      <c r="N1095" s="20"/>
      <c r="O1095" t="s" s="17">
        <v>24</v>
      </c>
    </row>
    <row r="1096" ht="30.45" customHeight="1" hidden="1">
      <c r="A1096" t="s" s="30">
        <v>49</v>
      </c>
      <c r="B1096" t="s" s="5">
        <v>47</v>
      </c>
      <c r="C1096" t="s" s="28">
        <v>1944</v>
      </c>
      <c r="D1096" t="s" s="7">
        <v>246</v>
      </c>
      <c r="E1096" s="8">
        <v>45868</v>
      </c>
      <c r="F1096" t="s" s="10">
        <v>549</v>
      </c>
      <c r="G1096" t="s" s="10">
        <v>1946</v>
      </c>
      <c r="H1096" s="50">
        <v>16172.47</v>
      </c>
      <c r="I1096" s="12">
        <v>16172.28</v>
      </c>
      <c r="J1096" s="15">
        <f>I1096-H1096</f>
        <v>-0.19</v>
      </c>
      <c r="K1096" t="s" s="14">
        <v>153</v>
      </c>
      <c r="L1096" s="20"/>
      <c r="M1096" s="8"/>
      <c r="N1096" s="20"/>
      <c r="O1096" t="s" s="17">
        <v>24</v>
      </c>
    </row>
    <row r="1097" ht="30.45" customHeight="1" hidden="1">
      <c r="A1097" t="s" s="30">
        <v>599</v>
      </c>
      <c r="B1097" t="s" s="5">
        <v>47</v>
      </c>
      <c r="C1097" t="s" s="28">
        <v>1944</v>
      </c>
      <c r="D1097" t="s" s="7">
        <v>246</v>
      </c>
      <c r="E1097" s="8">
        <v>45950</v>
      </c>
      <c r="F1097" t="s" s="10">
        <v>1947</v>
      </c>
      <c r="G1097" t="s" s="10">
        <v>1948</v>
      </c>
      <c r="H1097" s="50">
        <v>29511.69</v>
      </c>
      <c r="I1097" s="12">
        <f>H1097</f>
        <v>29511.69</v>
      </c>
      <c r="J1097" s="15">
        <f>I1097-H1097</f>
        <v>0</v>
      </c>
      <c r="K1097" t="s" s="14">
        <v>153</v>
      </c>
      <c r="L1097" s="20"/>
      <c r="M1097" s="8"/>
      <c r="N1097" s="20"/>
      <c r="O1097" t="s" s="17">
        <v>19</v>
      </c>
    </row>
    <row r="1098" ht="30.45" customHeight="1" hidden="1">
      <c r="A1098" t="s" s="30">
        <v>599</v>
      </c>
      <c r="B1098" t="s" s="5">
        <v>47</v>
      </c>
      <c r="C1098" t="s" s="28">
        <v>1944</v>
      </c>
      <c r="D1098" t="s" s="7">
        <v>246</v>
      </c>
      <c r="E1098" s="8">
        <v>45950</v>
      </c>
      <c r="F1098" t="s" s="10">
        <v>1949</v>
      </c>
      <c r="G1098" t="s" s="10">
        <v>1950</v>
      </c>
      <c r="H1098" s="50">
        <v>14975.86</v>
      </c>
      <c r="I1098" s="12">
        <v>14973.64</v>
      </c>
      <c r="J1098" s="15">
        <f>I1098-H1098</f>
        <v>-2.22</v>
      </c>
      <c r="K1098" t="s" s="14">
        <v>153</v>
      </c>
      <c r="L1098" s="20"/>
      <c r="M1098" s="8"/>
      <c r="N1098" s="20"/>
      <c r="O1098" t="s" s="17">
        <v>19</v>
      </c>
    </row>
    <row r="1099" ht="30.45" customHeight="1" hidden="1">
      <c r="A1099" t="s" s="17">
        <v>39</v>
      </c>
      <c r="B1099" t="s" s="5">
        <v>97</v>
      </c>
      <c r="C1099" t="s" s="28">
        <v>1951</v>
      </c>
      <c r="D1099" t="s" s="7">
        <v>1368</v>
      </c>
      <c r="E1099" s="25">
        <v>45729</v>
      </c>
      <c r="F1099" t="s" s="10">
        <v>1952</v>
      </c>
      <c r="G1099" t="s" s="10">
        <v>1953</v>
      </c>
      <c r="H1099" s="29">
        <v>38108.352</v>
      </c>
      <c r="I1099" s="12">
        <v>38108.352</v>
      </c>
      <c r="J1099" s="13">
        <f>I1099-H1099</f>
        <v>0</v>
      </c>
      <c r="K1099" t="s" s="14">
        <v>84</v>
      </c>
      <c r="L1099" s="20"/>
      <c r="M1099" s="16"/>
      <c r="N1099" s="20"/>
      <c r="O1099" t="s" s="17">
        <v>24</v>
      </c>
    </row>
    <row r="1100" ht="30.45" customHeight="1" hidden="1">
      <c r="A1100" t="s" s="17">
        <v>39</v>
      </c>
      <c r="B1100" t="s" s="5">
        <v>40</v>
      </c>
      <c r="C1100" t="s" s="18">
        <v>1954</v>
      </c>
      <c r="D1100" t="s" s="7">
        <v>1955</v>
      </c>
      <c r="E1100" s="25">
        <v>45205</v>
      </c>
      <c r="F1100" s="9">
        <v>376</v>
      </c>
      <c r="G1100" t="s" s="10">
        <v>1956</v>
      </c>
      <c r="H1100" s="26">
        <v>17751.42</v>
      </c>
      <c r="I1100" s="12">
        <v>17751.43</v>
      </c>
      <c r="J1100" s="15">
        <f>I1100-H1100</f>
        <v>0.01</v>
      </c>
      <c r="K1100" t="s" s="14">
        <v>1957</v>
      </c>
      <c r="L1100" s="39"/>
      <c r="M1100" s="22"/>
      <c r="N1100" s="20"/>
      <c r="O1100" t="s" s="17">
        <v>24</v>
      </c>
    </row>
    <row r="1101" ht="30.45" customHeight="1" hidden="1">
      <c r="A1101" t="s" s="17">
        <v>20</v>
      </c>
      <c r="B1101" t="s" s="5">
        <v>40</v>
      </c>
      <c r="C1101" t="s" s="18">
        <v>1954</v>
      </c>
      <c r="D1101" t="s" s="7">
        <v>1955</v>
      </c>
      <c r="E1101" s="8">
        <v>45449</v>
      </c>
      <c r="F1101" t="s" s="10">
        <v>1958</v>
      </c>
      <c r="G1101" t="s" s="10">
        <v>1959</v>
      </c>
      <c r="H1101" s="15">
        <v>9924.200000000001</v>
      </c>
      <c r="I1101" s="12">
        <v>9925</v>
      </c>
      <c r="J1101" s="15">
        <f>I1101-H1101</f>
        <v>0.8</v>
      </c>
      <c r="K1101" t="s" s="14">
        <v>1957</v>
      </c>
      <c r="L1101" s="15"/>
      <c r="M1101" s="8">
        <v>45484</v>
      </c>
      <c r="N1101" s="20"/>
      <c r="O1101" t="s" s="17">
        <v>24</v>
      </c>
    </row>
    <row r="1102" ht="30.45" customHeight="1" hidden="1">
      <c r="A1102" t="s" s="30">
        <v>49</v>
      </c>
      <c r="B1102" t="s" s="5">
        <v>40</v>
      </c>
      <c r="C1102" t="s" s="18">
        <v>1954</v>
      </c>
      <c r="D1102" t="s" s="7">
        <v>1955</v>
      </c>
      <c r="E1102" s="8">
        <v>45553</v>
      </c>
      <c r="F1102" t="s" s="10">
        <v>1960</v>
      </c>
      <c r="G1102" t="s" s="10">
        <v>1961</v>
      </c>
      <c r="H1102" s="29">
        <v>17434.84</v>
      </c>
      <c r="I1102" s="12">
        <v>17434.84</v>
      </c>
      <c r="J1102" s="15">
        <f>I1102-H1102</f>
        <v>0</v>
      </c>
      <c r="K1102" t="s" s="14">
        <v>1957</v>
      </c>
      <c r="L1102" s="20"/>
      <c r="M1102" s="16"/>
      <c r="N1102" s="20"/>
      <c r="O1102" t="s" s="17">
        <v>24</v>
      </c>
    </row>
    <row r="1103" ht="30.45" customHeight="1" hidden="1">
      <c r="A1103" t="s" s="21">
        <v>20</v>
      </c>
      <c r="B1103" t="s" s="5">
        <v>40</v>
      </c>
      <c r="C1103" t="s" s="23">
        <v>1954</v>
      </c>
      <c r="D1103" t="s" s="7">
        <v>1955</v>
      </c>
      <c r="E1103" s="8">
        <v>45924</v>
      </c>
      <c r="F1103" t="s" s="10">
        <v>1962</v>
      </c>
      <c r="G1103" t="s" s="10">
        <v>1963</v>
      </c>
      <c r="H1103" s="19">
        <v>9566.440000000001</v>
      </c>
      <c r="I1103" s="12">
        <v>9566.5</v>
      </c>
      <c r="J1103" s="15">
        <f>I1103-H1103</f>
        <v>0.06</v>
      </c>
      <c r="K1103" t="s" s="14">
        <v>1957</v>
      </c>
      <c r="L1103" s="20"/>
      <c r="M1103" s="16"/>
      <c r="N1103" s="20"/>
      <c r="O1103" t="s" s="17">
        <v>24</v>
      </c>
    </row>
    <row r="1104" ht="30.45" customHeight="1" hidden="1">
      <c r="A1104" t="s" s="21">
        <v>20</v>
      </c>
      <c r="B1104" t="s" s="5">
        <v>40</v>
      </c>
      <c r="C1104" t="s" s="18">
        <v>1954</v>
      </c>
      <c r="D1104" t="s" s="7">
        <v>1955</v>
      </c>
      <c r="E1104" s="8">
        <v>45995</v>
      </c>
      <c r="F1104" t="s" s="10">
        <v>1964</v>
      </c>
      <c r="G1104" t="s" s="10">
        <v>1965</v>
      </c>
      <c r="H1104" s="19">
        <v>19408.5</v>
      </c>
      <c r="I1104" s="12">
        <f>H1104</f>
        <v>19408.5</v>
      </c>
      <c r="J1104" s="15">
        <f>I1104-H1104</f>
        <v>0</v>
      </c>
      <c r="K1104" t="s" s="14">
        <v>1957</v>
      </c>
      <c r="L1104" s="20"/>
      <c r="M1104" s="16"/>
      <c r="N1104" s="20"/>
      <c r="O1104" t="s" s="17">
        <v>24</v>
      </c>
    </row>
    <row r="1105" ht="30.45" customHeight="1" hidden="1">
      <c r="A1105" s="32"/>
      <c r="B1105" t="s" s="5">
        <v>40</v>
      </c>
      <c r="C1105" t="s" s="33">
        <v>1954</v>
      </c>
      <c r="D1105" t="s" s="7">
        <v>1955</v>
      </c>
      <c r="E1105" s="8"/>
      <c r="F1105" s="10"/>
      <c r="G1105" t="s" s="10">
        <v>1966</v>
      </c>
      <c r="H1105" s="15"/>
      <c r="I1105" s="26"/>
      <c r="J1105" s="15">
        <f>I1105-H1105</f>
        <v>0</v>
      </c>
      <c r="K1105" t="s" s="14">
        <v>24</v>
      </c>
      <c r="L1105" s="20"/>
      <c r="M1105" s="16"/>
      <c r="N1105" s="20"/>
      <c r="O1105" t="s" s="17">
        <v>24</v>
      </c>
    </row>
    <row r="1106" ht="30.45" customHeight="1" hidden="1">
      <c r="A1106" t="s" s="4">
        <v>49</v>
      </c>
      <c r="B1106" t="s" s="5">
        <v>47</v>
      </c>
      <c r="C1106" t="s" s="18">
        <v>1967</v>
      </c>
      <c r="D1106" t="s" s="7">
        <v>1968</v>
      </c>
      <c r="E1106" s="8">
        <v>45944</v>
      </c>
      <c r="F1106" t="s" s="10">
        <v>1969</v>
      </c>
      <c r="G1106" t="s" s="10">
        <v>1970</v>
      </c>
      <c r="H1106" s="19">
        <v>38215.02</v>
      </c>
      <c r="I1106" s="12">
        <v>38215.02</v>
      </c>
      <c r="J1106" s="15">
        <f>I1106-H1106</f>
        <v>0</v>
      </c>
      <c r="K1106" t="s" s="14">
        <v>84</v>
      </c>
      <c r="L1106" s="20"/>
      <c r="M1106" s="8"/>
      <c r="N1106" s="20"/>
      <c r="O1106" t="s" s="17">
        <v>24</v>
      </c>
    </row>
    <row r="1107" ht="30.45" customHeight="1" hidden="1">
      <c r="A1107" t="s" s="17">
        <v>39</v>
      </c>
      <c r="B1107" t="s" s="5">
        <v>30</v>
      </c>
      <c r="C1107" t="s" s="23">
        <v>1971</v>
      </c>
      <c r="D1107" t="s" s="7">
        <v>1968</v>
      </c>
      <c r="E1107" s="8">
        <v>45516</v>
      </c>
      <c r="F1107" s="16"/>
      <c r="G1107" t="s" s="10">
        <v>1972</v>
      </c>
      <c r="H1107" s="19">
        <v>12261.6</v>
      </c>
      <c r="I1107" s="12">
        <v>12261</v>
      </c>
      <c r="J1107" s="13">
        <f>I1107-H1107</f>
        <v>-0.6</v>
      </c>
      <c r="K1107" t="s" s="14">
        <v>84</v>
      </c>
      <c r="L1107" s="20"/>
      <c r="M1107" s="16"/>
      <c r="N1107" s="20"/>
      <c r="O1107" t="s" s="17">
        <v>24</v>
      </c>
    </row>
    <row r="1108" ht="30.45" customHeight="1" hidden="1">
      <c r="A1108" t="s" s="21">
        <v>20</v>
      </c>
      <c r="B1108" t="s" s="5">
        <v>30</v>
      </c>
      <c r="C1108" t="s" s="23">
        <v>1971</v>
      </c>
      <c r="D1108" t="s" s="7">
        <v>1968</v>
      </c>
      <c r="E1108" s="8">
        <v>45751</v>
      </c>
      <c r="F1108" s="16"/>
      <c r="G1108" t="s" s="10">
        <v>1973</v>
      </c>
      <c r="H1108" s="19">
        <v>12665</v>
      </c>
      <c r="I1108" s="12">
        <v>12665</v>
      </c>
      <c r="J1108" s="13">
        <f>I1108-H1108</f>
        <v>0</v>
      </c>
      <c r="K1108" t="s" s="14">
        <v>84</v>
      </c>
      <c r="L1108" s="20"/>
      <c r="M1108" s="16"/>
      <c r="N1108" s="20"/>
      <c r="O1108" t="s" s="17">
        <v>24</v>
      </c>
    </row>
    <row r="1109" ht="30.45" customHeight="1" hidden="1">
      <c r="A1109" t="s" s="47">
        <v>112</v>
      </c>
      <c r="B1109" t="s" s="5">
        <v>79</v>
      </c>
      <c r="C1109" t="s" s="23">
        <v>1971</v>
      </c>
      <c r="D1109" t="s" s="7">
        <v>1968</v>
      </c>
      <c r="E1109" s="25">
        <v>46157</v>
      </c>
      <c r="F1109" s="10"/>
      <c r="G1109" t="s" s="10">
        <v>1974</v>
      </c>
      <c r="H1109" s="19">
        <v>4935</v>
      </c>
      <c r="I1109" s="15"/>
      <c r="J1109" s="13">
        <f>I1109-H1109</f>
        <v>-4935</v>
      </c>
      <c r="K1109" t="s" s="14">
        <v>84</v>
      </c>
      <c r="L1109" s="20"/>
      <c r="M1109" s="16"/>
      <c r="N1109" s="20"/>
      <c r="O1109" t="s" s="17">
        <v>24</v>
      </c>
    </row>
    <row r="1110" ht="30.45" customHeight="1" hidden="1">
      <c r="A1110" t="s" s="17">
        <v>20</v>
      </c>
      <c r="B1110" t="s" s="5">
        <v>21</v>
      </c>
      <c r="C1110" t="s" s="18">
        <v>1975</v>
      </c>
      <c r="D1110" t="s" s="7">
        <v>81</v>
      </c>
      <c r="E1110" s="8">
        <v>45576</v>
      </c>
      <c r="F1110" t="s" s="10">
        <v>1976</v>
      </c>
      <c r="G1110" t="s" s="10">
        <v>1977</v>
      </c>
      <c r="H1110" s="19">
        <v>20970.4</v>
      </c>
      <c r="I1110" s="12">
        <v>20970.4</v>
      </c>
      <c r="J1110" s="13">
        <f>I1110-H1110</f>
        <v>0</v>
      </c>
      <c r="K1110" t="s" s="14">
        <v>84</v>
      </c>
      <c r="L1110" s="20"/>
      <c r="M1110" s="16"/>
      <c r="N1110" t="s" s="14">
        <v>1978</v>
      </c>
      <c r="O1110" t="s" s="17">
        <v>24</v>
      </c>
    </row>
    <row r="1111" ht="30.45" customHeight="1" hidden="1">
      <c r="A1111" t="s" s="17">
        <v>20</v>
      </c>
      <c r="B1111" t="s" s="5">
        <v>21</v>
      </c>
      <c r="C1111" t="s" s="18">
        <v>1975</v>
      </c>
      <c r="D1111" t="s" s="7">
        <v>81</v>
      </c>
      <c r="E1111" s="8">
        <v>45684</v>
      </c>
      <c r="F1111" t="s" s="10">
        <v>1619</v>
      </c>
      <c r="G1111" t="s" s="10">
        <v>1979</v>
      </c>
      <c r="H1111" s="19">
        <v>32621.35</v>
      </c>
      <c r="I1111" s="12">
        <v>32621.35</v>
      </c>
      <c r="J1111" s="13">
        <f>I1111-H1111</f>
        <v>0</v>
      </c>
      <c r="K1111" t="s" s="14">
        <v>84</v>
      </c>
      <c r="L1111" s="20"/>
      <c r="M1111" s="16"/>
      <c r="N1111" s="20"/>
      <c r="O1111" t="s" s="17">
        <v>24</v>
      </c>
    </row>
    <row r="1112" ht="30.45" customHeight="1" hidden="1">
      <c r="A1112" t="s" s="21">
        <v>20</v>
      </c>
      <c r="B1112" t="s" s="5">
        <v>30</v>
      </c>
      <c r="C1112" t="s" s="18">
        <v>1975</v>
      </c>
      <c r="D1112" t="s" s="7">
        <v>81</v>
      </c>
      <c r="E1112" s="8">
        <v>45821</v>
      </c>
      <c r="F1112" s="16"/>
      <c r="G1112" t="s" s="10">
        <v>1980</v>
      </c>
      <c r="H1112" s="19">
        <v>13658</v>
      </c>
      <c r="I1112" s="12">
        <v>13658</v>
      </c>
      <c r="J1112" s="13">
        <f>I1112-H1112</f>
        <v>0</v>
      </c>
      <c r="K1112" t="s" s="14">
        <v>84</v>
      </c>
      <c r="L1112" s="20"/>
      <c r="M1112" s="16"/>
      <c r="N1112" s="20"/>
      <c r="O1112" t="s" s="17">
        <v>24</v>
      </c>
    </row>
    <row r="1113" ht="30.45" customHeight="1" hidden="1">
      <c r="A1113" t="s" s="21">
        <v>20</v>
      </c>
      <c r="B1113" t="s" s="5">
        <v>97</v>
      </c>
      <c r="C1113" t="s" s="18">
        <v>1975</v>
      </c>
      <c r="D1113" t="s" s="7">
        <v>81</v>
      </c>
      <c r="E1113" s="25">
        <v>45898</v>
      </c>
      <c r="F1113" t="s" s="10">
        <v>1981</v>
      </c>
      <c r="G1113" t="s" s="10">
        <v>1982</v>
      </c>
      <c r="H1113" s="19">
        <v>33999.4</v>
      </c>
      <c r="I1113" s="12">
        <v>33999.4</v>
      </c>
      <c r="J1113" s="13">
        <f>I1113-H1113</f>
        <v>0</v>
      </c>
      <c r="K1113" t="s" s="14">
        <v>84</v>
      </c>
      <c r="L1113" s="20"/>
      <c r="M1113" s="16"/>
      <c r="N1113" s="20"/>
      <c r="O1113" t="s" s="17">
        <v>24</v>
      </c>
    </row>
    <row r="1114" ht="30.45" customHeight="1" hidden="1">
      <c r="A1114" t="s" s="21">
        <v>20</v>
      </c>
      <c r="B1114" t="s" s="5">
        <v>97</v>
      </c>
      <c r="C1114" t="s" s="18">
        <v>1975</v>
      </c>
      <c r="D1114" t="s" s="7">
        <v>81</v>
      </c>
      <c r="E1114" s="25">
        <v>45989</v>
      </c>
      <c r="F1114" t="s" s="10">
        <v>1983</v>
      </c>
      <c r="G1114" t="s" s="10">
        <v>1984</v>
      </c>
      <c r="H1114" s="19">
        <v>35545.9</v>
      </c>
      <c r="I1114" s="12">
        <f>H1114</f>
        <v>35545.9</v>
      </c>
      <c r="J1114" s="13">
        <f>I1114-H1114</f>
        <v>0</v>
      </c>
      <c r="K1114" t="s" s="14">
        <v>84</v>
      </c>
      <c r="L1114" s="20"/>
      <c r="M1114" s="16"/>
      <c r="N1114" s="20"/>
      <c r="O1114" t="s" s="17">
        <v>24</v>
      </c>
    </row>
    <row r="1115" ht="30.45" customHeight="1" hidden="1">
      <c r="A1115" t="s" s="17">
        <v>39</v>
      </c>
      <c r="B1115" t="s" s="5">
        <v>30</v>
      </c>
      <c r="C1115" t="s" s="18">
        <v>1985</v>
      </c>
      <c r="D1115" t="s" s="7">
        <v>15</v>
      </c>
      <c r="E1115" s="8">
        <v>45323</v>
      </c>
      <c r="F1115" s="16"/>
      <c r="G1115" s="9">
        <v>1857</v>
      </c>
      <c r="H1115" s="19">
        <v>30933</v>
      </c>
      <c r="I1115" s="12">
        <v>30540</v>
      </c>
      <c r="J1115" s="15">
        <f>I1115-H1115</f>
        <v>-393</v>
      </c>
      <c r="K1115" t="s" s="14">
        <v>17</v>
      </c>
      <c r="L1115" s="15"/>
      <c r="M1115" s="43">
        <v>45358</v>
      </c>
      <c r="N1115" t="s" s="14">
        <v>1986</v>
      </c>
      <c r="O1115" t="s" s="17">
        <v>24</v>
      </c>
    </row>
    <row r="1116" ht="30.45" customHeight="1" hidden="1">
      <c r="A1116" t="s" s="17">
        <v>39</v>
      </c>
      <c r="B1116" t="s" s="5">
        <v>40</v>
      </c>
      <c r="C1116" t="s" s="18">
        <v>1985</v>
      </c>
      <c r="D1116" t="s" s="7">
        <v>640</v>
      </c>
      <c r="E1116" s="25">
        <v>45244</v>
      </c>
      <c r="F1116" s="9">
        <v>406</v>
      </c>
      <c r="G1116" t="s" s="10">
        <v>1987</v>
      </c>
      <c r="H1116" s="26">
        <v>20164.48</v>
      </c>
      <c r="I1116" s="12">
        <v>20161.33</v>
      </c>
      <c r="J1116" s="15">
        <f>I1116-H1116</f>
        <v>-3.15</v>
      </c>
      <c r="K1116" t="s" s="14">
        <v>17</v>
      </c>
      <c r="L1116" s="15"/>
      <c r="M1116" s="27">
        <v>45281</v>
      </c>
      <c r="N1116" s="16"/>
      <c r="O1116" t="s" s="17">
        <v>24</v>
      </c>
    </row>
    <row r="1117" ht="30.45" customHeight="1" hidden="1">
      <c r="A1117" t="s" s="17">
        <v>39</v>
      </c>
      <c r="B1117" t="s" s="5">
        <v>40</v>
      </c>
      <c r="C1117" t="s" s="23">
        <v>1985</v>
      </c>
      <c r="D1117" t="s" s="7">
        <v>15</v>
      </c>
      <c r="E1117" s="25">
        <v>45274</v>
      </c>
      <c r="F1117" s="9">
        <v>437</v>
      </c>
      <c r="G1117" s="55">
        <v>1769</v>
      </c>
      <c r="H1117" s="15">
        <v>7998.17</v>
      </c>
      <c r="I1117" s="16"/>
      <c r="J1117" s="15">
        <f>I1117-H1117</f>
        <v>-7998.17</v>
      </c>
      <c r="K1117" t="s" s="14">
        <v>17</v>
      </c>
      <c r="L1117" s="15"/>
      <c r="M1117" s="16"/>
      <c r="N1117" t="s" s="63">
        <v>1988</v>
      </c>
      <c r="O1117" t="s" s="17">
        <v>24</v>
      </c>
    </row>
    <row r="1118" ht="30.45" customHeight="1" hidden="1">
      <c r="A1118" t="s" s="17">
        <v>39</v>
      </c>
      <c r="B1118" t="s" s="5">
        <v>40</v>
      </c>
      <c r="C1118" t="s" s="28">
        <v>1985</v>
      </c>
      <c r="D1118" t="s" s="7">
        <v>15</v>
      </c>
      <c r="E1118" s="25">
        <v>45365</v>
      </c>
      <c r="F1118" t="s" s="10">
        <v>1989</v>
      </c>
      <c r="G1118" t="s" s="10">
        <v>1990</v>
      </c>
      <c r="H1118" s="26">
        <v>18905.94</v>
      </c>
      <c r="I1118" s="29">
        <v>18905.94</v>
      </c>
      <c r="J1118" s="15"/>
      <c r="K1118" t="s" s="14">
        <v>17</v>
      </c>
      <c r="L1118" s="20"/>
      <c r="M1118" s="8">
        <v>45402</v>
      </c>
      <c r="N1118" s="16"/>
      <c r="O1118" t="s" s="17">
        <v>24</v>
      </c>
    </row>
    <row r="1119" ht="30.45" customHeight="1" hidden="1">
      <c r="A1119" t="s" s="17">
        <v>39</v>
      </c>
      <c r="B1119" t="s" s="5">
        <v>40</v>
      </c>
      <c r="C1119" t="s" s="23">
        <v>1985</v>
      </c>
      <c r="D1119" t="s" s="7">
        <v>15</v>
      </c>
      <c r="E1119" s="8">
        <v>45798</v>
      </c>
      <c r="F1119" t="s" s="10">
        <v>1991</v>
      </c>
      <c r="G1119" t="s" s="10">
        <v>1992</v>
      </c>
      <c r="H1119" s="24">
        <v>34421.06</v>
      </c>
      <c r="I1119" s="12">
        <v>28181.31</v>
      </c>
      <c r="J1119" s="15">
        <f>I1119-H1119</f>
        <v>-6239.75</v>
      </c>
      <c r="K1119" t="s" s="14">
        <v>17</v>
      </c>
      <c r="L1119" s="20"/>
      <c r="M1119" s="16"/>
      <c r="N1119" t="s" s="21">
        <v>761</v>
      </c>
      <c r="O1119" t="s" s="17">
        <v>24</v>
      </c>
    </row>
    <row r="1120" ht="30.45" customHeight="1" hidden="1">
      <c r="A1120" t="s" s="17">
        <v>39</v>
      </c>
      <c r="B1120" t="s" s="5">
        <v>97</v>
      </c>
      <c r="C1120" t="s" s="23">
        <v>1985</v>
      </c>
      <c r="D1120" t="s" s="7">
        <v>15</v>
      </c>
      <c r="E1120" s="25">
        <v>45749</v>
      </c>
      <c r="F1120" t="s" s="10">
        <v>1993</v>
      </c>
      <c r="G1120" t="s" s="10">
        <v>1994</v>
      </c>
      <c r="H1120" s="19">
        <v>31936</v>
      </c>
      <c r="I1120" s="12">
        <v>31611</v>
      </c>
      <c r="J1120" s="13">
        <f>I1120-H1120</f>
        <v>-325</v>
      </c>
      <c r="K1120" t="s" s="14">
        <v>17</v>
      </c>
      <c r="L1120" s="20"/>
      <c r="M1120" s="16"/>
      <c r="N1120" t="s" s="21">
        <v>761</v>
      </c>
      <c r="O1120" t="s" s="17">
        <v>24</v>
      </c>
    </row>
    <row r="1121" ht="30.45" customHeight="1" hidden="1">
      <c r="A1121" t="s" s="30">
        <v>39</v>
      </c>
      <c r="B1121" t="s" s="5">
        <v>97</v>
      </c>
      <c r="C1121" t="s" s="28">
        <v>1985</v>
      </c>
      <c r="D1121" t="s" s="7">
        <v>15</v>
      </c>
      <c r="E1121" s="25">
        <v>45763</v>
      </c>
      <c r="F1121" t="s" s="10">
        <v>1995</v>
      </c>
      <c r="G1121" t="s" s="10">
        <v>1996</v>
      </c>
      <c r="H1121" s="29">
        <v>117230.592</v>
      </c>
      <c r="I1121" s="12">
        <v>117230.592</v>
      </c>
      <c r="J1121" s="13">
        <f>I1121-H1121</f>
        <v>0</v>
      </c>
      <c r="K1121" t="s" s="14">
        <v>17</v>
      </c>
      <c r="L1121" s="20"/>
      <c r="M1121" s="16"/>
      <c r="N1121" s="20"/>
      <c r="O1121" t="s" s="17">
        <v>24</v>
      </c>
    </row>
    <row r="1122" ht="30.45" customHeight="1" hidden="1">
      <c r="A1122" t="s" s="17">
        <v>696</v>
      </c>
      <c r="B1122" t="s" s="5">
        <v>47</v>
      </c>
      <c r="C1122" t="s" s="18">
        <v>1997</v>
      </c>
      <c r="D1122" t="s" s="7">
        <v>15</v>
      </c>
      <c r="E1122" s="8">
        <v>45868</v>
      </c>
      <c r="F1122" t="s" s="10">
        <v>168</v>
      </c>
      <c r="G1122" t="s" s="10">
        <v>1998</v>
      </c>
      <c r="H1122" s="19">
        <v>29355.38</v>
      </c>
      <c r="I1122" s="12">
        <v>29355.38</v>
      </c>
      <c r="J1122" s="15">
        <f>I1122-H1122</f>
        <v>0</v>
      </c>
      <c r="K1122" t="s" s="14">
        <v>17</v>
      </c>
      <c r="L1122" s="20"/>
      <c r="M1122" s="8"/>
      <c r="N1122" s="20"/>
      <c r="O1122" t="s" s="17">
        <v>19</v>
      </c>
    </row>
    <row r="1123" ht="30.45" customHeight="1" hidden="1">
      <c r="A1123" t="s" s="17">
        <v>39</v>
      </c>
      <c r="B1123" t="s" s="5">
        <v>21</v>
      </c>
      <c r="C1123" t="s" s="18">
        <v>1999</v>
      </c>
      <c r="D1123" t="s" s="7">
        <v>319</v>
      </c>
      <c r="E1123" s="8">
        <v>45402</v>
      </c>
      <c r="F1123" t="s" s="10">
        <v>2000</v>
      </c>
      <c r="G1123" t="s" s="10">
        <v>2001</v>
      </c>
      <c r="H1123" s="19">
        <v>42049.15</v>
      </c>
      <c r="I1123" s="12">
        <v>42049.15</v>
      </c>
      <c r="J1123" s="15">
        <f>I1123-H1123</f>
        <v>0</v>
      </c>
      <c r="K1123" t="s" s="14">
        <v>17</v>
      </c>
      <c r="L1123" s="15"/>
      <c r="M1123" s="8">
        <v>45437</v>
      </c>
      <c r="N1123" t="s" s="86">
        <v>926</v>
      </c>
      <c r="O1123" t="s" s="17">
        <v>24</v>
      </c>
    </row>
    <row r="1124" ht="30.45" customHeight="1" hidden="1">
      <c r="A1124" t="s" s="17">
        <v>20</v>
      </c>
      <c r="B1124" t="s" s="5">
        <v>79</v>
      </c>
      <c r="C1124" t="s" s="18">
        <v>1999</v>
      </c>
      <c r="D1124" t="s" s="7">
        <v>319</v>
      </c>
      <c r="E1124" s="25">
        <v>45603</v>
      </c>
      <c r="F1124" t="s" s="10">
        <v>86</v>
      </c>
      <c r="G1124" t="s" s="10">
        <v>2002</v>
      </c>
      <c r="H1124" s="19">
        <v>31561.98</v>
      </c>
      <c r="I1124" s="12">
        <v>31561.98</v>
      </c>
      <c r="J1124" s="13">
        <f>I1124-H1124</f>
        <v>0</v>
      </c>
      <c r="K1124" t="s" s="14">
        <v>17</v>
      </c>
      <c r="L1124" s="20"/>
      <c r="M1124" s="8">
        <v>45604</v>
      </c>
      <c r="N1124" s="20"/>
      <c r="O1124" t="s" s="17">
        <v>24</v>
      </c>
    </row>
    <row r="1125" ht="30.45" customHeight="1" hidden="1">
      <c r="A1125" t="s" s="36">
        <v>12</v>
      </c>
      <c r="B1125" t="s" s="5">
        <v>79</v>
      </c>
      <c r="C1125" t="s" s="23">
        <v>1999</v>
      </c>
      <c r="D1125" t="s" s="7">
        <v>319</v>
      </c>
      <c r="E1125" s="25">
        <v>46038</v>
      </c>
      <c r="F1125" t="s" s="10">
        <v>235</v>
      </c>
      <c r="G1125" t="s" s="10">
        <v>2003</v>
      </c>
      <c r="H1125" s="19">
        <v>20155</v>
      </c>
      <c r="I1125" s="15"/>
      <c r="J1125" s="13">
        <f>I1125-H1125</f>
        <v>-20155</v>
      </c>
      <c r="K1125" t="s" s="14">
        <v>17</v>
      </c>
      <c r="L1125" s="20"/>
      <c r="M1125" s="16"/>
      <c r="N1125" s="20"/>
      <c r="O1125" t="s" s="17">
        <v>24</v>
      </c>
    </row>
    <row r="1126" ht="30.45" customHeight="1" hidden="1">
      <c r="A1126" t="s" s="21">
        <v>20</v>
      </c>
      <c r="B1126" t="s" s="5">
        <v>88</v>
      </c>
      <c r="C1126" t="s" s="18">
        <v>1999</v>
      </c>
      <c r="D1126" t="s" s="7">
        <v>319</v>
      </c>
      <c r="E1126" s="25">
        <v>46095</v>
      </c>
      <c r="F1126" s="10"/>
      <c r="G1126" t="s" s="10">
        <v>2004</v>
      </c>
      <c r="H1126" s="19">
        <v>21964</v>
      </c>
      <c r="I1126" s="12">
        <f>H1126</f>
        <v>21964</v>
      </c>
      <c r="J1126" s="15">
        <f>I1126-H1126</f>
        <v>0</v>
      </c>
      <c r="K1126" t="s" s="14">
        <v>17</v>
      </c>
      <c r="L1126" s="20"/>
      <c r="M1126" s="16"/>
      <c r="N1126" s="20"/>
      <c r="O1126" t="s" s="17">
        <v>24</v>
      </c>
    </row>
    <row r="1127" ht="30.45" customHeight="1" hidden="1">
      <c r="A1127" t="s" s="21">
        <v>20</v>
      </c>
      <c r="B1127" t="s" s="5">
        <v>40</v>
      </c>
      <c r="C1127" t="s" s="18">
        <v>1999</v>
      </c>
      <c r="D1127" t="s" s="7">
        <v>319</v>
      </c>
      <c r="E1127" s="8">
        <v>46101</v>
      </c>
      <c r="F1127" t="s" s="10">
        <v>2005</v>
      </c>
      <c r="G1127" t="s" s="10">
        <v>2006</v>
      </c>
      <c r="H1127" s="19">
        <v>13186.41</v>
      </c>
      <c r="I1127" s="12">
        <f>H1127</f>
        <v>13186.41</v>
      </c>
      <c r="J1127" s="15">
        <f>I1127-H1127</f>
        <v>0</v>
      </c>
      <c r="K1127" t="s" s="14">
        <v>17</v>
      </c>
      <c r="L1127" s="20"/>
      <c r="M1127" s="16"/>
      <c r="N1127" s="20"/>
      <c r="O1127" t="s" s="17">
        <v>24</v>
      </c>
    </row>
    <row r="1128" ht="30.45" customHeight="1" hidden="1">
      <c r="A1128" t="s" s="17">
        <v>20</v>
      </c>
      <c r="B1128" t="s" s="5">
        <v>97</v>
      </c>
      <c r="C1128" t="s" s="23">
        <v>1999</v>
      </c>
      <c r="D1128" t="s" s="7">
        <v>319</v>
      </c>
      <c r="E1128" s="25">
        <v>45463</v>
      </c>
      <c r="F1128" t="s" s="10">
        <v>2007</v>
      </c>
      <c r="G1128" t="s" s="10">
        <v>2008</v>
      </c>
      <c r="H1128" s="31">
        <v>11205.8</v>
      </c>
      <c r="I1128" s="12">
        <v>11205.8</v>
      </c>
      <c r="J1128" s="15">
        <f>I1128-H1128</f>
        <v>0</v>
      </c>
      <c r="K1128" t="s" s="14">
        <v>17</v>
      </c>
      <c r="L1128" s="15"/>
      <c r="M1128" s="16"/>
      <c r="N1128" s="20"/>
      <c r="O1128" t="s" s="17">
        <v>24</v>
      </c>
    </row>
    <row r="1129" ht="30.45" customHeight="1" hidden="1">
      <c r="A1129" t="s" s="21">
        <v>20</v>
      </c>
      <c r="B1129" t="s" s="5">
        <v>97</v>
      </c>
      <c r="C1129" t="s" s="18">
        <v>1999</v>
      </c>
      <c r="D1129" t="s" s="7">
        <v>319</v>
      </c>
      <c r="E1129" s="25">
        <v>46051</v>
      </c>
      <c r="F1129" t="s" s="10">
        <v>2009</v>
      </c>
      <c r="G1129" t="s" s="10">
        <v>2010</v>
      </c>
      <c r="H1129" s="19">
        <v>7999.2</v>
      </c>
      <c r="I1129" s="12">
        <f>H1129</f>
        <v>7999.2</v>
      </c>
      <c r="J1129" s="13">
        <f>I1129-H1129</f>
        <v>0</v>
      </c>
      <c r="K1129" t="s" s="14">
        <v>17</v>
      </c>
      <c r="L1129" s="20"/>
      <c r="M1129" s="16"/>
      <c r="N1129" s="20"/>
      <c r="O1129" t="s" s="17">
        <v>24</v>
      </c>
    </row>
    <row r="1130" ht="30.45" customHeight="1" hidden="1">
      <c r="A1130" t="s" s="21">
        <v>20</v>
      </c>
      <c r="B1130" t="s" s="5">
        <v>61</v>
      </c>
      <c r="C1130" t="s" s="18">
        <v>1999</v>
      </c>
      <c r="D1130" t="s" s="7">
        <v>319</v>
      </c>
      <c r="E1130" s="25">
        <v>45967</v>
      </c>
      <c r="F1130" t="s" s="10">
        <v>2011</v>
      </c>
      <c r="G1130" t="s" s="10">
        <v>2012</v>
      </c>
      <c r="H1130" s="31">
        <v>50230.25</v>
      </c>
      <c r="I1130" s="12">
        <v>50231</v>
      </c>
      <c r="J1130" s="15">
        <f>I1130-H1130</f>
        <v>0.75</v>
      </c>
      <c r="K1130" t="s" s="14">
        <v>17</v>
      </c>
      <c r="L1130" s="15"/>
      <c r="M1130" s="16"/>
      <c r="N1130" s="20"/>
      <c r="O1130" t="s" s="17">
        <v>24</v>
      </c>
    </row>
    <row r="1131" ht="30.45" customHeight="1" hidden="1">
      <c r="A1131" t="s" s="21">
        <v>20</v>
      </c>
      <c r="B1131" t="s" s="5">
        <v>488</v>
      </c>
      <c r="C1131" t="s" s="18">
        <v>1999</v>
      </c>
      <c r="D1131" t="s" s="7">
        <v>319</v>
      </c>
      <c r="E1131" s="8">
        <v>46064</v>
      </c>
      <c r="F1131" t="s" s="10">
        <v>82</v>
      </c>
      <c r="G1131" t="s" s="10">
        <v>2013</v>
      </c>
      <c r="H1131" s="19">
        <v>9021.6</v>
      </c>
      <c r="I1131" s="12">
        <f>H1131</f>
        <v>9021.6</v>
      </c>
      <c r="J1131" s="15">
        <f>I1131-H1131</f>
        <v>0</v>
      </c>
      <c r="K1131" t="s" s="14">
        <v>17</v>
      </c>
      <c r="L1131" s="20"/>
      <c r="M1131" s="16"/>
      <c r="N1131" s="20"/>
      <c r="O1131" t="s" s="17">
        <v>24</v>
      </c>
    </row>
    <row r="1132" ht="30.45" customHeight="1" hidden="1">
      <c r="A1132" t="s" s="21">
        <v>20</v>
      </c>
      <c r="B1132" t="s" s="5">
        <v>36</v>
      </c>
      <c r="C1132" t="s" s="18">
        <v>1999</v>
      </c>
      <c r="D1132" t="s" s="7">
        <v>319</v>
      </c>
      <c r="E1132" s="8">
        <v>46129</v>
      </c>
      <c r="F1132" s="9">
        <v>4064</v>
      </c>
      <c r="G1132" t="s" s="10">
        <v>2014</v>
      </c>
      <c r="H1132" s="19">
        <v>11801</v>
      </c>
      <c r="I1132" s="12">
        <f>H1132</f>
        <v>11801</v>
      </c>
      <c r="J1132" s="15">
        <f>I1132-H1132</f>
        <v>0</v>
      </c>
      <c r="K1132" t="s" s="14">
        <v>17</v>
      </c>
      <c r="L1132" s="20"/>
      <c r="M1132" s="16"/>
      <c r="N1132" s="20"/>
      <c r="O1132" t="s" s="17">
        <v>24</v>
      </c>
    </row>
    <row r="1133" ht="30.45" customHeight="1" hidden="1">
      <c r="A1133" t="s" s="4">
        <v>12</v>
      </c>
      <c r="B1133" t="s" s="5">
        <v>13</v>
      </c>
      <c r="C1133" t="s" s="6">
        <v>2015</v>
      </c>
      <c r="D1133" s="92"/>
      <c r="E1133" s="8">
        <v>44281</v>
      </c>
      <c r="F1133" s="9"/>
      <c r="G1133" s="10"/>
      <c r="H1133" t="s" s="11">
        <v>16</v>
      </c>
      <c r="I1133" s="12">
        <v>20000</v>
      </c>
      <c r="J1133" s="13"/>
      <c r="K1133" t="s" s="14">
        <v>87</v>
      </c>
      <c r="L1133" s="15"/>
      <c r="M1133" s="16"/>
      <c r="N1133" t="s" s="11">
        <v>2016</v>
      </c>
      <c r="O1133" t="s" s="17">
        <v>19</v>
      </c>
    </row>
    <row r="1134" ht="30.45" customHeight="1" hidden="1">
      <c r="A1134" t="s" s="21">
        <v>49</v>
      </c>
      <c r="B1134" t="s" s="5">
        <v>47</v>
      </c>
      <c r="C1134" t="s" s="18">
        <v>2015</v>
      </c>
      <c r="D1134" t="s" s="7">
        <v>539</v>
      </c>
      <c r="E1134" s="8">
        <v>46157</v>
      </c>
      <c r="F1134" t="s" s="10">
        <v>2017</v>
      </c>
      <c r="G1134" t="s" s="10">
        <v>2018</v>
      </c>
      <c r="H1134" s="19">
        <v>22584.65</v>
      </c>
      <c r="I1134" s="12">
        <f>H1134</f>
        <v>22584.65</v>
      </c>
      <c r="J1134" s="15">
        <f>I1134-H1134</f>
        <v>0</v>
      </c>
      <c r="K1134" t="s" s="14">
        <v>87</v>
      </c>
      <c r="L1134" s="20"/>
      <c r="M1134" s="8"/>
      <c r="N1134" s="20"/>
      <c r="O1134" t="s" s="17">
        <v>24</v>
      </c>
    </row>
    <row r="1135" ht="30.45" customHeight="1">
      <c r="A1135" t="s" s="17">
        <v>654</v>
      </c>
      <c r="B1135" t="s" s="5">
        <v>61</v>
      </c>
      <c r="C1135" t="s" s="6">
        <v>2015</v>
      </c>
      <c r="D1135" t="s" s="7">
        <v>539</v>
      </c>
      <c r="E1135" s="8">
        <v>46206</v>
      </c>
      <c r="F1135" t="s" s="10">
        <v>2019</v>
      </c>
      <c r="G1135" t="s" s="10">
        <v>2020</v>
      </c>
      <c r="H1135" s="48">
        <v>16422.3</v>
      </c>
      <c r="I1135" s="26"/>
      <c r="J1135" s="15">
        <f>I1135-H1135</f>
        <v>-16422.3</v>
      </c>
      <c r="K1135" t="s" s="14">
        <v>87</v>
      </c>
      <c r="L1135" s="20"/>
      <c r="M1135" s="16"/>
      <c r="N1135" s="20"/>
      <c r="O1135" t="s" s="17">
        <v>24</v>
      </c>
    </row>
    <row r="1136" ht="30.45" customHeight="1" hidden="1">
      <c r="A1136" t="s" s="21">
        <v>20</v>
      </c>
      <c r="B1136" t="s" s="5">
        <v>633</v>
      </c>
      <c r="C1136" t="s" s="18">
        <v>2021</v>
      </c>
      <c r="D1136" t="s" s="7">
        <v>194</v>
      </c>
      <c r="E1136" s="8">
        <v>45916</v>
      </c>
      <c r="F1136" t="s" s="10">
        <v>2022</v>
      </c>
      <c r="G1136" t="s" s="10">
        <v>2023</v>
      </c>
      <c r="H1136" s="19">
        <v>7129.65</v>
      </c>
      <c r="I1136" s="12">
        <f>H1136</f>
        <v>7129.65</v>
      </c>
      <c r="J1136" s="13">
        <f>I1136-H1136</f>
        <v>0</v>
      </c>
      <c r="K1136" t="s" s="14">
        <v>87</v>
      </c>
      <c r="L1136" s="20"/>
      <c r="M1136" s="16"/>
      <c r="N1136" s="20"/>
      <c r="O1136" t="s" s="17">
        <v>24</v>
      </c>
    </row>
    <row r="1137" ht="30.45" customHeight="1" hidden="1">
      <c r="A1137" t="s" s="17">
        <v>49</v>
      </c>
      <c r="B1137" t="s" s="5">
        <v>47</v>
      </c>
      <c r="C1137" t="s" s="18">
        <v>2024</v>
      </c>
      <c r="D1137" t="s" s="7">
        <v>539</v>
      </c>
      <c r="E1137" s="8">
        <v>45784</v>
      </c>
      <c r="F1137" t="s" s="10">
        <v>2025</v>
      </c>
      <c r="G1137" s="10"/>
      <c r="H1137" s="29">
        <v>18154.16</v>
      </c>
      <c r="I1137" s="12">
        <v>18154.16</v>
      </c>
      <c r="J1137" s="15">
        <f>I1137-H1137</f>
        <v>0</v>
      </c>
      <c r="K1137" t="s" s="14">
        <v>87</v>
      </c>
      <c r="L1137" s="20"/>
      <c r="M1137" s="8"/>
      <c r="N1137" s="20"/>
      <c r="O1137" t="s" s="17">
        <v>24</v>
      </c>
    </row>
    <row r="1138" ht="30.45" customHeight="1" hidden="1">
      <c r="A1138" t="s" s="17">
        <v>39</v>
      </c>
      <c r="B1138" t="s" s="5">
        <v>40</v>
      </c>
      <c r="C1138" t="s" s="28">
        <v>2026</v>
      </c>
      <c r="D1138" t="s" s="7">
        <v>117</v>
      </c>
      <c r="E1138" s="8"/>
      <c r="F1138" t="s" s="10">
        <v>2027</v>
      </c>
      <c r="G1138" s="10"/>
      <c r="H1138" s="50">
        <v>3528.97</v>
      </c>
      <c r="I1138" s="12">
        <v>3528.97</v>
      </c>
      <c r="J1138" s="15">
        <f>I1138-H1138</f>
        <v>0</v>
      </c>
      <c r="K1138" t="s" s="14">
        <v>92</v>
      </c>
      <c r="L1138" s="15"/>
      <c r="M1138" s="8">
        <v>45484</v>
      </c>
      <c r="N1138" s="20"/>
      <c r="O1138" t="s" s="17">
        <v>24</v>
      </c>
    </row>
    <row r="1139" ht="30.45" customHeight="1" hidden="1">
      <c r="A1139" t="s" s="21">
        <v>20</v>
      </c>
      <c r="B1139" t="s" s="5">
        <v>79</v>
      </c>
      <c r="C1139" t="s" s="23">
        <v>2028</v>
      </c>
      <c r="D1139" t="s" s="7">
        <v>117</v>
      </c>
      <c r="E1139" s="25">
        <v>46029</v>
      </c>
      <c r="F1139" t="s" s="10">
        <v>82</v>
      </c>
      <c r="G1139" t="s" s="10">
        <v>2029</v>
      </c>
      <c r="H1139" s="19">
        <v>10449.5</v>
      </c>
      <c r="I1139" s="12">
        <v>10449</v>
      </c>
      <c r="J1139" s="13">
        <f>I1139-H1139</f>
        <v>-0.5</v>
      </c>
      <c r="K1139" t="s" s="14">
        <v>92</v>
      </c>
      <c r="L1139" s="20"/>
      <c r="M1139" s="16"/>
      <c r="N1139" s="20"/>
      <c r="O1139" t="s" s="17">
        <v>24</v>
      </c>
    </row>
    <row r="1140" ht="30.45" customHeight="1" hidden="1">
      <c r="A1140" t="s" s="21">
        <v>20</v>
      </c>
      <c r="B1140" t="s" s="5">
        <v>33</v>
      </c>
      <c r="C1140" t="s" s="18">
        <v>2028</v>
      </c>
      <c r="D1140" t="s" s="7">
        <v>117</v>
      </c>
      <c r="E1140" s="8">
        <v>45998</v>
      </c>
      <c r="F1140" s="10"/>
      <c r="G1140" s="10"/>
      <c r="H1140" s="19">
        <v>6453</v>
      </c>
      <c r="I1140" s="12">
        <f>H1140</f>
        <v>6453</v>
      </c>
      <c r="J1140" s="15">
        <f>I1140-H1140</f>
        <v>0</v>
      </c>
      <c r="K1140" t="s" s="14">
        <v>92</v>
      </c>
      <c r="L1140" s="15"/>
      <c r="M1140" s="16"/>
      <c r="N1140" s="20"/>
      <c r="O1140" t="s" s="17">
        <v>24</v>
      </c>
    </row>
    <row r="1141" ht="30.45" customHeight="1" hidden="1">
      <c r="A1141" t="s" s="17">
        <v>20</v>
      </c>
      <c r="B1141" t="s" s="5">
        <v>40</v>
      </c>
      <c r="C1141" t="s" s="18">
        <v>2028</v>
      </c>
      <c r="D1141" t="s" s="7">
        <v>117</v>
      </c>
      <c r="E1141" s="25">
        <v>45274</v>
      </c>
      <c r="F1141" s="9">
        <v>431</v>
      </c>
      <c r="G1141" t="s" s="10">
        <v>2030</v>
      </c>
      <c r="H1141" s="15">
        <v>55526.44</v>
      </c>
      <c r="I1141" s="12">
        <v>55526.44</v>
      </c>
      <c r="J1141" s="15">
        <f>I1141-H1141</f>
        <v>0</v>
      </c>
      <c r="K1141" t="s" s="14">
        <v>92</v>
      </c>
      <c r="L1141" s="15"/>
      <c r="M1141" s="8">
        <v>45311</v>
      </c>
      <c r="N1141" s="16"/>
      <c r="O1141" t="s" s="17">
        <v>24</v>
      </c>
    </row>
    <row r="1142" ht="30.45" customHeight="1" hidden="1">
      <c r="A1142" t="s" s="17">
        <v>39</v>
      </c>
      <c r="B1142" t="s" s="5">
        <v>40</v>
      </c>
      <c r="C1142" t="s" s="18">
        <v>2028</v>
      </c>
      <c r="D1142" t="s" s="7">
        <v>117</v>
      </c>
      <c r="E1142" s="25">
        <v>45342</v>
      </c>
      <c r="F1142" t="s" s="10">
        <v>2031</v>
      </c>
      <c r="G1142" t="s" s="10">
        <v>2032</v>
      </c>
      <c r="H1142" s="26">
        <v>13801.3425</v>
      </c>
      <c r="I1142" s="12">
        <v>13800</v>
      </c>
      <c r="J1142" s="15">
        <f>I1142-H1142</f>
        <v>-1.3425</v>
      </c>
      <c r="K1142" t="s" s="14">
        <v>92</v>
      </c>
      <c r="L1142" s="20"/>
      <c r="M1142" s="8">
        <v>45379</v>
      </c>
      <c r="N1142" s="16"/>
      <c r="O1142" t="s" s="17">
        <v>24</v>
      </c>
    </row>
    <row r="1143" ht="30.45" customHeight="1" hidden="1">
      <c r="A1143" t="s" s="17">
        <v>39</v>
      </c>
      <c r="B1143" t="s" s="5">
        <v>40</v>
      </c>
      <c r="C1143" t="s" s="28">
        <v>2028</v>
      </c>
      <c r="D1143" t="s" s="7">
        <v>117</v>
      </c>
      <c r="E1143" s="8">
        <v>45449</v>
      </c>
      <c r="F1143" t="s" s="10">
        <v>2027</v>
      </c>
      <c r="G1143" t="s" s="10">
        <v>2033</v>
      </c>
      <c r="H1143" s="50">
        <v>5691.12</v>
      </c>
      <c r="I1143" s="12">
        <v>5691.12</v>
      </c>
      <c r="J1143" s="15">
        <f>I1143-H1143</f>
        <v>0</v>
      </c>
      <c r="K1143" t="s" s="14">
        <v>92</v>
      </c>
      <c r="L1143" s="15"/>
      <c r="M1143" s="8">
        <v>45484</v>
      </c>
      <c r="N1143" s="20"/>
      <c r="O1143" t="s" s="17">
        <v>24</v>
      </c>
    </row>
    <row r="1144" ht="30.45" customHeight="1" hidden="1">
      <c r="A1144" t="s" s="21">
        <v>20</v>
      </c>
      <c r="B1144" t="s" s="5">
        <v>40</v>
      </c>
      <c r="C1144" t="s" s="18">
        <v>2028</v>
      </c>
      <c r="D1144" t="s" s="7">
        <v>117</v>
      </c>
      <c r="E1144" s="8">
        <v>45638</v>
      </c>
      <c r="F1144" t="s" s="10">
        <v>2034</v>
      </c>
      <c r="G1144" t="s" s="10">
        <v>2035</v>
      </c>
      <c r="H1144" s="19">
        <v>19583.71</v>
      </c>
      <c r="I1144" s="12">
        <v>19583.71</v>
      </c>
      <c r="J1144" s="15">
        <f>I1144-H1144</f>
        <v>0</v>
      </c>
      <c r="K1144" t="s" s="14">
        <v>92</v>
      </c>
      <c r="L1144" s="20"/>
      <c r="M1144" s="16"/>
      <c r="N1144" s="20"/>
      <c r="O1144" t="s" s="17">
        <v>24</v>
      </c>
    </row>
    <row r="1145" ht="30.45" customHeight="1" hidden="1">
      <c r="A1145" t="s" s="17">
        <v>49</v>
      </c>
      <c r="B1145" t="s" s="5">
        <v>40</v>
      </c>
      <c r="C1145" t="s" s="18">
        <v>2028</v>
      </c>
      <c r="D1145" t="s" s="7">
        <v>117</v>
      </c>
      <c r="E1145" s="8">
        <v>45707</v>
      </c>
      <c r="F1145" t="s" s="10">
        <v>2036</v>
      </c>
      <c r="G1145" t="s" s="10">
        <v>2037</v>
      </c>
      <c r="H1145" s="39">
        <v>36767.72</v>
      </c>
      <c r="I1145" s="12">
        <v>36767.72</v>
      </c>
      <c r="J1145" s="15">
        <f>I1145-H1145</f>
        <v>0</v>
      </c>
      <c r="K1145" t="s" s="14">
        <v>92</v>
      </c>
      <c r="L1145" s="20"/>
      <c r="M1145" s="16"/>
      <c r="N1145" s="20"/>
      <c r="O1145" t="s" s="17">
        <v>24</v>
      </c>
    </row>
    <row r="1146" ht="30.45" customHeight="1" hidden="1">
      <c r="A1146" t="s" s="21">
        <v>20</v>
      </c>
      <c r="B1146" t="s" s="5">
        <v>40</v>
      </c>
      <c r="C1146" t="s" s="18">
        <v>2028</v>
      </c>
      <c r="D1146" t="s" s="7">
        <v>117</v>
      </c>
      <c r="E1146" s="8">
        <v>45924</v>
      </c>
      <c r="F1146" t="s" s="10">
        <v>2038</v>
      </c>
      <c r="G1146" t="s" s="10">
        <v>2039</v>
      </c>
      <c r="H1146" s="19">
        <v>23151.5</v>
      </c>
      <c r="I1146" s="12">
        <v>23151.5</v>
      </c>
      <c r="J1146" s="15">
        <f>I1146-H1146</f>
        <v>0</v>
      </c>
      <c r="K1146" t="s" s="14">
        <v>92</v>
      </c>
      <c r="L1146" s="20"/>
      <c r="M1146" s="16"/>
      <c r="N1146" s="20"/>
      <c r="O1146" t="s" s="17">
        <v>24</v>
      </c>
    </row>
    <row r="1147" ht="30.45" customHeight="1" hidden="1">
      <c r="A1147" t="s" s="21">
        <v>20</v>
      </c>
      <c r="B1147" t="s" s="5">
        <v>40</v>
      </c>
      <c r="C1147" t="s" s="18">
        <v>2028</v>
      </c>
      <c r="D1147" t="s" s="7">
        <v>117</v>
      </c>
      <c r="E1147" s="8">
        <v>45995</v>
      </c>
      <c r="F1147" t="s" s="10">
        <v>1795</v>
      </c>
      <c r="G1147" t="s" s="10">
        <v>2040</v>
      </c>
      <c r="H1147" s="19">
        <v>23052.14</v>
      </c>
      <c r="I1147" s="12">
        <f>H1147</f>
        <v>23052.14</v>
      </c>
      <c r="J1147" s="15">
        <f>I1147-H1147</f>
        <v>0</v>
      </c>
      <c r="K1147" t="s" s="14">
        <v>92</v>
      </c>
      <c r="L1147" s="20"/>
      <c r="M1147" s="16"/>
      <c r="N1147" s="20"/>
      <c r="O1147" t="s" s="17">
        <v>24</v>
      </c>
    </row>
    <row r="1148" ht="30.45" customHeight="1" hidden="1">
      <c r="A1148" t="s" s="17">
        <v>39</v>
      </c>
      <c r="B1148" t="s" s="5">
        <v>97</v>
      </c>
      <c r="C1148" t="s" s="23">
        <v>2028</v>
      </c>
      <c r="D1148" t="s" s="7">
        <v>117</v>
      </c>
      <c r="E1148" s="25">
        <v>45394</v>
      </c>
      <c r="F1148" t="s" s="10">
        <v>2041</v>
      </c>
      <c r="G1148" t="s" s="10">
        <v>2042</v>
      </c>
      <c r="H1148" s="19">
        <v>9702.700000000001</v>
      </c>
      <c r="I1148" s="29">
        <v>9702.700000000001</v>
      </c>
      <c r="J1148" s="15">
        <f>I1148-H1148</f>
        <v>0</v>
      </c>
      <c r="K1148" t="s" s="14">
        <v>92</v>
      </c>
      <c r="L1148" s="15">
        <v>3234.7</v>
      </c>
      <c r="M1148" s="68">
        <v>45431</v>
      </c>
      <c r="N1148" s="20"/>
      <c r="O1148" t="s" s="17">
        <v>24</v>
      </c>
    </row>
    <row r="1149" ht="30.45" customHeight="1" hidden="1">
      <c r="A1149" t="s" s="21">
        <v>20</v>
      </c>
      <c r="B1149" t="s" s="5">
        <v>97</v>
      </c>
      <c r="C1149" t="s" s="18">
        <v>2028</v>
      </c>
      <c r="D1149" t="s" s="7">
        <v>117</v>
      </c>
      <c r="E1149" s="25">
        <v>45785</v>
      </c>
      <c r="F1149" t="s" s="10">
        <v>2043</v>
      </c>
      <c r="G1149" t="s" s="10">
        <v>2044</v>
      </c>
      <c r="H1149" s="19">
        <v>18395</v>
      </c>
      <c r="I1149" s="12">
        <v>18395</v>
      </c>
      <c r="J1149" s="13">
        <f>I1149-H1149</f>
        <v>0</v>
      </c>
      <c r="K1149" t="s" s="14">
        <v>92</v>
      </c>
      <c r="L1149" s="20"/>
      <c r="M1149" s="16"/>
      <c r="N1149" s="20"/>
      <c r="O1149" t="s" s="17">
        <v>24</v>
      </c>
    </row>
    <row r="1150" ht="30.45" customHeight="1" hidden="1">
      <c r="A1150" t="s" s="21">
        <v>20</v>
      </c>
      <c r="B1150" t="s" s="5">
        <v>61</v>
      </c>
      <c r="C1150" t="s" s="18">
        <v>2028</v>
      </c>
      <c r="D1150" t="s" s="7">
        <v>117</v>
      </c>
      <c r="E1150" s="25">
        <v>45967</v>
      </c>
      <c r="F1150" t="s" s="10">
        <v>2045</v>
      </c>
      <c r="G1150" t="s" s="10">
        <v>2046</v>
      </c>
      <c r="H1150" s="31">
        <v>5105</v>
      </c>
      <c r="I1150" s="12">
        <f>H1150</f>
        <v>5105</v>
      </c>
      <c r="J1150" s="15">
        <f>I1150-H1150</f>
        <v>0</v>
      </c>
      <c r="K1150" t="s" s="14">
        <v>92</v>
      </c>
      <c r="L1150" s="15"/>
      <c r="M1150" s="16"/>
      <c r="N1150" s="20"/>
      <c r="O1150" t="s" s="17">
        <v>24</v>
      </c>
    </row>
    <row r="1151" ht="30.45" customHeight="1" hidden="1">
      <c r="A1151" t="s" s="17">
        <v>39</v>
      </c>
      <c r="B1151" t="s" s="5">
        <v>68</v>
      </c>
      <c r="C1151" t="s" s="23">
        <v>2028</v>
      </c>
      <c r="D1151" t="s" s="7">
        <v>117</v>
      </c>
      <c r="E1151" s="8">
        <v>45425</v>
      </c>
      <c r="F1151" s="16"/>
      <c r="G1151" s="16"/>
      <c r="H1151" s="19">
        <v>9701.200000000001</v>
      </c>
      <c r="I1151" s="117">
        <v>9701.200000000001</v>
      </c>
      <c r="J1151" s="13">
        <f>I1151-H1151</f>
        <v>0</v>
      </c>
      <c r="K1151" t="s" s="14">
        <v>92</v>
      </c>
      <c r="L1151" s="15"/>
      <c r="M1151" s="8">
        <v>45460</v>
      </c>
      <c r="N1151" t="s" s="14">
        <v>2047</v>
      </c>
      <c r="O1151" t="s" s="17">
        <v>24</v>
      </c>
    </row>
    <row r="1152" ht="30.45" customHeight="1" hidden="1">
      <c r="A1152" t="s" s="21">
        <v>39</v>
      </c>
      <c r="B1152" t="s" s="5">
        <v>30</v>
      </c>
      <c r="C1152" t="s" s="23">
        <v>2048</v>
      </c>
      <c r="D1152" t="s" s="7">
        <v>888</v>
      </c>
      <c r="E1152" s="8"/>
      <c r="F1152" s="16"/>
      <c r="G1152" s="10"/>
      <c r="H1152" s="19">
        <v>12580.19</v>
      </c>
      <c r="I1152" s="12">
        <v>12580</v>
      </c>
      <c r="J1152" s="13">
        <f>I1152-H1152</f>
        <v>-0.19</v>
      </c>
      <c r="K1152" t="s" s="14">
        <v>887</v>
      </c>
      <c r="L1152" s="20"/>
      <c r="M1152" s="16"/>
      <c r="N1152" s="20"/>
      <c r="O1152" t="s" s="17">
        <v>24</v>
      </c>
    </row>
    <row r="1153" ht="30.45" customHeight="1" hidden="1">
      <c r="A1153" t="s" s="21">
        <v>133</v>
      </c>
      <c r="B1153" t="s" s="5">
        <v>633</v>
      </c>
      <c r="C1153" t="s" s="118">
        <v>2049</v>
      </c>
      <c r="D1153" t="s" s="7">
        <v>888</v>
      </c>
      <c r="E1153" s="8">
        <v>45988</v>
      </c>
      <c r="F1153" t="s" s="10">
        <v>2050</v>
      </c>
      <c r="G1153" t="s" s="10">
        <v>2051</v>
      </c>
      <c r="H1153" s="50">
        <v>27436.3904</v>
      </c>
      <c r="I1153" s="12">
        <v>24400</v>
      </c>
      <c r="J1153" s="13">
        <f>I1153-H1153</f>
        <v>-3036.3904</v>
      </c>
      <c r="K1153" t="s" s="14">
        <v>887</v>
      </c>
      <c r="L1153" s="20"/>
      <c r="M1153" s="16"/>
      <c r="N1153" s="20"/>
      <c r="O1153" t="s" s="17">
        <v>19</v>
      </c>
    </row>
    <row r="1154" ht="30.45" customHeight="1" hidden="1">
      <c r="A1154" t="s" s="30">
        <v>599</v>
      </c>
      <c r="B1154" t="s" s="5">
        <v>633</v>
      </c>
      <c r="C1154" t="s" s="28">
        <v>2049</v>
      </c>
      <c r="D1154" t="s" s="7">
        <v>888</v>
      </c>
      <c r="E1154" s="8">
        <v>46000</v>
      </c>
      <c r="F1154" t="s" s="10">
        <v>2052</v>
      </c>
      <c r="G1154" t="s" s="10">
        <v>2053</v>
      </c>
      <c r="H1154" s="50">
        <v>7022.62</v>
      </c>
      <c r="I1154" s="12"/>
      <c r="J1154" s="13">
        <f>I1154-H1154</f>
        <v>-7022.62</v>
      </c>
      <c r="K1154" t="s" s="14">
        <v>887</v>
      </c>
      <c r="L1154" s="20"/>
      <c r="M1154" s="16"/>
      <c r="N1154" s="20"/>
      <c r="O1154" t="s" s="17">
        <v>19</v>
      </c>
    </row>
    <row r="1155" ht="30.45" customHeight="1" hidden="1">
      <c r="A1155" t="s" s="30">
        <v>49</v>
      </c>
      <c r="B1155" t="s" s="5">
        <v>47</v>
      </c>
      <c r="C1155" t="s" s="23">
        <v>2049</v>
      </c>
      <c r="D1155" t="s" s="7">
        <v>888</v>
      </c>
      <c r="E1155" s="8">
        <v>46150</v>
      </c>
      <c r="F1155" t="s" s="10">
        <v>2054</v>
      </c>
      <c r="G1155" t="s" s="10">
        <v>2055</v>
      </c>
      <c r="H1155" s="19">
        <v>48681.65</v>
      </c>
      <c r="I1155" s="12">
        <f>H1155</f>
        <v>48681.65</v>
      </c>
      <c r="J1155" s="15">
        <f>I1155-H1155</f>
        <v>0</v>
      </c>
      <c r="K1155" t="s" s="14">
        <v>887</v>
      </c>
      <c r="L1155" s="20"/>
      <c r="M1155" s="8"/>
      <c r="N1155" s="20"/>
      <c r="O1155" t="s" s="17">
        <v>24</v>
      </c>
    </row>
    <row r="1156" ht="30.45" customHeight="1" hidden="1">
      <c r="A1156" t="s" s="21">
        <v>77</v>
      </c>
      <c r="B1156" t="s" s="5">
        <v>47</v>
      </c>
      <c r="C1156" t="s" s="23">
        <v>2049</v>
      </c>
      <c r="D1156" t="s" s="7">
        <v>888</v>
      </c>
      <c r="E1156" s="8">
        <v>46195</v>
      </c>
      <c r="F1156" t="s" s="10">
        <v>2056</v>
      </c>
      <c r="G1156" t="s" s="10">
        <v>2057</v>
      </c>
      <c r="H1156" s="19">
        <v>21229.78</v>
      </c>
      <c r="I1156" s="26"/>
      <c r="J1156" s="15">
        <f>I1156-H1156</f>
        <v>-21229.78</v>
      </c>
      <c r="K1156" t="s" s="14">
        <v>887</v>
      </c>
      <c r="L1156" s="20"/>
      <c r="M1156" s="8"/>
      <c r="N1156" s="20"/>
      <c r="O1156" t="s" s="17">
        <v>24</v>
      </c>
    </row>
    <row r="1157" ht="30.45" customHeight="1" hidden="1">
      <c r="A1157" s="32"/>
      <c r="B1157" t="s" s="5">
        <v>40</v>
      </c>
      <c r="C1157" t="s" s="33">
        <v>2049</v>
      </c>
      <c r="D1157" t="s" s="7">
        <v>888</v>
      </c>
      <c r="E1157" s="8"/>
      <c r="F1157" s="10"/>
      <c r="G1157" t="s" s="10">
        <v>2058</v>
      </c>
      <c r="H1157" s="15"/>
      <c r="I1157" s="26"/>
      <c r="J1157" s="15">
        <f>I1157-H1157</f>
        <v>0</v>
      </c>
      <c r="K1157" t="s" s="14">
        <v>24</v>
      </c>
      <c r="L1157" s="20"/>
      <c r="M1157" s="16"/>
      <c r="N1157" s="20"/>
      <c r="O1157" t="s" s="17">
        <v>24</v>
      </c>
    </row>
    <row r="1158" ht="30.45" customHeight="1">
      <c r="A1158" t="s" s="30">
        <v>599</v>
      </c>
      <c r="B1158" t="s" s="5">
        <v>61</v>
      </c>
      <c r="C1158" t="s" s="34">
        <v>2059</v>
      </c>
      <c r="D1158" t="s" s="7">
        <v>888</v>
      </c>
      <c r="E1158" s="8">
        <v>46108</v>
      </c>
      <c r="F1158" t="s" s="10">
        <v>2060</v>
      </c>
      <c r="G1158" t="s" s="10">
        <v>2061</v>
      </c>
      <c r="H1158" s="119">
        <v>21938.25</v>
      </c>
      <c r="I1158" s="12"/>
      <c r="J1158" s="15">
        <f>I1158-H1158</f>
        <v>-21938.25</v>
      </c>
      <c r="K1158" t="s" s="14">
        <v>887</v>
      </c>
      <c r="L1158" s="20"/>
      <c r="M1158" s="16"/>
      <c r="N1158" s="20"/>
      <c r="O1158" t="s" s="17">
        <v>24</v>
      </c>
    </row>
    <row r="1159" ht="30.45" customHeight="1" hidden="1">
      <c r="A1159" t="s" s="30">
        <v>696</v>
      </c>
      <c r="B1159" t="s" s="5">
        <v>47</v>
      </c>
      <c r="C1159" t="s" s="28">
        <v>2062</v>
      </c>
      <c r="D1159" t="s" s="7">
        <v>640</v>
      </c>
      <c r="E1159" s="8">
        <v>45973</v>
      </c>
      <c r="F1159" t="s" s="10">
        <v>2063</v>
      </c>
      <c r="G1159" t="s" s="10">
        <v>2064</v>
      </c>
      <c r="H1159" s="50">
        <v>17325.14</v>
      </c>
      <c r="I1159" s="12">
        <v>17325.26</v>
      </c>
      <c r="J1159" s="15">
        <f>I1159-H1159</f>
        <v>0.12</v>
      </c>
      <c r="K1159" t="s" s="14">
        <v>17</v>
      </c>
      <c r="L1159" s="20"/>
      <c r="M1159" s="8"/>
      <c r="N1159" s="20"/>
      <c r="O1159" t="s" s="17">
        <v>19</v>
      </c>
    </row>
    <row r="1160" ht="30.45" customHeight="1" hidden="1">
      <c r="A1160" t="s" s="21">
        <v>49</v>
      </c>
      <c r="B1160" t="s" s="5">
        <v>47</v>
      </c>
      <c r="C1160" t="s" s="18">
        <v>2062</v>
      </c>
      <c r="D1160" t="s" s="7">
        <v>640</v>
      </c>
      <c r="E1160" s="8">
        <v>46171</v>
      </c>
      <c r="F1160" t="s" s="10">
        <v>2065</v>
      </c>
      <c r="G1160" t="s" s="10">
        <v>2066</v>
      </c>
      <c r="H1160" s="19">
        <v>18088.32</v>
      </c>
      <c r="I1160" s="12">
        <f>H1160</f>
        <v>18088.32</v>
      </c>
      <c r="J1160" s="15">
        <f>I1160-H1160</f>
        <v>0</v>
      </c>
      <c r="K1160" t="s" s="14">
        <v>467</v>
      </c>
      <c r="L1160" s="20"/>
      <c r="M1160" s="8"/>
      <c r="N1160" s="20"/>
      <c r="O1160" t="s" s="17">
        <v>24</v>
      </c>
    </row>
    <row r="1161" ht="30.45" customHeight="1" hidden="1">
      <c r="A1161" t="s" s="17">
        <v>39</v>
      </c>
      <c r="B1161" t="s" s="5">
        <v>30</v>
      </c>
      <c r="C1161" t="s" s="18">
        <v>2067</v>
      </c>
      <c r="D1161" t="s" s="7">
        <v>539</v>
      </c>
      <c r="E1161" s="8">
        <v>45323</v>
      </c>
      <c r="F1161" s="16"/>
      <c r="G1161" s="9">
        <v>1761</v>
      </c>
      <c r="H1161" s="19">
        <v>16507</v>
      </c>
      <c r="I1161" s="40">
        <v>16507</v>
      </c>
      <c r="J1161" s="15"/>
      <c r="K1161" t="s" s="14">
        <v>87</v>
      </c>
      <c r="L1161" s="15"/>
      <c r="M1161" s="20"/>
      <c r="N1161" s="16"/>
      <c r="O1161" t="s" s="17">
        <v>24</v>
      </c>
    </row>
    <row r="1162" ht="30.45" customHeight="1" hidden="1">
      <c r="A1162" t="s" s="4">
        <v>39</v>
      </c>
      <c r="B1162" t="s" s="5">
        <v>30</v>
      </c>
      <c r="C1162" t="s" s="18">
        <v>2067</v>
      </c>
      <c r="D1162" t="s" s="7">
        <v>539</v>
      </c>
      <c r="E1162" s="8">
        <v>45958</v>
      </c>
      <c r="F1162" s="10"/>
      <c r="G1162" t="s" s="10">
        <v>2068</v>
      </c>
      <c r="H1162" s="19">
        <v>8330</v>
      </c>
      <c r="I1162" s="12">
        <f>H1162</f>
        <v>8330</v>
      </c>
      <c r="J1162" s="13">
        <f>I1162-H1162</f>
        <v>0</v>
      </c>
      <c r="K1162" t="s" s="14">
        <v>87</v>
      </c>
      <c r="L1162" s="20"/>
      <c r="M1162" s="16"/>
      <c r="N1162" s="20"/>
      <c r="O1162" t="s" s="17">
        <v>24</v>
      </c>
    </row>
    <row r="1163" ht="30.45" customHeight="1" hidden="1">
      <c r="A1163" t="s" s="47">
        <v>96</v>
      </c>
      <c r="B1163" t="s" s="5">
        <v>420</v>
      </c>
      <c r="C1163" t="s" s="79">
        <v>2067</v>
      </c>
      <c r="D1163" t="s" s="7">
        <v>539</v>
      </c>
      <c r="E1163" s="25">
        <v>45324</v>
      </c>
      <c r="F1163" s="16"/>
      <c r="G1163" s="16"/>
      <c r="H1163" s="19"/>
      <c r="I1163" s="12">
        <v>4600</v>
      </c>
      <c r="J1163" s="15">
        <f>I1163-H1163</f>
        <v>4600</v>
      </c>
      <c r="K1163" t="s" s="14">
        <v>87</v>
      </c>
      <c r="L1163" s="15"/>
      <c r="M1163" s="66">
        <v>45374</v>
      </c>
      <c r="N1163" s="20"/>
      <c r="O1163" t="s" s="17">
        <v>19</v>
      </c>
    </row>
    <row r="1164" ht="30.45" customHeight="1" hidden="1">
      <c r="A1164" t="s" s="47">
        <v>96</v>
      </c>
      <c r="B1164" t="s" s="5">
        <v>420</v>
      </c>
      <c r="C1164" t="s" s="79">
        <v>2067</v>
      </c>
      <c r="D1164" t="s" s="7">
        <v>539</v>
      </c>
      <c r="E1164" s="25">
        <v>45366</v>
      </c>
      <c r="F1164" s="16"/>
      <c r="G1164" s="16"/>
      <c r="H1164" s="19"/>
      <c r="I1164" s="12">
        <v>4160</v>
      </c>
      <c r="J1164" s="15">
        <f>I1164-H1164</f>
        <v>4160</v>
      </c>
      <c r="K1164" t="s" s="14">
        <v>87</v>
      </c>
      <c r="L1164" s="15"/>
      <c r="M1164" s="73"/>
      <c r="N1164" s="20"/>
      <c r="O1164" t="s" s="17">
        <v>19</v>
      </c>
    </row>
    <row r="1165" ht="30.45" customHeight="1" hidden="1">
      <c r="A1165" t="s" s="96">
        <v>12</v>
      </c>
      <c r="B1165" t="s" s="5">
        <v>420</v>
      </c>
      <c r="C1165" t="s" s="79">
        <v>2067</v>
      </c>
      <c r="D1165" t="s" s="7">
        <v>539</v>
      </c>
      <c r="E1165" s="25">
        <v>45559</v>
      </c>
      <c r="F1165" s="16"/>
      <c r="G1165" s="16"/>
      <c r="H1165" s="19">
        <v>16000</v>
      </c>
      <c r="I1165" s="26"/>
      <c r="J1165" s="15">
        <f>I1165-H1165</f>
        <v>-16000</v>
      </c>
      <c r="K1165" t="s" s="14">
        <v>87</v>
      </c>
      <c r="L1165" s="15"/>
      <c r="M1165" s="16"/>
      <c r="N1165" s="20"/>
      <c r="O1165" t="s" s="17">
        <v>19</v>
      </c>
    </row>
    <row r="1166" ht="30.45" customHeight="1" hidden="1">
      <c r="A1166" t="s" s="96">
        <v>12</v>
      </c>
      <c r="B1166" t="s" s="5">
        <v>488</v>
      </c>
      <c r="C1166" t="s" s="120">
        <v>2067</v>
      </c>
      <c r="D1166" t="s" s="7">
        <v>539</v>
      </c>
      <c r="E1166" s="25">
        <v>45336</v>
      </c>
      <c r="F1166" t="s" s="10">
        <v>2069</v>
      </c>
      <c r="G1166" s="9">
        <v>1866</v>
      </c>
      <c r="H1166" s="19">
        <v>14663.17</v>
      </c>
      <c r="I1166" s="26">
        <v>9775.440000000001</v>
      </c>
      <c r="J1166" s="15">
        <f>I1166-H1166</f>
        <v>-4887.73</v>
      </c>
      <c r="K1166" t="s" s="14">
        <v>87</v>
      </c>
      <c r="L1166" s="97">
        <v>9775.450000000001</v>
      </c>
      <c r="M1166" s="68">
        <v>45396</v>
      </c>
      <c r="N1166" t="s" s="63">
        <v>2070</v>
      </c>
      <c r="O1166" t="s" s="17">
        <v>19</v>
      </c>
    </row>
    <row r="1167" ht="30.45" customHeight="1" hidden="1">
      <c r="A1167" t="s" s="17">
        <v>39</v>
      </c>
      <c r="B1167" t="s" s="5">
        <v>68</v>
      </c>
      <c r="C1167" t="s" s="18">
        <v>2067</v>
      </c>
      <c r="D1167" t="s" s="7">
        <v>539</v>
      </c>
      <c r="E1167" s="25">
        <v>45226</v>
      </c>
      <c r="F1167" s="9"/>
      <c r="G1167" s="10"/>
      <c r="H1167" s="19">
        <v>11110</v>
      </c>
      <c r="I1167" s="12">
        <v>11100</v>
      </c>
      <c r="J1167" s="62">
        <f>I1167-H1167</f>
        <v>-10</v>
      </c>
      <c r="K1167" t="s" s="14">
        <v>87</v>
      </c>
      <c r="L1167" s="15"/>
      <c r="M1167" s="58">
        <v>45276</v>
      </c>
      <c r="N1167" t="s" s="14">
        <v>2071</v>
      </c>
      <c r="O1167" t="s" s="17">
        <v>24</v>
      </c>
    </row>
    <row r="1168" ht="30.45" customHeight="1" hidden="1">
      <c r="A1168" t="s" s="17">
        <v>39</v>
      </c>
      <c r="B1168" t="s" s="5">
        <v>68</v>
      </c>
      <c r="C1168" t="s" s="18">
        <v>2067</v>
      </c>
      <c r="D1168" t="s" s="7">
        <v>539</v>
      </c>
      <c r="E1168" s="25">
        <v>45299</v>
      </c>
      <c r="F1168" s="9"/>
      <c r="G1168" s="10"/>
      <c r="H1168" s="19">
        <v>9817.200000000001</v>
      </c>
      <c r="I1168" s="12">
        <v>9817.4</v>
      </c>
      <c r="J1168" s="15">
        <f>I1168-H1168</f>
        <v>0.2</v>
      </c>
      <c r="K1168" t="s" s="14">
        <v>87</v>
      </c>
      <c r="L1168" s="15"/>
      <c r="M1168" s="43">
        <v>45361</v>
      </c>
      <c r="N1168" t="s" s="121">
        <v>2072</v>
      </c>
      <c r="O1168" t="s" s="17">
        <v>24</v>
      </c>
    </row>
    <row r="1169" ht="30.45" customHeight="1" hidden="1">
      <c r="A1169" t="s" s="17">
        <v>39</v>
      </c>
      <c r="B1169" t="s" s="5">
        <v>29</v>
      </c>
      <c r="C1169" t="s" s="6">
        <v>2073</v>
      </c>
      <c r="D1169" t="s" s="7">
        <v>117</v>
      </c>
      <c r="E1169" s="8">
        <v>45415</v>
      </c>
      <c r="F1169" s="16"/>
      <c r="G1169" s="16"/>
      <c r="H1169" s="15">
        <v>6883.66</v>
      </c>
      <c r="I1169" s="12">
        <v>6883.66</v>
      </c>
      <c r="J1169" s="15">
        <f>I1169-H1169</f>
        <v>0</v>
      </c>
      <c r="K1169" t="s" s="14">
        <v>92</v>
      </c>
      <c r="L1169" s="20"/>
      <c r="M1169" s="8">
        <v>45482</v>
      </c>
      <c r="N1169" s="20"/>
      <c r="O1169" t="s" s="17">
        <v>24</v>
      </c>
    </row>
    <row r="1170" ht="30.45" customHeight="1" hidden="1">
      <c r="A1170" t="s" s="17">
        <v>39</v>
      </c>
      <c r="B1170" t="s" s="5">
        <v>29</v>
      </c>
      <c r="C1170" t="s" s="18">
        <v>2073</v>
      </c>
      <c r="D1170" t="s" s="7">
        <v>319</v>
      </c>
      <c r="E1170" s="8">
        <v>45537</v>
      </c>
      <c r="F1170" s="16"/>
      <c r="G1170" s="16"/>
      <c r="H1170" s="19">
        <v>7879.2</v>
      </c>
      <c r="I1170" s="12">
        <v>7879.2</v>
      </c>
      <c r="J1170" s="15">
        <f>I1170-H1170</f>
        <v>0</v>
      </c>
      <c r="K1170" t="s" s="14">
        <v>17</v>
      </c>
      <c r="L1170" s="20"/>
      <c r="M1170" s="20"/>
      <c r="N1170" t="s" s="10">
        <v>2074</v>
      </c>
      <c r="O1170" t="s" s="17">
        <v>24</v>
      </c>
    </row>
    <row r="1171" ht="30.45" customHeight="1" hidden="1">
      <c r="A1171" t="s" s="17">
        <v>39</v>
      </c>
      <c r="B1171" t="s" s="5">
        <v>488</v>
      </c>
      <c r="C1171" t="s" s="79">
        <v>2073</v>
      </c>
      <c r="D1171" t="s" s="7">
        <v>379</v>
      </c>
      <c r="E1171" s="25">
        <v>45371</v>
      </c>
      <c r="F1171" s="16"/>
      <c r="G1171" s="16"/>
      <c r="H1171" s="19">
        <v>13213.92</v>
      </c>
      <c r="I1171" s="40">
        <v>13213.92</v>
      </c>
      <c r="J1171" s="15">
        <f>I1171-H1171</f>
        <v>0</v>
      </c>
      <c r="K1171" t="s" s="14">
        <v>87</v>
      </c>
      <c r="L1171" s="15"/>
      <c r="M1171" s="16"/>
      <c r="N1171" s="20"/>
      <c r="O1171" t="s" s="17">
        <v>24</v>
      </c>
    </row>
    <row r="1172" ht="30.45" customHeight="1" hidden="1">
      <c r="A1172" t="s" s="17">
        <v>39</v>
      </c>
      <c r="B1172" t="s" s="5">
        <v>68</v>
      </c>
      <c r="C1172" t="s" s="18">
        <v>2073</v>
      </c>
      <c r="D1172" t="s" s="7">
        <v>319</v>
      </c>
      <c r="E1172" s="25">
        <v>45226</v>
      </c>
      <c r="F1172" s="9"/>
      <c r="G1172" s="10"/>
      <c r="H1172" s="19">
        <v>14010</v>
      </c>
      <c r="I1172" s="12">
        <v>14010</v>
      </c>
      <c r="J1172" s="15"/>
      <c r="K1172" t="s" s="14">
        <v>17</v>
      </c>
      <c r="L1172" s="15"/>
      <c r="M1172" s="16"/>
      <c r="N1172" s="20"/>
      <c r="O1172" t="s" s="17">
        <v>24</v>
      </c>
    </row>
    <row r="1173" ht="30.45" customHeight="1" hidden="1">
      <c r="A1173" t="s" s="96">
        <v>1121</v>
      </c>
      <c r="B1173" t="s" s="5">
        <v>36</v>
      </c>
      <c r="C1173" t="s" s="23">
        <v>2075</v>
      </c>
      <c r="D1173" t="s" s="7">
        <v>90</v>
      </c>
      <c r="E1173" s="41">
        <v>45224</v>
      </c>
      <c r="F1173" s="9">
        <v>3357</v>
      </c>
      <c r="G1173" s="9">
        <v>1610</v>
      </c>
      <c r="H1173" s="19">
        <v>36196.25</v>
      </c>
      <c r="I1173" s="26"/>
      <c r="J1173" s="15">
        <f>I1173-H1173</f>
        <v>-36196.25</v>
      </c>
      <c r="K1173" t="s" s="14">
        <v>87</v>
      </c>
      <c r="L1173" s="97">
        <v>12065.42</v>
      </c>
      <c r="M1173" s="68">
        <v>45261</v>
      </c>
      <c r="N1173" s="20"/>
      <c r="O1173" t="s" s="17">
        <v>19</v>
      </c>
    </row>
    <row r="1174" ht="30.45" customHeight="1" hidden="1">
      <c r="A1174" t="s" s="96">
        <v>1121</v>
      </c>
      <c r="B1174" t="s" s="5">
        <v>61</v>
      </c>
      <c r="C1174" t="s" s="23">
        <v>2075</v>
      </c>
      <c r="D1174" t="s" s="7">
        <v>90</v>
      </c>
      <c r="E1174" s="25">
        <v>45204</v>
      </c>
      <c r="F1174" t="s" s="10">
        <v>2076</v>
      </c>
      <c r="G1174" t="s" s="10">
        <v>2077</v>
      </c>
      <c r="H1174" s="19">
        <v>48094.16</v>
      </c>
      <c r="I1174" s="26">
        <v>9618</v>
      </c>
      <c r="J1174" s="15">
        <f>I1174-H1174</f>
        <v>-38476.16</v>
      </c>
      <c r="K1174" t="s" s="14">
        <v>87</v>
      </c>
      <c r="L1174" s="97">
        <v>19237.66</v>
      </c>
      <c r="M1174" s="70">
        <v>45254</v>
      </c>
      <c r="N1174" s="20"/>
      <c r="O1174" t="s" s="17">
        <v>19</v>
      </c>
    </row>
    <row r="1175" ht="30.45" customHeight="1" hidden="1">
      <c r="A1175" t="s" s="17">
        <v>24</v>
      </c>
      <c r="B1175" t="s" s="5">
        <v>349</v>
      </c>
      <c r="C1175" s="23"/>
      <c r="D1175" s="7"/>
      <c r="E1175" s="8"/>
      <c r="F1175" s="10"/>
      <c r="G1175" s="10"/>
      <c r="H1175" s="19"/>
      <c r="I1175" s="26"/>
      <c r="J1175" s="15"/>
      <c r="K1175" t="s" s="14">
        <v>24</v>
      </c>
      <c r="L1175" s="20"/>
      <c r="M1175" s="16"/>
      <c r="N1175" s="20"/>
      <c r="O1175" t="s" s="17">
        <v>24</v>
      </c>
    </row>
    <row r="1176" ht="30.45" customHeight="1" hidden="1">
      <c r="A1176" s="32"/>
      <c r="B1176" t="s" s="5">
        <v>88</v>
      </c>
      <c r="C1176" s="122"/>
      <c r="D1176" s="7"/>
      <c r="E1176" s="25"/>
      <c r="F1176" s="10"/>
      <c r="G1176" s="10"/>
      <c r="H1176" s="39"/>
      <c r="I1176" s="15"/>
      <c r="J1176" s="15">
        <f>I1176-H1176</f>
        <v>0</v>
      </c>
      <c r="K1176" t="s" s="14">
        <v>24</v>
      </c>
      <c r="L1176" s="20"/>
      <c r="M1176" s="16"/>
      <c r="N1176" s="20"/>
      <c r="O1176" t="s" s="17">
        <v>24</v>
      </c>
    </row>
    <row r="1177" ht="30.45" customHeight="1" hidden="1">
      <c r="A1177" s="32"/>
      <c r="B1177" t="s" s="5">
        <v>36</v>
      </c>
      <c r="C1177" s="6"/>
      <c r="D1177" s="7"/>
      <c r="E1177" s="67"/>
      <c r="F1177" s="16"/>
      <c r="G1177" s="10"/>
      <c r="H1177" s="42"/>
      <c r="I1177" s="26"/>
      <c r="J1177" s="15">
        <f>I1177-H1177</f>
        <v>0</v>
      </c>
      <c r="K1177" t="s" s="14">
        <v>24</v>
      </c>
      <c r="L1177" s="20"/>
      <c r="M1177" s="16"/>
      <c r="N1177" s="20"/>
      <c r="O1177" t="s" s="17">
        <v>24</v>
      </c>
    </row>
    <row r="1178" ht="30.45" customHeight="1" hidden="1">
      <c r="A1178" t="s" s="47">
        <v>24</v>
      </c>
      <c r="B1178" t="s" s="5">
        <v>420</v>
      </c>
      <c r="C1178" s="23"/>
      <c r="D1178" s="92"/>
      <c r="E1178" s="25"/>
      <c r="F1178" s="16"/>
      <c r="G1178" s="16"/>
      <c r="H1178" s="19"/>
      <c r="I1178" s="26"/>
      <c r="J1178" s="15">
        <f>I1178-H1178</f>
        <v>0</v>
      </c>
      <c r="K1178" t="s" s="14">
        <v>24</v>
      </c>
      <c r="L1178" s="15"/>
      <c r="M1178" s="16"/>
      <c r="N1178" s="20"/>
      <c r="O1178" t="s" s="17">
        <v>24</v>
      </c>
    </row>
    <row r="1179" ht="30.45" customHeight="1" hidden="1">
      <c r="A1179" s="74"/>
      <c r="B1179" t="s" s="5">
        <v>68</v>
      </c>
      <c r="C1179" s="23"/>
      <c r="D1179" s="7"/>
      <c r="E1179" s="8"/>
      <c r="F1179" s="10"/>
      <c r="G1179" s="10"/>
      <c r="H1179" s="19"/>
      <c r="I1179" s="26"/>
      <c r="J1179" s="15">
        <f>I1179-H1179</f>
        <v>0</v>
      </c>
      <c r="K1179" t="s" s="14">
        <v>24</v>
      </c>
      <c r="L1179" s="20"/>
      <c r="M1179" s="8"/>
      <c r="N1179" s="20"/>
      <c r="O1179" t="s" s="17">
        <v>24</v>
      </c>
    </row>
    <row r="1180" ht="30.45" customHeight="1" hidden="1">
      <c r="A1180" t="s" s="17">
        <v>696</v>
      </c>
      <c r="B1180" s="123"/>
      <c r="C1180" s="122"/>
      <c r="D1180" s="7"/>
      <c r="E1180" s="8"/>
      <c r="F1180" s="10"/>
      <c r="G1180" s="10"/>
      <c r="H1180" s="15"/>
      <c r="I1180" s="26"/>
      <c r="J1180" s="13">
        <f>I1180-H1180</f>
        <v>0</v>
      </c>
      <c r="K1180" t="s" s="14">
        <v>24</v>
      </c>
      <c r="L1180" s="20"/>
      <c r="M1180" s="16"/>
      <c r="N1180" s="20"/>
      <c r="O1180" t="s" s="17">
        <v>24</v>
      </c>
    </row>
    <row r="1181" ht="30.45" customHeight="1" hidden="1">
      <c r="A1181" s="32"/>
      <c r="B1181" s="123"/>
      <c r="C1181" s="122"/>
      <c r="D1181" s="7"/>
      <c r="E1181" s="8"/>
      <c r="F1181" s="10"/>
      <c r="G1181" s="10"/>
      <c r="H1181" s="15"/>
      <c r="I1181" s="26"/>
      <c r="J1181" s="13">
        <f>I1181-H1181</f>
        <v>0</v>
      </c>
      <c r="K1181" t="s" s="14">
        <v>24</v>
      </c>
      <c r="L1181" s="20"/>
      <c r="M1181" s="16"/>
      <c r="N1181" s="20"/>
      <c r="O1181" t="s" s="17">
        <v>24</v>
      </c>
    </row>
    <row r="1182" ht="30.45" customHeight="1" hidden="1">
      <c r="A1182" t="s" s="17">
        <v>654</v>
      </c>
      <c r="B1182" t="s" s="5">
        <v>633</v>
      </c>
      <c r="C1182" t="s" s="116">
        <v>2049</v>
      </c>
      <c r="D1182" t="s" s="7">
        <v>888</v>
      </c>
      <c r="E1182" s="8">
        <v>46211</v>
      </c>
      <c r="F1182" t="s" s="10">
        <v>2078</v>
      </c>
      <c r="G1182" t="s" s="10">
        <v>2079</v>
      </c>
      <c r="H1182" s="42">
        <v>53594.88</v>
      </c>
      <c r="I1182" s="26"/>
      <c r="J1182" s="13">
        <f>I1182-H1182</f>
        <v>-53594.88</v>
      </c>
      <c r="K1182" t="s" s="14">
        <v>887</v>
      </c>
      <c r="L1182" s="20"/>
      <c r="M1182" s="16"/>
      <c r="N1182" s="20"/>
      <c r="O1182" t="s" s="17">
        <v>24</v>
      </c>
    </row>
    <row r="1183" ht="30.45" customHeight="1" hidden="1">
      <c r="A1183" s="32"/>
      <c r="B1183" t="s" s="5">
        <v>33</v>
      </c>
      <c r="C1183" s="23"/>
      <c r="D1183" s="7"/>
      <c r="E1183" s="8"/>
      <c r="F1183" s="10"/>
      <c r="G1183" s="10"/>
      <c r="H1183" s="15"/>
      <c r="I1183" s="26"/>
      <c r="J1183" s="15">
        <f>I1183-H1183</f>
        <v>0</v>
      </c>
      <c r="K1183" t="s" s="14">
        <v>24</v>
      </c>
      <c r="L1183" s="20"/>
      <c r="M1183" s="8"/>
      <c r="N1183" s="20"/>
      <c r="O1183" t="s" s="17">
        <v>24</v>
      </c>
    </row>
    <row r="1184" ht="30.45" customHeight="1" hidden="1">
      <c r="A1184" t="s" s="17">
        <v>24</v>
      </c>
      <c r="B1184" t="s" s="5">
        <v>47</v>
      </c>
      <c r="C1184" s="23"/>
      <c r="D1184" s="7"/>
      <c r="E1184" s="8"/>
      <c r="F1184" s="10"/>
      <c r="G1184" s="10"/>
      <c r="H1184" s="19"/>
      <c r="I1184" s="26"/>
      <c r="J1184" s="15">
        <f>I1184-H1184</f>
        <v>0</v>
      </c>
      <c r="K1184" t="s" s="14">
        <v>24</v>
      </c>
      <c r="L1184" s="20"/>
      <c r="M1184" s="8"/>
      <c r="N1184" s="20"/>
      <c r="O1184" t="s" s="17">
        <v>24</v>
      </c>
    </row>
    <row r="1185" ht="30.45" customHeight="1" hidden="1">
      <c r="A1185" s="32"/>
      <c r="B1185" t="s" s="5">
        <v>79</v>
      </c>
      <c r="C1185" s="6"/>
      <c r="D1185" s="7"/>
      <c r="E1185" s="25"/>
      <c r="F1185" s="10"/>
      <c r="G1185" s="10"/>
      <c r="H1185" s="39"/>
      <c r="I1185" s="15"/>
      <c r="J1185" s="13">
        <f>I1185-H1185</f>
        <v>0</v>
      </c>
      <c r="K1185" t="s" s="14">
        <v>24</v>
      </c>
      <c r="L1185" s="20"/>
      <c r="M1185" s="16"/>
      <c r="N1185" s="20"/>
      <c r="O1185" t="s" s="17">
        <v>24</v>
      </c>
    </row>
    <row r="1186" ht="30.45" customHeight="1" hidden="1">
      <c r="A1186" t="s" s="17">
        <v>24</v>
      </c>
      <c r="B1186" t="s" s="5">
        <v>30</v>
      </c>
      <c r="C1186" s="23"/>
      <c r="D1186" s="7"/>
      <c r="E1186" s="8"/>
      <c r="F1186" s="10"/>
      <c r="G1186" s="10"/>
      <c r="H1186" s="19"/>
      <c r="I1186" s="26"/>
      <c r="J1186" s="13">
        <f>I1186-H1186</f>
        <v>0</v>
      </c>
      <c r="K1186" t="s" s="14">
        <v>24</v>
      </c>
      <c r="L1186" s="20"/>
      <c r="M1186" s="16"/>
      <c r="N1186" s="20"/>
      <c r="O1186" t="s" s="17">
        <v>24</v>
      </c>
    </row>
    <row r="1187" ht="30.45" customHeight="1" hidden="1">
      <c r="A1187" s="32"/>
      <c r="B1187" t="s" s="5">
        <v>40</v>
      </c>
      <c r="C1187" s="124"/>
      <c r="D1187" s="7"/>
      <c r="E1187" s="8"/>
      <c r="F1187" s="10"/>
      <c r="G1187" s="10"/>
      <c r="H1187" s="15"/>
      <c r="I1187" s="26"/>
      <c r="J1187" s="15">
        <f>I1187-H1187</f>
        <v>0</v>
      </c>
      <c r="K1187" t="s" s="14">
        <v>24</v>
      </c>
      <c r="L1187" s="20"/>
      <c r="M1187" s="16"/>
      <c r="N1187" s="20"/>
      <c r="O1187" t="s" s="17">
        <v>24</v>
      </c>
    </row>
    <row r="1188" ht="30.45" customHeight="1" hidden="1">
      <c r="A1188" s="32"/>
      <c r="B1188" t="s" s="5">
        <v>1113</v>
      </c>
      <c r="C1188" s="122"/>
      <c r="D1188" s="7"/>
      <c r="E1188" s="8"/>
      <c r="F1188" s="10"/>
      <c r="G1188" s="10"/>
      <c r="H1188" s="15"/>
      <c r="I1188" s="26"/>
      <c r="J1188" s="15">
        <f>I1188-H1188</f>
        <v>0</v>
      </c>
      <c r="K1188" t="s" s="14">
        <v>24</v>
      </c>
      <c r="L1188" s="20"/>
      <c r="M1188" s="16"/>
      <c r="N1188" s="20"/>
      <c r="O1188" t="s" s="17">
        <v>24</v>
      </c>
    </row>
    <row r="1189" ht="30.45" customHeight="1" hidden="1">
      <c r="A1189" t="s" s="17">
        <v>654</v>
      </c>
      <c r="B1189" t="s" s="5">
        <v>29</v>
      </c>
      <c r="C1189" t="s" s="6">
        <v>415</v>
      </c>
      <c r="D1189" t="s" s="7">
        <v>129</v>
      </c>
      <c r="E1189" s="8">
        <v>46216</v>
      </c>
      <c r="F1189" s="16"/>
      <c r="G1189" t="s" s="10">
        <v>2080</v>
      </c>
      <c r="H1189" s="15">
        <v>7324.5</v>
      </c>
      <c r="I1189" s="26"/>
      <c r="J1189" s="13">
        <f>I1189-H1189</f>
        <v>-7324.5</v>
      </c>
      <c r="K1189" t="s" s="14">
        <v>84</v>
      </c>
      <c r="L1189" s="20"/>
      <c r="M1189" s="20"/>
      <c r="N1189" s="16"/>
      <c r="O1189" t="s" s="17">
        <v>24</v>
      </c>
    </row>
    <row r="1190" ht="30.45" customHeight="1" hidden="1">
      <c r="A1190" t="s" s="17">
        <v>654</v>
      </c>
      <c r="B1190" t="s" s="5">
        <v>29</v>
      </c>
      <c r="C1190" t="s" s="6">
        <v>14</v>
      </c>
      <c r="D1190" t="s" s="7">
        <v>15</v>
      </c>
      <c r="E1190" s="8">
        <v>46216</v>
      </c>
      <c r="F1190" s="16"/>
      <c r="G1190" t="s" s="10">
        <v>2081</v>
      </c>
      <c r="H1190" s="15">
        <v>12084.05</v>
      </c>
      <c r="I1190" s="26"/>
      <c r="J1190" s="13">
        <f>I1190-H1190</f>
        <v>-12084.05</v>
      </c>
      <c r="K1190" t="s" s="14">
        <v>17</v>
      </c>
      <c r="L1190" s="20"/>
      <c r="M1190" s="20"/>
      <c r="N1190" s="16"/>
      <c r="O1190" t="s" s="17">
        <v>24</v>
      </c>
    </row>
    <row r="1191" ht="30.45" customHeight="1" hidden="1">
      <c r="A1191" t="s" s="17">
        <v>654</v>
      </c>
      <c r="B1191" t="s" s="5">
        <v>29</v>
      </c>
      <c r="C1191" t="s" s="6">
        <v>1690</v>
      </c>
      <c r="D1191" t="s" s="7">
        <v>379</v>
      </c>
      <c r="E1191" s="8">
        <v>46216</v>
      </c>
      <c r="F1191" s="16"/>
      <c r="G1191" t="s" s="10">
        <v>2082</v>
      </c>
      <c r="H1191" s="15">
        <v>59198.1</v>
      </c>
      <c r="I1191" s="26"/>
      <c r="J1191" s="13">
        <f>I1191-H1191</f>
        <v>-59198.1</v>
      </c>
      <c r="K1191" t="s" s="14">
        <v>87</v>
      </c>
      <c r="L1191" s="20"/>
      <c r="M1191" s="20"/>
      <c r="N1191" s="16"/>
      <c r="O1191" t="s" s="17">
        <v>24</v>
      </c>
    </row>
    <row r="1192" ht="30.45" customHeight="1" hidden="1">
      <c r="A1192" t="s" s="17">
        <v>654</v>
      </c>
      <c r="B1192" t="s" s="5">
        <v>633</v>
      </c>
      <c r="C1192" t="s" s="116">
        <v>415</v>
      </c>
      <c r="D1192" t="s" s="7">
        <v>129</v>
      </c>
      <c r="E1192" s="8">
        <v>46211</v>
      </c>
      <c r="F1192" t="s" s="10">
        <v>2083</v>
      </c>
      <c r="G1192" t="s" s="10">
        <v>2084</v>
      </c>
      <c r="H1192" s="42">
        <v>49408.15</v>
      </c>
      <c r="I1192" s="26"/>
      <c r="J1192" s="13">
        <f>I1192-H1192</f>
        <v>-49408.15</v>
      </c>
      <c r="K1192" t="s" s="14">
        <v>84</v>
      </c>
      <c r="L1192" s="20"/>
      <c r="M1192" s="16"/>
      <c r="N1192" s="20"/>
      <c r="O1192" t="s" s="17">
        <v>24</v>
      </c>
    </row>
    <row r="1193" ht="30.45" customHeight="1" hidden="1">
      <c r="A1193" t="s" s="17">
        <v>24</v>
      </c>
      <c r="B1193" t="s" s="5">
        <v>633</v>
      </c>
      <c r="C1193" s="116"/>
      <c r="D1193" s="7"/>
      <c r="E1193" s="8"/>
      <c r="F1193" s="10"/>
      <c r="G1193" s="10"/>
      <c r="H1193" s="42"/>
      <c r="I1193" s="26"/>
      <c r="J1193" s="13">
        <f>I1193-H1193</f>
        <v>0</v>
      </c>
      <c r="K1193" t="s" s="14">
        <v>24</v>
      </c>
      <c r="L1193" s="20"/>
      <c r="M1193" s="16"/>
      <c r="N1193" s="20"/>
      <c r="O1193" t="s" s="17">
        <v>24</v>
      </c>
    </row>
    <row r="1194" ht="30.45" customHeight="1" hidden="1">
      <c r="A1194" t="s" s="17">
        <v>24</v>
      </c>
      <c r="B1194" t="s" s="5">
        <v>21</v>
      </c>
      <c r="C1194" s="125"/>
      <c r="D1194" s="7"/>
      <c r="E1194" s="8"/>
      <c r="F1194" s="10"/>
      <c r="G1194" s="10"/>
      <c r="H1194" s="39"/>
      <c r="I1194" s="15"/>
      <c r="J1194" s="13">
        <f>I1194-H1194</f>
        <v>0</v>
      </c>
      <c r="K1194" t="s" s="14">
        <v>24</v>
      </c>
      <c r="L1194" s="20"/>
      <c r="M1194" s="16"/>
      <c r="N1194" s="22"/>
      <c r="O1194" t="s" s="17">
        <v>24</v>
      </c>
    </row>
  </sheetData>
  <dataValidations count="6">
    <dataValidation type="list" allowBlank="1" showInputMessage="1" showErrorMessage="1" sqref="A1">
      <formula1>",-,RECEBER,CONFERIR,REVISAR,?,SOLICITAR ENVIO,LUCIANO,PEPINO,ENVIAR,OK,OK (Pastinha),OK (Enviar),OK (Enviado),OK (Envelope),PAGANDO...,ATRASADO,Revisar,EM REVISÃO,Contato Cliente,Solicitar Envio,Acompanhar,REVISÃO"</formula1>
    </dataValidation>
    <dataValidation type="list" allowBlank="1" showInputMessage="1" showErrorMessage="1" sqref="A2:A1194">
      <formula1>",-,RECEBER,CONFERIR,REVISAR,?,SOLICITAR ENVIO,LUCIANO,PEPINO,ENVIAR,OK,OK (Pastinha),OK (Enviar),OK (Enviado),OK (Envelope),PAGANDO...,ATRASADO,Revisar,EM REVISÃO,Contato Cliente,Solicitar Envio,Acompanhar,REVISÃO,Envio Solicitado,New Item,BOLETAR"</formula1>
    </dataValidation>
    <dataValidation type="list" allowBlank="1" showInputMessage="1" showErrorMessage="1" sqref="B2:B1194">
      <formula1>",MADEFLONA,GABRIELENSE,MAD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K2:K5 K7:K92 K94:K147 K149:K169 K171:K173 K176:K205 K207:K208 K210:K228 K230:K256 K258:K512 K514:K516 K518:K590 K592:K609 K611:K672 K674:K826 K828:K829 K831:K928 K930:K940 K942:K987 K989:K1031 K1033:K1046 K1048:K1059 K1061:K1116 K1118:K1169 K1171:K1194">
      <formula1>"-,01 - Norte,02 - Noroeste,03 - Litoral Norte,04 - Rio Doce,05 - Santas,06 - Central,07 - Metropolitana,08 - Montanhas,09 - Caparaó,10 - Litoral Sul,11 - Sul,12 - MG,13 - BA"</formula1>
    </dataValidation>
    <dataValidation type="list" allowBlank="1" showInputMessage="1" showErrorMessage="1" sqref="O2 O23:O25 O28 O30 O35 O40:O45 O47 O52:O53 O80 O84 O86 O89 O104:O106 O113 O131 O134 O142 O146 O148 O153 O164 O181 O183:O184 O193 O199 O204:O205 O225 O235:O236 O238 O240:O243 O245:O246 O254:O255 O260 O275 O283 O297 O300:O301 O313 O317 O320:O322 O330 O335 O337 O343 O345:O347 O349 O352:O353 O356 O368 O371:O374 O379:O380 O386 O395 O398 O401 O403:O404 O414 O418 O426:O429 O431:O432 O434 O445:O446 O448:O450 O454:O455 O460:O462 O464 O466:O467 O471 O483:O484 O488 O507:O510 O512 O525 O530:O536 O541 O543 O553 O555:O556 O564 O573 O579 O581 O596:O599 O602:O604 O609 O616 O618 O622:O623 O625 O632 O635:O638 O651 O653:O655 O659:O661 O664:O665 O667:O668 O671:O672 O674:O677 O688 O693 O695 O698 O700:O701 O706 O718 O721 O730:O731 O737:O740 O748:O753 O762 O767:O769 O772 O777:O778 O783 O788:O789 O791 O795 O797:O799 O803 O808 O812 O819:O821 O824:O825 O829 O831 O835 O841 O845 O847 O852 O861 O874 O876 O894:O896 O902 O904:O905 O910:O911 O913 O919:O920 O922 O926 O934 O937 O939:O940 O943 O947 O953 O976 O978:O979 O983:O987 O995 O999:O1002 O1008 O1011:O1013 O1016 O1031 O1033:O1034 O1039 O1045 O1053 O1064:O1066 O1072 O1081:O1082 O1084:O1085 O1091:O1094 O1097:O1098 O1105 O1109 O1122 O1125:O1127 O1129 O1131:O1135 O1139 O1153:O1160 O1163:O1166 O1173:O1194">
      <formula1>"-,DEPOIS"</formula1>
    </dataValidation>
    <dataValidation type="list" allowBlank="1" showInputMessage="1" showErrorMessage="1" sqref="O3:O22 O26:O27 O29 O31:O34 O36:O39 O46 O48:O51 O54:O79 O81:O83 O85 O87:O88 O90:O103 O107:O112 O114:O130 O132:O133 O135:O141 O143:O145 O147 O149:O152 O154:O163 O165:O180 O182 O185:O192 O194:O198 O200:O203 O206:O224 O226:O234 O237 O239 O244 O247:O253 O256:O259 O261:O274 O276:O282 O284:O296 O298:O299 O302:O312 O314:O316 O318:O319 O323:O329 O331:O334 O336 O338:O342 O344 O348 O350:O351 O354:O355 O357:O367 O369:O370 O375:O378 O381:O385 O387:O394 O396:O397 O399:O400 O402 O405:O413 O415:O417 O419:O425 O430 O433 O435:O444 O447 O451:O453 O456:O459 O463 O465 O468:O470 O472:O482 O485:O487 O489:O506 O511 O513:O524 O526:O529 O537:O540 O542 O544:O552 O554 O557:O563 O565:O572 O574:O578 O580 O582:O595 O600:O601 O605:O608 O610:O615 O617 O619:O621 O624 O626:O631 O633:O634 O639:O650 O652 O656:O658 O662:O663 O666 O669:O670 O673 O678:O687 O689:O692 O694 O696:O697 O699 O702:O705 O707:O717 O719:O720 O722:O729 O732:O736 O741:O747 O754:O761 O763:O766 O770:O771 O773:O776 O779:O782 O784:O787 O790 O792:O794 O796 O800:O802 O804:O807 O809:O811 O813:O818 O822:O823 O826:O828 O830 O832:O834 O836:O840 O842:O844 O846 O848:O851 O853:O860 O862:O873 O875 O877:O893 O897:O901 O903 O906:O909 O912 O914:O918 O921 O923:O925 O927:O933 O935:O936 O938 O941:O942 O944:O946 O948:O952 O954:O975 O977 O980:O982 O988:O994 O996:O998 O1003:O1007 O1009:O1010 O1014:O1015 O1017:O1030 O1032 O1035:O1038 O1040:O1044 O1046:O1052 O1054:O1063 O1067:O1071 O1073:O1080 O1083 O1086:O1090 O1095:O1096 O1099:O1104 O1106:O1108 O1110:O1121 O1123:O1124 O1128 O1130 O1136:O1138 O1140:O1152 O1161:O1162 O1167:O1172">
      <formula1>"-,RECEBER,CONFERIR,REVISAR,?,SOLICITAR ENVIO,LUCIANO,PEPINO,ENVIAR,OK,OK (Pastinha),OK (Enviar),OK (Enviado),OK (Envelope)"</formula1>
    </dataValidation>
  </dataValidations>
  <pageMargins left="1" right="1" top="0.75" bottom="0.75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431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14.1797" style="126" customWidth="1"/>
    <col min="2" max="2" width="16.6719" style="126" customWidth="1"/>
    <col min="3" max="3" width="28.4141" style="126" customWidth="1"/>
    <col min="4" max="4" width="20" style="126" customWidth="1"/>
    <col min="5" max="6" width="13.4844" style="126" customWidth="1"/>
    <col min="7" max="7" width="15" style="126" customWidth="1"/>
    <col min="8" max="8" width="16.6719" style="126" customWidth="1"/>
    <col min="9" max="9" width="13.4844" style="126" customWidth="1"/>
    <col min="10" max="11" width="15" style="126" customWidth="1"/>
    <col min="12" max="12" width="33.4531" style="126" customWidth="1"/>
    <col min="13" max="16384" width="16.3516" style="126" customWidth="1"/>
  </cols>
  <sheetData>
    <row r="1" ht="28.65" customHeight="1">
      <c r="A1" t="s" s="127">
        <v>2085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ht="27.95" customHeight="1">
      <c r="A2" t="s" s="128">
        <v>2086</v>
      </c>
      <c r="B2" t="s" s="128">
        <v>0</v>
      </c>
      <c r="C2" t="s" s="128">
        <v>1</v>
      </c>
      <c r="D2" t="s" s="128">
        <v>2</v>
      </c>
      <c r="E2" t="s" s="128">
        <v>3</v>
      </c>
      <c r="F2" t="s" s="129">
        <v>2087</v>
      </c>
      <c r="G2" t="s" s="129">
        <v>2088</v>
      </c>
      <c r="H2" t="s" s="129">
        <v>2089</v>
      </c>
      <c r="I2" t="s" s="129">
        <v>2090</v>
      </c>
      <c r="J2" t="s" s="129">
        <v>2091</v>
      </c>
      <c r="K2" t="s" s="129">
        <v>2092</v>
      </c>
      <c r="L2" t="s" s="129">
        <v>2093</v>
      </c>
    </row>
    <row r="3" ht="27.7" customHeight="1">
      <c r="A3" t="s" s="130">
        <v>39</v>
      </c>
      <c r="B3" t="s" s="131">
        <v>79</v>
      </c>
      <c r="C3" t="s" s="132">
        <v>2094</v>
      </c>
      <c r="D3" t="s" s="133">
        <v>468</v>
      </c>
      <c r="E3" s="134">
        <v>45303</v>
      </c>
      <c r="F3" s="135">
        <v>45400</v>
      </c>
      <c r="G3" s="136">
        <v>3818.8</v>
      </c>
      <c r="H3" t="s" s="131">
        <v>13</v>
      </c>
      <c r="I3" s="137">
        <v>45411</v>
      </c>
      <c r="J3" s="138">
        <v>3818.8</v>
      </c>
      <c r="K3" s="136">
        <f>J3-G3</f>
        <v>0</v>
      </c>
      <c r="L3" t="s" s="139">
        <v>2095</v>
      </c>
    </row>
    <row r="4" ht="27.7" customHeight="1">
      <c r="A4" t="s" s="130">
        <v>39</v>
      </c>
      <c r="B4" t="s" s="131">
        <v>488</v>
      </c>
      <c r="C4" t="s" s="132">
        <v>2067</v>
      </c>
      <c r="D4" t="s" s="133">
        <v>539</v>
      </c>
      <c r="E4" s="134">
        <v>45336</v>
      </c>
      <c r="F4" s="140">
        <v>45366</v>
      </c>
      <c r="G4" s="136">
        <v>4887.72</v>
      </c>
      <c r="H4" t="s" s="131">
        <v>13</v>
      </c>
      <c r="I4" s="137">
        <v>45401</v>
      </c>
      <c r="J4" s="138">
        <v>4887.72</v>
      </c>
      <c r="K4" s="136">
        <f>J4-G4</f>
        <v>0</v>
      </c>
      <c r="L4" t="s" s="139">
        <v>2096</v>
      </c>
    </row>
    <row r="5" ht="27.7" customHeight="1">
      <c r="A5" t="s" s="130">
        <v>39</v>
      </c>
      <c r="B5" t="s" s="131">
        <v>488</v>
      </c>
      <c r="C5" t="s" s="132">
        <v>2067</v>
      </c>
      <c r="D5" t="s" s="133">
        <v>539</v>
      </c>
      <c r="E5" s="134">
        <v>45336</v>
      </c>
      <c r="F5" s="141">
        <v>45366</v>
      </c>
      <c r="G5" s="136">
        <v>1426.19</v>
      </c>
      <c r="H5" t="s" s="131">
        <v>488</v>
      </c>
      <c r="I5" s="137">
        <v>45393</v>
      </c>
      <c r="J5" s="142">
        <v>1426.19</v>
      </c>
      <c r="K5" s="136">
        <f>J5-G5</f>
        <v>0</v>
      </c>
      <c r="L5" t="s" s="139">
        <v>2097</v>
      </c>
    </row>
    <row r="6" ht="27.7" customHeight="1">
      <c r="A6" t="s" s="130">
        <v>39</v>
      </c>
      <c r="B6" t="s" s="131">
        <v>488</v>
      </c>
      <c r="C6" t="s" s="132">
        <v>2067</v>
      </c>
      <c r="D6" t="s" s="133">
        <v>539</v>
      </c>
      <c r="E6" s="134">
        <v>45336</v>
      </c>
      <c r="F6" s="141">
        <v>45381</v>
      </c>
      <c r="G6" s="136">
        <v>4887.72</v>
      </c>
      <c r="H6" t="s" s="131">
        <v>13</v>
      </c>
      <c r="I6" s="137">
        <v>45407</v>
      </c>
      <c r="J6" s="138">
        <v>4887.72</v>
      </c>
      <c r="K6" s="136">
        <f>J6-G6</f>
        <v>0</v>
      </c>
      <c r="L6" t="s" s="139">
        <v>2098</v>
      </c>
    </row>
    <row r="7" ht="27.7" customHeight="1">
      <c r="A7" t="s" s="130">
        <v>96</v>
      </c>
      <c r="B7" t="s" s="131">
        <v>488</v>
      </c>
      <c r="C7" t="s" s="143">
        <v>2067</v>
      </c>
      <c r="D7" t="s" s="133">
        <v>539</v>
      </c>
      <c r="E7" s="134">
        <v>45336</v>
      </c>
      <c r="F7" s="140">
        <v>45396</v>
      </c>
      <c r="G7" s="136">
        <v>4887.72</v>
      </c>
      <c r="H7" t="s" s="131">
        <v>13</v>
      </c>
      <c r="I7" s="144"/>
      <c r="J7" s="145"/>
      <c r="K7" s="136"/>
      <c r="L7" t="s" s="139">
        <v>2099</v>
      </c>
    </row>
    <row r="8" ht="27.7" customHeight="1">
      <c r="A8" t="s" s="130">
        <v>39</v>
      </c>
      <c r="B8" t="s" s="131">
        <v>68</v>
      </c>
      <c r="C8" t="s" s="132">
        <v>205</v>
      </c>
      <c r="D8" t="s" s="133">
        <v>206</v>
      </c>
      <c r="E8" s="134">
        <v>45348</v>
      </c>
      <c r="F8" s="135">
        <v>45381</v>
      </c>
      <c r="G8" s="136">
        <v>2774</v>
      </c>
      <c r="H8" t="s" s="131">
        <v>13</v>
      </c>
      <c r="I8" s="137">
        <v>45399</v>
      </c>
      <c r="J8" s="138">
        <v>2774</v>
      </c>
      <c r="K8" s="136">
        <f>J8-G8</f>
        <v>0</v>
      </c>
      <c r="L8" t="s" s="139">
        <v>2100</v>
      </c>
    </row>
    <row r="9" ht="27.7" customHeight="1">
      <c r="A9" t="s" s="130">
        <v>39</v>
      </c>
      <c r="B9" t="s" s="131">
        <v>68</v>
      </c>
      <c r="C9" t="s" s="132">
        <v>205</v>
      </c>
      <c r="D9" t="s" s="133">
        <v>206</v>
      </c>
      <c r="E9" s="134">
        <v>45348</v>
      </c>
      <c r="F9" s="135">
        <v>45396</v>
      </c>
      <c r="G9" s="136">
        <v>2773</v>
      </c>
      <c r="H9" t="s" s="131">
        <v>13</v>
      </c>
      <c r="I9" s="137">
        <v>45406</v>
      </c>
      <c r="J9" s="138">
        <v>2773</v>
      </c>
      <c r="K9" s="136">
        <f>J9-G9</f>
        <v>0</v>
      </c>
      <c r="L9" t="s" s="139">
        <v>2101</v>
      </c>
    </row>
    <row r="10" ht="27.7" customHeight="1">
      <c r="A10" t="s" s="130">
        <v>39</v>
      </c>
      <c r="B10" t="s" s="131">
        <v>68</v>
      </c>
      <c r="C10" t="s" s="132">
        <v>205</v>
      </c>
      <c r="D10" t="s" s="133">
        <v>206</v>
      </c>
      <c r="E10" s="134">
        <v>45348</v>
      </c>
      <c r="F10" s="135">
        <v>45411</v>
      </c>
      <c r="G10" s="136">
        <v>2773</v>
      </c>
      <c r="H10" t="s" s="131">
        <v>13</v>
      </c>
      <c r="I10" s="137">
        <v>45419</v>
      </c>
      <c r="J10" s="138">
        <v>2773</v>
      </c>
      <c r="K10" s="136">
        <f>J10-G10</f>
        <v>0</v>
      </c>
      <c r="L10" t="s" s="139">
        <v>2102</v>
      </c>
    </row>
    <row r="11" ht="28" customHeight="1">
      <c r="A11" t="s" s="130">
        <v>39</v>
      </c>
      <c r="B11" t="s" s="131">
        <v>30</v>
      </c>
      <c r="C11" t="s" s="146">
        <v>1535</v>
      </c>
      <c r="D11" t="s" s="133">
        <v>1533</v>
      </c>
      <c r="E11" s="147">
        <v>45352</v>
      </c>
      <c r="F11" s="135">
        <v>45387</v>
      </c>
      <c r="G11" s="136">
        <v>8903</v>
      </c>
      <c r="H11" t="s" s="131">
        <v>13</v>
      </c>
      <c r="I11" s="137">
        <v>45400</v>
      </c>
      <c r="J11" s="138">
        <v>8903</v>
      </c>
      <c r="K11" s="136">
        <f>J11-G11</f>
        <v>0</v>
      </c>
      <c r="L11" t="s" s="139">
        <v>2100</v>
      </c>
    </row>
    <row r="12" ht="27.7" customHeight="1">
      <c r="A12" t="s" s="130">
        <v>39</v>
      </c>
      <c r="B12" t="s" s="131">
        <v>30</v>
      </c>
      <c r="C12" t="s" s="132">
        <v>1851</v>
      </c>
      <c r="D12" t="s" s="133">
        <v>683</v>
      </c>
      <c r="E12" s="134">
        <v>45352</v>
      </c>
      <c r="F12" s="141">
        <v>45387</v>
      </c>
      <c r="G12" s="136">
        <v>4598</v>
      </c>
      <c r="H12" t="s" s="131">
        <v>13</v>
      </c>
      <c r="I12" s="137">
        <v>45401</v>
      </c>
      <c r="J12" s="138">
        <v>4598</v>
      </c>
      <c r="K12" s="136">
        <f>J12-G12</f>
        <v>0</v>
      </c>
      <c r="L12" t="s" s="139">
        <v>2100</v>
      </c>
    </row>
    <row r="13" ht="28" customHeight="1">
      <c r="A13" t="s" s="130">
        <v>39</v>
      </c>
      <c r="B13" t="s" s="131">
        <v>30</v>
      </c>
      <c r="C13" t="s" s="146">
        <v>1535</v>
      </c>
      <c r="D13" t="s" s="133">
        <v>1533</v>
      </c>
      <c r="E13" s="147">
        <v>45352</v>
      </c>
      <c r="F13" s="135">
        <v>45402</v>
      </c>
      <c r="G13" s="136">
        <v>8580</v>
      </c>
      <c r="H13" t="s" s="131">
        <v>13</v>
      </c>
      <c r="I13" s="137">
        <v>45404</v>
      </c>
      <c r="J13" s="138">
        <v>8580</v>
      </c>
      <c r="K13" s="136">
        <f>J13-G13</f>
        <v>0</v>
      </c>
      <c r="L13" t="s" s="139">
        <v>2101</v>
      </c>
    </row>
    <row r="14" ht="27.7" customHeight="1">
      <c r="A14" t="s" s="130">
        <v>39</v>
      </c>
      <c r="B14" t="s" s="131">
        <v>30</v>
      </c>
      <c r="C14" t="s" s="132">
        <v>1851</v>
      </c>
      <c r="D14" t="s" s="133">
        <v>683</v>
      </c>
      <c r="E14" s="134">
        <v>45352</v>
      </c>
      <c r="F14" s="141">
        <v>45402</v>
      </c>
      <c r="G14" s="136">
        <v>4430</v>
      </c>
      <c r="H14" t="s" s="131">
        <v>30</v>
      </c>
      <c r="I14" s="137">
        <v>45419</v>
      </c>
      <c r="J14" s="142">
        <v>7000</v>
      </c>
      <c r="K14" s="136">
        <f>J14-G14</f>
        <v>2570</v>
      </c>
      <c r="L14" t="s" s="139">
        <v>2103</v>
      </c>
    </row>
    <row r="15" ht="28" customHeight="1">
      <c r="A15" t="s" s="130">
        <v>39</v>
      </c>
      <c r="B15" t="s" s="131">
        <v>30</v>
      </c>
      <c r="C15" t="s" s="146">
        <v>1535</v>
      </c>
      <c r="D15" t="s" s="133">
        <v>1533</v>
      </c>
      <c r="E15" s="147">
        <v>45352</v>
      </c>
      <c r="F15" s="135">
        <v>45417</v>
      </c>
      <c r="G15" s="136">
        <v>8580</v>
      </c>
      <c r="H15" t="s" s="131">
        <v>13</v>
      </c>
      <c r="I15" s="137">
        <v>45415</v>
      </c>
      <c r="J15" s="138">
        <v>8580</v>
      </c>
      <c r="K15" s="136">
        <f>J15-G15</f>
        <v>0</v>
      </c>
      <c r="L15" t="s" s="139">
        <v>2102</v>
      </c>
    </row>
    <row r="16" ht="27.7" customHeight="1">
      <c r="A16" t="s" s="130">
        <v>39</v>
      </c>
      <c r="B16" t="s" s="131">
        <v>30</v>
      </c>
      <c r="C16" t="s" s="132">
        <v>1851</v>
      </c>
      <c r="D16" t="s" s="133">
        <v>683</v>
      </c>
      <c r="E16" s="134">
        <v>45352</v>
      </c>
      <c r="F16" s="135">
        <v>45417</v>
      </c>
      <c r="G16" s="148">
        <v>4206</v>
      </c>
      <c r="H16" t="s" s="131">
        <v>30</v>
      </c>
      <c r="I16" s="137">
        <v>45419</v>
      </c>
      <c r="J16" s="142">
        <v>1636</v>
      </c>
      <c r="K16" s="136">
        <f>J16-G16</f>
        <v>-2570</v>
      </c>
      <c r="L16" t="s" s="139">
        <v>2104</v>
      </c>
    </row>
    <row r="17" ht="27.7" customHeight="1">
      <c r="A17" t="s" s="130">
        <v>39</v>
      </c>
      <c r="B17" t="s" s="131">
        <v>40</v>
      </c>
      <c r="C17" t="s" s="146">
        <v>1535</v>
      </c>
      <c r="D17" t="s" s="133">
        <v>1533</v>
      </c>
      <c r="E17" s="134">
        <v>45365</v>
      </c>
      <c r="F17" s="135">
        <v>45402</v>
      </c>
      <c r="G17" s="136">
        <v>4428.63</v>
      </c>
      <c r="H17" t="s" s="131">
        <v>13</v>
      </c>
      <c r="I17" s="137">
        <v>45404</v>
      </c>
      <c r="J17" s="138">
        <v>4428.63</v>
      </c>
      <c r="K17" s="136">
        <f>J17-G17</f>
        <v>0</v>
      </c>
      <c r="L17" t="s" s="139">
        <v>2100</v>
      </c>
    </row>
    <row r="18" ht="27.7" customHeight="1">
      <c r="A18" t="s" s="130">
        <v>39</v>
      </c>
      <c r="B18" t="s" s="131">
        <v>40</v>
      </c>
      <c r="C18" t="s" s="132">
        <v>1535</v>
      </c>
      <c r="D18" t="s" s="133">
        <v>1533</v>
      </c>
      <c r="E18" s="134">
        <v>45365</v>
      </c>
      <c r="F18" s="135">
        <v>45432</v>
      </c>
      <c r="G18" s="136">
        <v>4348</v>
      </c>
      <c r="H18" t="s" s="131">
        <v>13</v>
      </c>
      <c r="I18" s="137">
        <v>45428</v>
      </c>
      <c r="J18" s="138">
        <v>4348</v>
      </c>
      <c r="K18" s="136">
        <f>J18-G18</f>
        <v>0</v>
      </c>
      <c r="L18" t="s" s="139">
        <v>2101</v>
      </c>
    </row>
    <row r="19" ht="27.7" customHeight="1">
      <c r="A19" t="s" s="130">
        <v>39</v>
      </c>
      <c r="B19" t="s" s="131">
        <v>40</v>
      </c>
      <c r="C19" t="s" s="132">
        <v>1535</v>
      </c>
      <c r="D19" t="s" s="133">
        <v>1533</v>
      </c>
      <c r="E19" s="134">
        <v>45365</v>
      </c>
      <c r="F19" s="144">
        <v>45462</v>
      </c>
      <c r="G19" s="136">
        <v>4348</v>
      </c>
      <c r="H19" t="s" s="131">
        <v>40</v>
      </c>
      <c r="I19" s="137">
        <v>45464</v>
      </c>
      <c r="J19" s="142">
        <v>4348</v>
      </c>
      <c r="K19" s="136">
        <f>J19-G19</f>
        <v>0</v>
      </c>
      <c r="L19" t="s" s="139">
        <v>2105</v>
      </c>
    </row>
    <row r="20" ht="27.7" customHeight="1">
      <c r="A20" t="s" s="130">
        <v>39</v>
      </c>
      <c r="B20" t="s" s="131">
        <v>488</v>
      </c>
      <c r="C20" t="s" s="132">
        <v>2106</v>
      </c>
      <c r="D20" t="s" s="133">
        <v>379</v>
      </c>
      <c r="E20" s="134">
        <v>45371</v>
      </c>
      <c r="F20" s="135">
        <v>45401</v>
      </c>
      <c r="G20" s="136">
        <v>4404.64</v>
      </c>
      <c r="H20" t="s" s="131">
        <v>13</v>
      </c>
      <c r="I20" s="137">
        <v>45407</v>
      </c>
      <c r="J20" s="138">
        <v>4404.64</v>
      </c>
      <c r="K20" s="136">
        <f>J20-G20</f>
        <v>0</v>
      </c>
      <c r="L20" t="s" s="139">
        <v>2107</v>
      </c>
    </row>
    <row r="21" ht="27.7" customHeight="1">
      <c r="A21" t="s" s="130">
        <v>39</v>
      </c>
      <c r="B21" t="s" s="131">
        <v>30</v>
      </c>
      <c r="C21" t="s" s="132">
        <v>1162</v>
      </c>
      <c r="D21" t="s" s="133">
        <v>319</v>
      </c>
      <c r="E21" s="134">
        <v>45371</v>
      </c>
      <c r="F21" s="135">
        <v>45408</v>
      </c>
      <c r="G21" s="136">
        <v>7386</v>
      </c>
      <c r="H21" t="s" s="131">
        <v>13</v>
      </c>
      <c r="I21" s="137">
        <v>45408</v>
      </c>
      <c r="J21" s="138">
        <v>7386</v>
      </c>
      <c r="K21" s="136">
        <f>J21-G21</f>
        <v>0</v>
      </c>
      <c r="L21" t="s" s="139">
        <v>2108</v>
      </c>
    </row>
    <row r="22" ht="27.7" customHeight="1">
      <c r="A22" t="s" s="130">
        <v>39</v>
      </c>
      <c r="B22" t="s" s="131">
        <v>488</v>
      </c>
      <c r="C22" t="s" s="132">
        <v>2106</v>
      </c>
      <c r="D22" t="s" s="133">
        <v>379</v>
      </c>
      <c r="E22" s="134">
        <v>45371</v>
      </c>
      <c r="F22" s="135">
        <v>45416</v>
      </c>
      <c r="G22" s="136">
        <v>4404.64</v>
      </c>
      <c r="H22" t="s" s="131">
        <v>30</v>
      </c>
      <c r="I22" s="137">
        <v>45421</v>
      </c>
      <c r="J22" s="149">
        <v>4404.64</v>
      </c>
      <c r="K22" s="136">
        <f>J22-G22</f>
        <v>0</v>
      </c>
      <c r="L22" t="s" s="139">
        <v>2109</v>
      </c>
    </row>
    <row r="23" ht="27.7" customHeight="1">
      <c r="A23" t="s" s="130">
        <v>39</v>
      </c>
      <c r="B23" t="s" s="131">
        <v>488</v>
      </c>
      <c r="C23" t="s" s="132">
        <v>2106</v>
      </c>
      <c r="D23" t="s" s="133">
        <v>379</v>
      </c>
      <c r="E23" s="134">
        <v>45371</v>
      </c>
      <c r="F23" s="135">
        <v>45431</v>
      </c>
      <c r="G23" s="136">
        <v>4404.64</v>
      </c>
      <c r="H23" t="s" s="131">
        <v>488</v>
      </c>
      <c r="I23" s="137">
        <v>45439</v>
      </c>
      <c r="J23" s="142">
        <v>4404.64</v>
      </c>
      <c r="K23" s="136">
        <f>J23-G23</f>
        <v>0</v>
      </c>
      <c r="L23" t="s" s="139">
        <v>2110</v>
      </c>
    </row>
    <row r="24" ht="27.7" customHeight="1">
      <c r="A24" t="s" s="130">
        <v>39</v>
      </c>
      <c r="B24" t="s" s="131">
        <v>97</v>
      </c>
      <c r="C24" t="s" s="146">
        <v>1535</v>
      </c>
      <c r="D24" t="s" s="133">
        <v>1533</v>
      </c>
      <c r="E24" s="134">
        <v>45379</v>
      </c>
      <c r="F24" s="144">
        <v>45415</v>
      </c>
      <c r="G24" s="136">
        <v>14807.8</v>
      </c>
      <c r="H24" t="s" s="131">
        <v>13</v>
      </c>
      <c r="I24" s="137">
        <v>45418</v>
      </c>
      <c r="J24" s="138">
        <v>14807.8</v>
      </c>
      <c r="K24" s="136">
        <f>J24-G24</f>
        <v>0</v>
      </c>
      <c r="L24" t="s" s="139">
        <v>2111</v>
      </c>
    </row>
    <row r="25" ht="27.7" customHeight="1">
      <c r="A25" t="s" s="130">
        <v>39</v>
      </c>
      <c r="B25" t="s" s="131">
        <v>97</v>
      </c>
      <c r="C25" t="s" s="146">
        <v>1535</v>
      </c>
      <c r="D25" t="s" s="133">
        <v>1533</v>
      </c>
      <c r="E25" s="134">
        <v>45379</v>
      </c>
      <c r="F25" s="144">
        <v>45445</v>
      </c>
      <c r="G25" s="136">
        <v>14807.8</v>
      </c>
      <c r="H25" t="s" s="131">
        <v>21</v>
      </c>
      <c r="I25" s="137">
        <v>45447</v>
      </c>
      <c r="J25" s="149">
        <v>14807.8</v>
      </c>
      <c r="K25" s="136">
        <f>J25-G25</f>
        <v>0</v>
      </c>
      <c r="L25" t="s" s="139">
        <v>2112</v>
      </c>
    </row>
    <row r="26" ht="27.7" customHeight="1">
      <c r="A26" t="s" s="130">
        <v>39</v>
      </c>
      <c r="B26" t="s" s="131">
        <v>97</v>
      </c>
      <c r="C26" t="s" s="132">
        <v>1535</v>
      </c>
      <c r="D26" t="s" s="133">
        <v>1533</v>
      </c>
      <c r="E26" s="134">
        <v>45379</v>
      </c>
      <c r="F26" s="144">
        <v>45475</v>
      </c>
      <c r="G26" s="136">
        <v>14807.8</v>
      </c>
      <c r="H26" t="s" s="131">
        <v>40</v>
      </c>
      <c r="I26" s="137">
        <v>45475</v>
      </c>
      <c r="J26" s="149">
        <v>14807.8</v>
      </c>
      <c r="K26" s="136">
        <f>J26-G26</f>
        <v>0</v>
      </c>
      <c r="L26" t="s" s="139">
        <v>2113</v>
      </c>
    </row>
    <row r="27" ht="27.7" customHeight="1">
      <c r="A27" t="s" s="130">
        <v>39</v>
      </c>
      <c r="B27" t="s" s="131">
        <v>97</v>
      </c>
      <c r="C27" t="s" s="150">
        <v>1535</v>
      </c>
      <c r="D27" t="s" s="133">
        <v>1533</v>
      </c>
      <c r="E27" s="134">
        <v>45379</v>
      </c>
      <c r="F27" s="144">
        <v>45505</v>
      </c>
      <c r="G27" s="136">
        <v>14807.8</v>
      </c>
      <c r="H27" t="s" s="131">
        <v>97</v>
      </c>
      <c r="I27" s="137">
        <v>45510</v>
      </c>
      <c r="J27" s="142">
        <v>14807.8</v>
      </c>
      <c r="K27" s="136">
        <f>J27-G27</f>
        <v>0</v>
      </c>
      <c r="L27" t="s" s="139">
        <v>2114</v>
      </c>
    </row>
    <row r="28" ht="27.7" customHeight="1">
      <c r="A28" t="s" s="130">
        <v>39</v>
      </c>
      <c r="B28" t="s" s="131">
        <v>36</v>
      </c>
      <c r="C28" t="s" s="132">
        <v>1162</v>
      </c>
      <c r="D28" t="s" s="133">
        <v>319</v>
      </c>
      <c r="E28" s="134">
        <v>45388</v>
      </c>
      <c r="F28" s="135">
        <v>45422</v>
      </c>
      <c r="G28" s="136">
        <v>18256.8</v>
      </c>
      <c r="H28" t="s" s="131">
        <v>30</v>
      </c>
      <c r="I28" s="137">
        <v>45425</v>
      </c>
      <c r="J28" s="149">
        <v>18256.84</v>
      </c>
      <c r="K28" s="136">
        <f>J28-G28</f>
        <v>0.04</v>
      </c>
      <c r="L28" t="s" s="139">
        <v>2115</v>
      </c>
    </row>
    <row r="29" ht="27.7" customHeight="1">
      <c r="A29" t="s" s="130">
        <v>39</v>
      </c>
      <c r="B29" t="s" s="131">
        <v>61</v>
      </c>
      <c r="C29" t="s" s="132">
        <v>578</v>
      </c>
      <c r="D29" t="s" s="133">
        <v>579</v>
      </c>
      <c r="E29" s="134">
        <v>45393</v>
      </c>
      <c r="F29" s="135">
        <v>45399</v>
      </c>
      <c r="G29" s="136">
        <v>275</v>
      </c>
      <c r="H29" t="s" s="131">
        <v>30</v>
      </c>
      <c r="I29" s="137">
        <v>45427</v>
      </c>
      <c r="J29" s="149">
        <v>275</v>
      </c>
      <c r="K29" s="136">
        <f>J29-G29</f>
        <v>0</v>
      </c>
      <c r="L29" t="s" s="139">
        <v>2116</v>
      </c>
    </row>
    <row r="30" ht="27.7" customHeight="1">
      <c r="A30" t="s" s="130">
        <v>39</v>
      </c>
      <c r="B30" t="s" s="131">
        <v>61</v>
      </c>
      <c r="C30" t="s" s="132">
        <v>578</v>
      </c>
      <c r="D30" t="s" s="133">
        <v>579</v>
      </c>
      <c r="E30" s="134">
        <v>45393</v>
      </c>
      <c r="F30" s="135">
        <v>45429</v>
      </c>
      <c r="G30" s="136">
        <v>1111.81</v>
      </c>
      <c r="H30" t="s" s="131">
        <v>30</v>
      </c>
      <c r="I30" s="137">
        <v>45427</v>
      </c>
      <c r="J30" s="149">
        <v>1111.81</v>
      </c>
      <c r="K30" s="136">
        <f>J30-G30</f>
        <v>0</v>
      </c>
      <c r="L30" t="s" s="139">
        <v>2117</v>
      </c>
    </row>
    <row r="31" ht="27.7" customHeight="1">
      <c r="A31" t="s" s="130">
        <v>39</v>
      </c>
      <c r="B31" t="s" s="131">
        <v>61</v>
      </c>
      <c r="C31" t="s" s="132">
        <v>578</v>
      </c>
      <c r="D31" t="s" s="133">
        <v>579</v>
      </c>
      <c r="E31" s="134">
        <v>45393</v>
      </c>
      <c r="F31" s="144">
        <v>45444</v>
      </c>
      <c r="G31" s="136">
        <v>1710.72</v>
      </c>
      <c r="H31" t="s" s="131">
        <v>488</v>
      </c>
      <c r="I31" s="137">
        <v>45446</v>
      </c>
      <c r="J31" s="149">
        <v>1710</v>
      </c>
      <c r="K31" s="136">
        <f>J31-G31</f>
        <v>-0.72</v>
      </c>
      <c r="L31" t="s" s="139">
        <v>2118</v>
      </c>
    </row>
    <row r="32" ht="27.7" customHeight="1">
      <c r="A32" t="s" s="130">
        <v>39</v>
      </c>
      <c r="B32" t="s" s="131">
        <v>61</v>
      </c>
      <c r="C32" t="s" s="132">
        <v>578</v>
      </c>
      <c r="D32" t="s" s="133">
        <v>579</v>
      </c>
      <c r="E32" s="134">
        <v>45393</v>
      </c>
      <c r="F32" s="144">
        <v>45459</v>
      </c>
      <c r="G32" s="136">
        <v>1710</v>
      </c>
      <c r="H32" t="s" s="131">
        <v>488</v>
      </c>
      <c r="I32" s="137">
        <v>45460</v>
      </c>
      <c r="J32" s="149">
        <v>1710</v>
      </c>
      <c r="K32" s="136">
        <f>J32-G32</f>
        <v>0</v>
      </c>
      <c r="L32" t="s" s="139">
        <v>2119</v>
      </c>
    </row>
    <row r="33" ht="27.7" customHeight="1">
      <c r="A33" t="s" s="130">
        <v>39</v>
      </c>
      <c r="B33" t="s" s="131">
        <v>61</v>
      </c>
      <c r="C33" t="s" s="132">
        <v>578</v>
      </c>
      <c r="D33" t="s" s="133">
        <v>579</v>
      </c>
      <c r="E33" s="134">
        <v>45393</v>
      </c>
      <c r="F33" s="144">
        <v>45474</v>
      </c>
      <c r="G33" s="136">
        <v>1710</v>
      </c>
      <c r="H33" t="s" s="131">
        <v>13</v>
      </c>
      <c r="I33" s="137">
        <v>45474</v>
      </c>
      <c r="J33" s="138">
        <v>1710</v>
      </c>
      <c r="K33" s="136">
        <f>J33-G33</f>
        <v>0</v>
      </c>
      <c r="L33" t="s" s="139">
        <v>2120</v>
      </c>
    </row>
    <row r="34" ht="27.7" customHeight="1">
      <c r="A34" t="s" s="130">
        <v>39</v>
      </c>
      <c r="B34" t="s" s="131">
        <v>97</v>
      </c>
      <c r="C34" t="s" s="132">
        <v>2028</v>
      </c>
      <c r="D34" t="s" s="133">
        <v>117</v>
      </c>
      <c r="E34" s="134">
        <v>45394</v>
      </c>
      <c r="F34" s="144">
        <v>45461</v>
      </c>
      <c r="G34" s="136">
        <v>9702.700000000001</v>
      </c>
      <c r="H34" t="s" s="131">
        <v>97</v>
      </c>
      <c r="I34" s="137">
        <v>45461</v>
      </c>
      <c r="J34" s="142">
        <v>9702.700000000001</v>
      </c>
      <c r="K34" s="136">
        <f>J34-G34</f>
        <v>0</v>
      </c>
      <c r="L34" t="s" s="139">
        <v>2121</v>
      </c>
    </row>
    <row r="35" ht="27.7" customHeight="1">
      <c r="A35" t="s" s="130">
        <v>39</v>
      </c>
      <c r="B35" t="s" s="131">
        <v>68</v>
      </c>
      <c r="C35" t="s" s="132">
        <v>936</v>
      </c>
      <c r="D35" t="s" s="133">
        <v>151</v>
      </c>
      <c r="E35" s="134">
        <v>45397</v>
      </c>
      <c r="F35" s="144">
        <v>45432</v>
      </c>
      <c r="G35" s="136">
        <v>4840</v>
      </c>
      <c r="H35" t="s" s="131">
        <v>68</v>
      </c>
      <c r="I35" s="137">
        <v>45436</v>
      </c>
      <c r="J35" s="142">
        <v>4840</v>
      </c>
      <c r="K35" s="136">
        <f>J35-G35</f>
        <v>0</v>
      </c>
      <c r="L35" t="s" s="139">
        <v>2122</v>
      </c>
    </row>
    <row r="36" ht="27.7" customHeight="1">
      <c r="A36" t="s" s="130">
        <v>39</v>
      </c>
      <c r="B36" t="s" s="131">
        <v>68</v>
      </c>
      <c r="C36" t="s" s="132">
        <v>936</v>
      </c>
      <c r="D36" t="s" s="133">
        <v>151</v>
      </c>
      <c r="E36" s="134">
        <v>45397</v>
      </c>
      <c r="F36" s="144">
        <v>45447</v>
      </c>
      <c r="G36" s="136">
        <v>4840</v>
      </c>
      <c r="H36" t="s" s="131">
        <v>68</v>
      </c>
      <c r="I36" s="137">
        <v>45447</v>
      </c>
      <c r="J36" s="142">
        <v>4840</v>
      </c>
      <c r="K36" s="136">
        <f>J36-G36</f>
        <v>0</v>
      </c>
      <c r="L36" t="s" s="139">
        <v>2123</v>
      </c>
    </row>
    <row r="37" ht="27.7" customHeight="1">
      <c r="A37" t="s" s="130">
        <v>39</v>
      </c>
      <c r="B37" t="s" s="131">
        <v>68</v>
      </c>
      <c r="C37" t="s" s="132">
        <v>936</v>
      </c>
      <c r="D37" t="s" s="133">
        <v>151</v>
      </c>
      <c r="E37" s="134">
        <v>45397</v>
      </c>
      <c r="F37" s="144">
        <v>45462</v>
      </c>
      <c r="G37" s="136">
        <v>4840</v>
      </c>
      <c r="H37" t="s" s="131">
        <v>68</v>
      </c>
      <c r="I37" s="137">
        <v>45461</v>
      </c>
      <c r="J37" s="142">
        <v>4840</v>
      </c>
      <c r="K37" s="136">
        <f>J37-G37</f>
        <v>0</v>
      </c>
      <c r="L37" t="s" s="139">
        <v>2124</v>
      </c>
    </row>
    <row r="38" ht="27.7" customHeight="1">
      <c r="A38" t="s" s="130">
        <v>39</v>
      </c>
      <c r="B38" t="s" s="131">
        <v>30</v>
      </c>
      <c r="C38" t="s" s="132">
        <v>578</v>
      </c>
      <c r="D38" t="s" s="133">
        <v>579</v>
      </c>
      <c r="E38" s="134">
        <v>45400</v>
      </c>
      <c r="F38" s="135">
        <v>45404</v>
      </c>
      <c r="G38" s="136">
        <v>124.89</v>
      </c>
      <c r="H38" t="s" s="131">
        <v>30</v>
      </c>
      <c r="I38" s="137">
        <v>45427</v>
      </c>
      <c r="J38" s="142">
        <v>124.89</v>
      </c>
      <c r="K38" s="136">
        <f>J38-G38</f>
        <v>0</v>
      </c>
      <c r="L38" t="s" s="139">
        <v>2125</v>
      </c>
    </row>
    <row r="39" ht="27.7" customHeight="1">
      <c r="A39" t="s" s="130">
        <v>39</v>
      </c>
      <c r="B39" t="s" s="131">
        <v>30</v>
      </c>
      <c r="C39" t="s" s="132">
        <v>578</v>
      </c>
      <c r="D39" t="s" s="133">
        <v>579</v>
      </c>
      <c r="E39" s="134">
        <v>45400</v>
      </c>
      <c r="F39" s="135">
        <v>45434</v>
      </c>
      <c r="G39" s="136">
        <v>3080</v>
      </c>
      <c r="H39" t="s" s="131">
        <v>30</v>
      </c>
      <c r="I39" s="137">
        <v>45429</v>
      </c>
      <c r="J39" s="142">
        <v>3080.65</v>
      </c>
      <c r="K39" s="136">
        <f>J39-G39</f>
        <v>0.65</v>
      </c>
      <c r="L39" t="s" s="139">
        <v>2126</v>
      </c>
    </row>
    <row r="40" ht="27.7" customHeight="1">
      <c r="A40" t="s" s="130">
        <v>39</v>
      </c>
      <c r="B40" t="s" s="131">
        <v>30</v>
      </c>
      <c r="C40" t="s" s="132">
        <v>1209</v>
      </c>
      <c r="D40" t="s" s="133">
        <v>379</v>
      </c>
      <c r="E40" s="134">
        <v>45400</v>
      </c>
      <c r="F40" s="135">
        <v>45434</v>
      </c>
      <c r="G40" s="151">
        <v>116.42</v>
      </c>
      <c r="H40" t="s" s="131">
        <v>30</v>
      </c>
      <c r="I40" s="137">
        <v>45428</v>
      </c>
      <c r="J40" s="142">
        <v>116.42</v>
      </c>
      <c r="K40" s="136">
        <f>J40-G40</f>
        <v>0</v>
      </c>
      <c r="L40" t="s" s="152">
        <v>2127</v>
      </c>
    </row>
    <row r="41" ht="27.7" customHeight="1">
      <c r="A41" t="s" s="130">
        <v>39</v>
      </c>
      <c r="B41" t="s" s="131">
        <v>30</v>
      </c>
      <c r="C41" t="s" s="132">
        <v>578</v>
      </c>
      <c r="D41" t="s" s="133">
        <v>579</v>
      </c>
      <c r="E41" s="134">
        <v>45400</v>
      </c>
      <c r="F41" s="135">
        <v>45449</v>
      </c>
      <c r="G41" s="136">
        <v>3080</v>
      </c>
      <c r="H41" t="s" s="131">
        <v>30</v>
      </c>
      <c r="I41" s="137">
        <v>45449</v>
      </c>
      <c r="J41" s="142">
        <v>3080</v>
      </c>
      <c r="K41" s="136">
        <f>J41-G41</f>
        <v>0</v>
      </c>
      <c r="L41" t="s" s="139">
        <v>2128</v>
      </c>
    </row>
    <row r="42" ht="27.7" customHeight="1">
      <c r="A42" t="s" s="130">
        <v>39</v>
      </c>
      <c r="B42" t="s" s="131">
        <v>30</v>
      </c>
      <c r="C42" t="s" s="132">
        <v>578</v>
      </c>
      <c r="D42" t="s" s="133">
        <v>579</v>
      </c>
      <c r="E42" s="134">
        <v>45400</v>
      </c>
      <c r="F42" s="144">
        <v>45464</v>
      </c>
      <c r="G42" s="136">
        <v>3080</v>
      </c>
      <c r="H42" t="s" s="131">
        <v>13</v>
      </c>
      <c r="I42" s="137">
        <v>45464</v>
      </c>
      <c r="J42" s="138">
        <v>3080</v>
      </c>
      <c r="K42" s="136">
        <f>J42-G42</f>
        <v>0</v>
      </c>
      <c r="L42" t="s" s="139">
        <v>2129</v>
      </c>
    </row>
    <row r="43" ht="27.7" customHeight="1">
      <c r="A43" t="s" s="130">
        <v>39</v>
      </c>
      <c r="B43" t="s" s="131">
        <v>30</v>
      </c>
      <c r="C43" t="s" s="132">
        <v>578</v>
      </c>
      <c r="D43" t="s" s="133">
        <v>579</v>
      </c>
      <c r="E43" s="134">
        <v>45400</v>
      </c>
      <c r="F43" s="144">
        <v>45479</v>
      </c>
      <c r="G43" s="136">
        <v>3080</v>
      </c>
      <c r="H43" t="s" s="131">
        <v>13</v>
      </c>
      <c r="I43" s="137">
        <v>45483</v>
      </c>
      <c r="J43" s="138">
        <v>3080</v>
      </c>
      <c r="K43" s="136">
        <f>J43-G43</f>
        <v>0</v>
      </c>
      <c r="L43" t="s" s="139">
        <v>2130</v>
      </c>
    </row>
    <row r="44" ht="27.7" customHeight="1">
      <c r="A44" t="s" s="130">
        <v>39</v>
      </c>
      <c r="B44" t="s" s="131">
        <v>30</v>
      </c>
      <c r="C44" t="s" s="132">
        <v>578</v>
      </c>
      <c r="D44" t="s" s="133">
        <v>579</v>
      </c>
      <c r="E44" s="134">
        <v>45400</v>
      </c>
      <c r="F44" s="144">
        <v>45494</v>
      </c>
      <c r="G44" s="136">
        <v>3080</v>
      </c>
      <c r="H44" t="s" s="131">
        <v>13</v>
      </c>
      <c r="I44" s="137">
        <v>45495</v>
      </c>
      <c r="J44" s="138">
        <v>3080</v>
      </c>
      <c r="K44" s="136">
        <f>J44-G44</f>
        <v>0</v>
      </c>
      <c r="L44" t="s" s="139">
        <v>2131</v>
      </c>
    </row>
    <row r="45" ht="27.7" customHeight="1">
      <c r="A45" t="s" s="130">
        <v>39</v>
      </c>
      <c r="B45" t="s" s="131">
        <v>420</v>
      </c>
      <c r="C45" t="s" s="132">
        <v>2067</v>
      </c>
      <c r="D45" t="s" s="133">
        <v>539</v>
      </c>
      <c r="E45" s="134">
        <v>45404</v>
      </c>
      <c r="F45" s="153">
        <v>45404</v>
      </c>
      <c r="G45" s="136">
        <v>4160</v>
      </c>
      <c r="H45" t="s" s="131">
        <v>13</v>
      </c>
      <c r="I45" s="137">
        <v>45407</v>
      </c>
      <c r="J45" s="138">
        <v>4160</v>
      </c>
      <c r="K45" s="136">
        <f>J45-G45</f>
        <v>0</v>
      </c>
      <c r="L45" t="s" s="139">
        <v>2132</v>
      </c>
    </row>
    <row r="46" ht="27.7" customHeight="1">
      <c r="A46" t="s" s="154">
        <v>1121</v>
      </c>
      <c r="B46" t="s" s="131">
        <v>488</v>
      </c>
      <c r="C46" t="s" s="155">
        <v>2133</v>
      </c>
      <c r="D46" t="s" s="133">
        <v>640</v>
      </c>
      <c r="E46" s="134">
        <v>45405</v>
      </c>
      <c r="F46" s="140">
        <v>45435</v>
      </c>
      <c r="G46" s="136">
        <v>2830.8</v>
      </c>
      <c r="H46" t="s" s="131">
        <v>13</v>
      </c>
      <c r="I46" s="144"/>
      <c r="J46" s="156"/>
      <c r="K46" s="136">
        <f>J46-G46</f>
        <v>-2830.8</v>
      </c>
      <c r="L46" t="s" s="139">
        <v>2134</v>
      </c>
    </row>
    <row r="47" ht="27.7" customHeight="1">
      <c r="A47" t="s" s="130">
        <v>39</v>
      </c>
      <c r="B47" t="s" s="131">
        <v>488</v>
      </c>
      <c r="C47" t="s" s="132">
        <v>1373</v>
      </c>
      <c r="D47" t="s" s="133">
        <v>117</v>
      </c>
      <c r="E47" s="134">
        <v>45405</v>
      </c>
      <c r="F47" s="135">
        <v>45435</v>
      </c>
      <c r="G47" s="136">
        <v>4854.19</v>
      </c>
      <c r="H47" t="s" s="131">
        <v>488</v>
      </c>
      <c r="I47" s="137">
        <v>45435</v>
      </c>
      <c r="J47" s="142">
        <v>4854.19</v>
      </c>
      <c r="K47" s="136">
        <f>J47-G47</f>
        <v>0</v>
      </c>
      <c r="L47" t="s" s="139">
        <v>2135</v>
      </c>
    </row>
    <row r="48" ht="27.7" customHeight="1">
      <c r="A48" t="s" s="130">
        <v>39</v>
      </c>
      <c r="B48" t="s" s="131">
        <v>488</v>
      </c>
      <c r="C48" t="s" s="132">
        <v>1459</v>
      </c>
      <c r="D48" t="s" s="133">
        <v>1460</v>
      </c>
      <c r="E48" s="134">
        <v>45405</v>
      </c>
      <c r="F48" s="135">
        <v>45435</v>
      </c>
      <c r="G48" s="136">
        <v>5860.2</v>
      </c>
      <c r="H48" t="s" s="131">
        <v>488</v>
      </c>
      <c r="I48" s="137">
        <v>45448</v>
      </c>
      <c r="J48" s="142">
        <v>5860.2</v>
      </c>
      <c r="K48" s="136">
        <f>J48-G48</f>
        <v>0</v>
      </c>
      <c r="L48" t="s" s="139">
        <v>2136</v>
      </c>
    </row>
    <row r="49" ht="27.7" customHeight="1">
      <c r="A49" t="s" s="130">
        <v>39</v>
      </c>
      <c r="B49" t="s" s="131">
        <v>488</v>
      </c>
      <c r="C49" t="s" s="132">
        <v>1811</v>
      </c>
      <c r="D49" t="s" s="133">
        <v>468</v>
      </c>
      <c r="E49" s="134">
        <v>45405</v>
      </c>
      <c r="F49" s="137">
        <v>45435</v>
      </c>
      <c r="G49" s="136">
        <v>2856.15</v>
      </c>
      <c r="H49" t="s" s="131">
        <v>488</v>
      </c>
      <c r="I49" s="137">
        <v>45435</v>
      </c>
      <c r="J49" s="142">
        <v>2856.15</v>
      </c>
      <c r="K49" s="136">
        <f>J49-G49</f>
        <v>0</v>
      </c>
      <c r="L49" t="s" s="139">
        <v>2135</v>
      </c>
    </row>
    <row r="50" ht="27.7" customHeight="1">
      <c r="A50" t="s" s="130">
        <v>39</v>
      </c>
      <c r="B50" t="s" s="131">
        <v>30</v>
      </c>
      <c r="C50" t="s" s="146">
        <v>1535</v>
      </c>
      <c r="D50" t="s" s="133">
        <v>1533</v>
      </c>
      <c r="E50" s="134">
        <v>45411</v>
      </c>
      <c r="F50" s="135">
        <v>45427</v>
      </c>
      <c r="G50" s="136">
        <v>245</v>
      </c>
      <c r="H50" t="s" s="131">
        <v>488</v>
      </c>
      <c r="I50" s="137">
        <v>45446</v>
      </c>
      <c r="J50" s="149">
        <v>245</v>
      </c>
      <c r="K50" s="136">
        <f>J50-G50</f>
        <v>0</v>
      </c>
      <c r="L50" t="s" s="139">
        <v>2137</v>
      </c>
    </row>
    <row r="51" ht="27.7" customHeight="1">
      <c r="A51" t="s" s="130">
        <v>39</v>
      </c>
      <c r="B51" t="s" s="131">
        <v>30</v>
      </c>
      <c r="C51" t="s" s="146">
        <v>1535</v>
      </c>
      <c r="D51" t="s" s="133">
        <v>1533</v>
      </c>
      <c r="E51" s="134">
        <v>45411</v>
      </c>
      <c r="F51" s="135">
        <v>45444</v>
      </c>
      <c r="G51" s="136">
        <v>4934</v>
      </c>
      <c r="H51" t="s" s="131">
        <v>488</v>
      </c>
      <c r="I51" s="137">
        <v>45446</v>
      </c>
      <c r="J51" s="149">
        <v>4934</v>
      </c>
      <c r="K51" s="136">
        <f>J51-G51</f>
        <v>0</v>
      </c>
      <c r="L51" t="s" s="139">
        <v>2138</v>
      </c>
    </row>
    <row r="52" ht="27.7" customHeight="1">
      <c r="A52" t="s" s="130">
        <v>39</v>
      </c>
      <c r="B52" t="s" s="131">
        <v>30</v>
      </c>
      <c r="C52" t="s" s="132">
        <v>1535</v>
      </c>
      <c r="D52" t="s" s="133">
        <v>1533</v>
      </c>
      <c r="E52" s="134">
        <v>45411</v>
      </c>
      <c r="F52" s="144">
        <v>45459</v>
      </c>
      <c r="G52" s="136">
        <v>4934</v>
      </c>
      <c r="H52" t="s" s="131">
        <v>30</v>
      </c>
      <c r="I52" s="137">
        <v>45488</v>
      </c>
      <c r="J52" s="142">
        <v>14802</v>
      </c>
      <c r="K52" s="136">
        <f>J52-G52</f>
        <v>9868</v>
      </c>
      <c r="L52" t="s" s="139">
        <v>2139</v>
      </c>
    </row>
    <row r="53" ht="27.7" customHeight="1">
      <c r="A53" t="s" s="130">
        <v>39</v>
      </c>
      <c r="B53" t="s" s="131">
        <v>30</v>
      </c>
      <c r="C53" t="s" s="132">
        <v>1535</v>
      </c>
      <c r="D53" t="s" s="133">
        <v>1533</v>
      </c>
      <c r="E53" s="134">
        <v>45411</v>
      </c>
      <c r="F53" s="144">
        <v>45474</v>
      </c>
      <c r="G53" s="136">
        <v>4934</v>
      </c>
      <c r="H53" t="s" s="131">
        <v>30</v>
      </c>
      <c r="I53" s="137">
        <v>45488</v>
      </c>
      <c r="J53" s="157">
        <v>9868</v>
      </c>
      <c r="K53" s="136">
        <f>J53-G53</f>
        <v>4934</v>
      </c>
      <c r="L53" t="s" s="139">
        <v>2140</v>
      </c>
    </row>
    <row r="54" ht="27.7" customHeight="1">
      <c r="A54" t="s" s="130">
        <v>39</v>
      </c>
      <c r="B54" t="s" s="131">
        <v>30</v>
      </c>
      <c r="C54" t="s" s="132">
        <v>1535</v>
      </c>
      <c r="D54" t="s" s="133">
        <v>1533</v>
      </c>
      <c r="E54" s="134">
        <v>45411</v>
      </c>
      <c r="F54" s="144">
        <v>45489</v>
      </c>
      <c r="G54" s="136">
        <v>4934</v>
      </c>
      <c r="H54" t="s" s="131">
        <v>30</v>
      </c>
      <c r="I54" s="137">
        <v>45488</v>
      </c>
      <c r="J54" s="157">
        <v>4934</v>
      </c>
      <c r="K54" s="136">
        <f>J54-G54</f>
        <v>0</v>
      </c>
      <c r="L54" t="s" s="139">
        <v>2141</v>
      </c>
    </row>
    <row r="55" ht="27.7" customHeight="1">
      <c r="A55" t="s" s="130">
        <v>39</v>
      </c>
      <c r="B55" t="s" s="131">
        <v>29</v>
      </c>
      <c r="C55" t="s" s="132">
        <v>2106</v>
      </c>
      <c r="D55" t="s" s="133">
        <v>117</v>
      </c>
      <c r="E55" s="134">
        <v>45415</v>
      </c>
      <c r="F55" s="144">
        <v>45452</v>
      </c>
      <c r="G55" s="136">
        <v>2299.66</v>
      </c>
      <c r="H55" t="s" s="131">
        <v>30</v>
      </c>
      <c r="I55" s="137">
        <v>45456</v>
      </c>
      <c r="J55" s="149">
        <v>2299.66</v>
      </c>
      <c r="K55" s="136">
        <f>J55-G55</f>
        <v>0</v>
      </c>
      <c r="L55" t="s" s="139">
        <v>2142</v>
      </c>
    </row>
    <row r="56" ht="27.7" customHeight="1">
      <c r="A56" t="s" s="130">
        <v>39</v>
      </c>
      <c r="B56" t="s" s="131">
        <v>29</v>
      </c>
      <c r="C56" t="s" s="132">
        <v>2106</v>
      </c>
      <c r="D56" t="s" s="133">
        <v>117</v>
      </c>
      <c r="E56" s="134">
        <v>45415</v>
      </c>
      <c r="F56" s="144">
        <v>45467</v>
      </c>
      <c r="G56" s="136">
        <v>2292</v>
      </c>
      <c r="H56" t="s" s="131">
        <v>29</v>
      </c>
      <c r="I56" s="137">
        <v>45471</v>
      </c>
      <c r="J56" s="142">
        <v>2292</v>
      </c>
      <c r="K56" s="136">
        <f>J56-G56</f>
        <v>0</v>
      </c>
      <c r="L56" t="s" s="139">
        <v>2143</v>
      </c>
    </row>
    <row r="57" ht="27.7" customHeight="1">
      <c r="A57" t="s" s="130">
        <v>39</v>
      </c>
      <c r="B57" t="s" s="131">
        <v>29</v>
      </c>
      <c r="C57" t="s" s="132">
        <v>2106</v>
      </c>
      <c r="D57" t="s" s="133">
        <v>117</v>
      </c>
      <c r="E57" s="134">
        <v>45415</v>
      </c>
      <c r="F57" s="135">
        <v>45482</v>
      </c>
      <c r="G57" s="136">
        <v>2292</v>
      </c>
      <c r="H57" t="s" s="131">
        <v>33</v>
      </c>
      <c r="I57" s="137">
        <v>45505</v>
      </c>
      <c r="J57" s="149">
        <v>2292</v>
      </c>
      <c r="K57" s="136">
        <f>J57-G57</f>
        <v>0</v>
      </c>
      <c r="L57" t="s" s="139">
        <v>2144</v>
      </c>
    </row>
    <row r="58" ht="27.7" customHeight="1">
      <c r="A58" t="s" s="130">
        <v>96</v>
      </c>
      <c r="B58" t="s" s="131">
        <v>420</v>
      </c>
      <c r="C58" t="s" s="132">
        <v>2067</v>
      </c>
      <c r="D58" t="s" s="133">
        <v>539</v>
      </c>
      <c r="E58" s="134">
        <v>45419</v>
      </c>
      <c r="F58" s="153">
        <v>45419</v>
      </c>
      <c r="G58" s="136">
        <v>4160</v>
      </c>
      <c r="H58" t="s" s="131">
        <v>420</v>
      </c>
      <c r="I58" s="137"/>
      <c r="J58" s="142">
        <v>4160</v>
      </c>
      <c r="K58" s="136">
        <f>J58-G58</f>
        <v>0</v>
      </c>
      <c r="L58" t="s" s="139">
        <v>2145</v>
      </c>
    </row>
    <row r="59" ht="27.7" customHeight="1">
      <c r="A59" t="s" s="130">
        <v>39</v>
      </c>
      <c r="B59" t="s" s="131">
        <v>97</v>
      </c>
      <c r="C59" t="s" s="132">
        <v>122</v>
      </c>
      <c r="D59" t="s" s="133">
        <v>15</v>
      </c>
      <c r="E59" s="134">
        <v>45420</v>
      </c>
      <c r="F59" s="144">
        <v>45457</v>
      </c>
      <c r="G59" s="136">
        <v>8856.200000000001</v>
      </c>
      <c r="H59" t="s" s="131">
        <v>97</v>
      </c>
      <c r="I59" s="137">
        <v>45464</v>
      </c>
      <c r="J59" s="142">
        <v>8856.200000000001</v>
      </c>
      <c r="K59" s="136">
        <f>J59-G59</f>
        <v>0</v>
      </c>
      <c r="L59" t="s" s="139">
        <v>2146</v>
      </c>
    </row>
    <row r="60" ht="27.7" customHeight="1">
      <c r="A60" t="s" s="130">
        <v>39</v>
      </c>
      <c r="B60" t="s" s="131">
        <v>97</v>
      </c>
      <c r="C60" t="s" s="132">
        <v>122</v>
      </c>
      <c r="D60" t="s" s="133">
        <v>15</v>
      </c>
      <c r="E60" s="134">
        <v>45420</v>
      </c>
      <c r="F60" s="144">
        <v>45487</v>
      </c>
      <c r="G60" s="136">
        <v>8856</v>
      </c>
      <c r="H60" t="s" s="131">
        <v>97</v>
      </c>
      <c r="I60" s="137">
        <v>45489</v>
      </c>
      <c r="J60" s="142">
        <v>8856.200000000001</v>
      </c>
      <c r="K60" s="136">
        <f>J60-G60</f>
        <v>0.2</v>
      </c>
      <c r="L60" t="s" s="139">
        <v>2147</v>
      </c>
    </row>
    <row r="61" ht="27.7" customHeight="1">
      <c r="A61" t="s" s="130">
        <v>39</v>
      </c>
      <c r="B61" t="s" s="131">
        <v>97</v>
      </c>
      <c r="C61" t="s" s="132">
        <v>122</v>
      </c>
      <c r="D61" t="s" s="133">
        <v>15</v>
      </c>
      <c r="E61" s="134">
        <v>45420</v>
      </c>
      <c r="F61" s="144">
        <v>45517</v>
      </c>
      <c r="G61" s="136">
        <v>8856</v>
      </c>
      <c r="H61" t="s" s="131">
        <v>97</v>
      </c>
      <c r="I61" s="137">
        <v>45520</v>
      </c>
      <c r="J61" s="142">
        <v>8856</v>
      </c>
      <c r="K61" s="136">
        <f>J61-G61</f>
        <v>0</v>
      </c>
      <c r="L61" t="s" s="139">
        <v>2148</v>
      </c>
    </row>
    <row r="62" ht="27.7" customHeight="1">
      <c r="A62" t="s" s="130">
        <v>39</v>
      </c>
      <c r="B62" t="s" s="131">
        <v>68</v>
      </c>
      <c r="C62" t="s" s="132">
        <v>1851</v>
      </c>
      <c r="D62" t="s" s="133">
        <v>683</v>
      </c>
      <c r="E62" s="134">
        <v>45425</v>
      </c>
      <c r="F62" s="137">
        <v>45460</v>
      </c>
      <c r="G62" s="136">
        <v>3043.6</v>
      </c>
      <c r="H62" t="s" s="131">
        <v>68</v>
      </c>
      <c r="I62" s="137">
        <v>45457</v>
      </c>
      <c r="J62" s="142">
        <v>3043.6</v>
      </c>
      <c r="K62" s="136">
        <f>J62-G62</f>
        <v>0</v>
      </c>
      <c r="L62" t="s" s="139">
        <v>2149</v>
      </c>
    </row>
    <row r="63" ht="27.7" customHeight="1">
      <c r="A63" t="s" s="130">
        <v>39</v>
      </c>
      <c r="B63" t="s" s="131">
        <v>68</v>
      </c>
      <c r="C63" t="s" s="132">
        <v>2028</v>
      </c>
      <c r="D63" t="s" s="133">
        <v>117</v>
      </c>
      <c r="E63" s="134">
        <v>45425</v>
      </c>
      <c r="F63" s="144">
        <v>45475</v>
      </c>
      <c r="G63" s="136">
        <v>9701.200000000001</v>
      </c>
      <c r="H63" t="s" s="131">
        <v>40</v>
      </c>
      <c r="I63" s="137">
        <v>45475</v>
      </c>
      <c r="J63" s="149">
        <v>9701.200000000001</v>
      </c>
      <c r="K63" s="136">
        <f>J63-G63</f>
        <v>0</v>
      </c>
      <c r="L63" t="s" s="139">
        <v>2047</v>
      </c>
    </row>
    <row r="64" ht="27.7" customHeight="1">
      <c r="A64" t="s" s="130">
        <v>39</v>
      </c>
      <c r="B64" t="s" s="131">
        <v>68</v>
      </c>
      <c r="C64" t="s" s="132">
        <v>1851</v>
      </c>
      <c r="D64" t="s" s="133">
        <v>683</v>
      </c>
      <c r="E64" s="134">
        <v>45425</v>
      </c>
      <c r="F64" s="144">
        <v>45475</v>
      </c>
      <c r="G64" s="136">
        <v>6084</v>
      </c>
      <c r="H64" t="s" s="131">
        <v>2150</v>
      </c>
      <c r="I64" s="144"/>
      <c r="J64" s="145"/>
      <c r="K64" s="136"/>
      <c r="L64" t="s" s="139">
        <v>2151</v>
      </c>
    </row>
    <row r="65" ht="27.7" customHeight="1">
      <c r="A65" t="s" s="130">
        <v>39</v>
      </c>
      <c r="B65" t="s" s="131">
        <v>21</v>
      </c>
      <c r="C65" t="s" s="132">
        <v>1178</v>
      </c>
      <c r="D65" t="s" s="133">
        <v>117</v>
      </c>
      <c r="E65" s="134">
        <v>45429</v>
      </c>
      <c r="F65" s="144">
        <v>45437</v>
      </c>
      <c r="G65" s="136">
        <v>380</v>
      </c>
      <c r="H65" t="s" s="131">
        <v>21</v>
      </c>
      <c r="I65" s="137">
        <v>45447</v>
      </c>
      <c r="J65" s="142">
        <v>380</v>
      </c>
      <c r="K65" s="136">
        <f>J65-G65</f>
        <v>0</v>
      </c>
      <c r="L65" t="s" s="139">
        <v>2152</v>
      </c>
    </row>
    <row r="66" ht="27.7" customHeight="1">
      <c r="A66" t="s" s="130">
        <v>39</v>
      </c>
      <c r="B66" t="s" s="131">
        <v>21</v>
      </c>
      <c r="C66" t="s" s="132">
        <v>1641</v>
      </c>
      <c r="D66" t="s" s="133">
        <v>72</v>
      </c>
      <c r="E66" s="134">
        <v>45429</v>
      </c>
      <c r="F66" s="144">
        <v>45437</v>
      </c>
      <c r="G66" s="136">
        <v>450</v>
      </c>
      <c r="H66" t="s" s="131">
        <v>21</v>
      </c>
      <c r="I66" s="137">
        <v>45440</v>
      </c>
      <c r="J66" s="142">
        <v>450</v>
      </c>
      <c r="K66" s="136">
        <f>J66-G66</f>
        <v>0</v>
      </c>
      <c r="L66" t="s" s="139">
        <v>2152</v>
      </c>
    </row>
    <row r="67" ht="27.7" customHeight="1">
      <c r="A67" t="s" s="130">
        <v>39</v>
      </c>
      <c r="B67" t="s" s="131">
        <v>21</v>
      </c>
      <c r="C67" t="s" s="132">
        <v>1535</v>
      </c>
      <c r="D67" t="s" s="133">
        <v>1533</v>
      </c>
      <c r="E67" s="134">
        <v>45429</v>
      </c>
      <c r="F67" s="135">
        <v>45444</v>
      </c>
      <c r="G67" s="136">
        <v>910</v>
      </c>
      <c r="H67" t="s" s="131">
        <v>21</v>
      </c>
      <c r="I67" s="137">
        <v>45447</v>
      </c>
      <c r="J67" s="142">
        <v>910</v>
      </c>
      <c r="K67" s="136">
        <f>J67-G67</f>
        <v>0</v>
      </c>
      <c r="L67" t="s" s="139">
        <v>2153</v>
      </c>
    </row>
    <row r="68" ht="27.7" customHeight="1">
      <c r="A68" t="s" s="130">
        <v>39</v>
      </c>
      <c r="B68" t="s" s="131">
        <v>21</v>
      </c>
      <c r="C68" t="s" s="132">
        <v>1178</v>
      </c>
      <c r="D68" t="s" s="133">
        <v>117</v>
      </c>
      <c r="E68" s="134">
        <v>45429</v>
      </c>
      <c r="F68" s="144">
        <v>45465</v>
      </c>
      <c r="G68" s="136">
        <v>5340</v>
      </c>
      <c r="H68" t="s" s="131">
        <v>36</v>
      </c>
      <c r="I68" s="137">
        <v>45471</v>
      </c>
      <c r="J68" s="149">
        <v>5340</v>
      </c>
      <c r="K68" s="136">
        <f>J68-G68</f>
        <v>0</v>
      </c>
      <c r="L68" t="s" s="139">
        <v>2154</v>
      </c>
    </row>
    <row r="69" ht="27.7" customHeight="1">
      <c r="A69" t="s" s="130">
        <v>39</v>
      </c>
      <c r="B69" t="s" s="131">
        <v>21</v>
      </c>
      <c r="C69" t="s" s="132">
        <v>1535</v>
      </c>
      <c r="D69" t="s" s="133">
        <v>1533</v>
      </c>
      <c r="E69" s="134">
        <v>45429</v>
      </c>
      <c r="F69" s="144">
        <v>45465</v>
      </c>
      <c r="G69" s="136">
        <v>9502</v>
      </c>
      <c r="H69" t="s" s="131">
        <v>36</v>
      </c>
      <c r="I69" s="137">
        <v>45472</v>
      </c>
      <c r="J69" s="149">
        <v>9502</v>
      </c>
      <c r="K69" s="136">
        <f>J69-G69</f>
        <v>0</v>
      </c>
      <c r="L69" t="s" s="139">
        <v>2155</v>
      </c>
    </row>
    <row r="70" ht="27.7" customHeight="1">
      <c r="A70" t="s" s="130">
        <v>39</v>
      </c>
      <c r="B70" t="s" s="131">
        <v>21</v>
      </c>
      <c r="C70" t="s" s="132">
        <v>1641</v>
      </c>
      <c r="D70" t="s" s="133">
        <v>72</v>
      </c>
      <c r="E70" s="134">
        <v>45429</v>
      </c>
      <c r="F70" s="144">
        <v>45465</v>
      </c>
      <c r="G70" s="136">
        <v>2895.87</v>
      </c>
      <c r="H70" t="s" s="131">
        <v>36</v>
      </c>
      <c r="I70" s="137">
        <v>45473</v>
      </c>
      <c r="J70" s="149">
        <v>2895.87</v>
      </c>
      <c r="K70" s="136">
        <f>J70-G70</f>
        <v>0</v>
      </c>
      <c r="L70" t="s" s="139">
        <v>2156</v>
      </c>
    </row>
    <row r="71" ht="27.7" customHeight="1">
      <c r="A71" t="s" s="130">
        <v>39</v>
      </c>
      <c r="B71" t="s" s="131">
        <v>21</v>
      </c>
      <c r="C71" t="s" s="132">
        <v>1641</v>
      </c>
      <c r="D71" t="s" s="133">
        <v>72</v>
      </c>
      <c r="E71" s="134">
        <v>45429</v>
      </c>
      <c r="F71" s="135">
        <v>45480</v>
      </c>
      <c r="G71" s="136">
        <v>2894</v>
      </c>
      <c r="H71" t="s" s="131">
        <v>21</v>
      </c>
      <c r="I71" s="137">
        <v>45496</v>
      </c>
      <c r="J71" s="142">
        <v>5788</v>
      </c>
      <c r="K71" s="136">
        <f>J71-G71</f>
        <v>2894</v>
      </c>
      <c r="L71" t="s" s="139">
        <v>2157</v>
      </c>
    </row>
    <row r="72" ht="27.7" customHeight="1">
      <c r="A72" t="s" s="130">
        <v>39</v>
      </c>
      <c r="B72" t="s" s="131">
        <v>21</v>
      </c>
      <c r="C72" t="s" s="132">
        <v>1535</v>
      </c>
      <c r="D72" t="s" s="133">
        <v>1533</v>
      </c>
      <c r="E72" s="134">
        <v>45429</v>
      </c>
      <c r="F72" s="135">
        <v>45495</v>
      </c>
      <c r="G72" s="136">
        <v>9502</v>
      </c>
      <c r="H72" t="s" s="131">
        <v>21</v>
      </c>
      <c r="I72" s="137">
        <v>45496</v>
      </c>
      <c r="J72" s="142">
        <v>9502</v>
      </c>
      <c r="K72" s="136">
        <f>J72-G72</f>
        <v>0</v>
      </c>
      <c r="L72" t="s" s="139">
        <v>2158</v>
      </c>
    </row>
    <row r="73" ht="27.7" customHeight="1">
      <c r="A73" t="s" s="130">
        <v>39</v>
      </c>
      <c r="B73" t="s" s="131">
        <v>21</v>
      </c>
      <c r="C73" t="s" s="132">
        <v>1641</v>
      </c>
      <c r="D73" t="s" s="133">
        <v>72</v>
      </c>
      <c r="E73" s="134">
        <v>45429</v>
      </c>
      <c r="F73" s="135">
        <v>45495</v>
      </c>
      <c r="G73" s="136">
        <v>2894</v>
      </c>
      <c r="H73" t="s" s="131">
        <v>21</v>
      </c>
      <c r="I73" s="137">
        <v>45496</v>
      </c>
      <c r="J73" s="157">
        <v>2894</v>
      </c>
      <c r="K73" s="136">
        <f>J73-G73</f>
        <v>0</v>
      </c>
      <c r="L73" t="s" s="139">
        <v>2159</v>
      </c>
    </row>
    <row r="74" ht="27.7" customHeight="1">
      <c r="A74" t="s" s="130">
        <v>39</v>
      </c>
      <c r="B74" t="s" s="131">
        <v>21</v>
      </c>
      <c r="C74" t="s" s="132">
        <v>1641</v>
      </c>
      <c r="D74" t="s" s="133">
        <v>72</v>
      </c>
      <c r="E74" s="134">
        <v>45429</v>
      </c>
      <c r="F74" s="144">
        <v>45510</v>
      </c>
      <c r="G74" s="136">
        <v>2894</v>
      </c>
      <c r="H74" t="s" s="131">
        <v>21</v>
      </c>
      <c r="I74" s="137">
        <v>45498</v>
      </c>
      <c r="J74" s="142">
        <v>2895</v>
      </c>
      <c r="K74" s="136">
        <f>J74-G74</f>
        <v>1</v>
      </c>
      <c r="L74" t="s" s="139">
        <v>2160</v>
      </c>
    </row>
    <row r="75" ht="27.7" customHeight="1">
      <c r="A75" t="s" s="130">
        <v>39</v>
      </c>
      <c r="B75" t="s" s="131">
        <v>21</v>
      </c>
      <c r="C75" t="s" s="150">
        <v>1535</v>
      </c>
      <c r="D75" t="s" s="133">
        <v>1533</v>
      </c>
      <c r="E75" s="134">
        <v>45429</v>
      </c>
      <c r="F75" s="144">
        <v>45525</v>
      </c>
      <c r="G75" s="136">
        <v>9501.370000000001</v>
      </c>
      <c r="H75" t="s" s="131">
        <v>97</v>
      </c>
      <c r="I75" s="137">
        <v>45524</v>
      </c>
      <c r="J75" s="149">
        <v>9501.370000000001</v>
      </c>
      <c r="K75" s="136">
        <f>J75-G75</f>
        <v>0</v>
      </c>
      <c r="L75" t="s" s="139">
        <v>2148</v>
      </c>
    </row>
    <row r="76" ht="27.7" customHeight="1">
      <c r="A76" t="s" s="130">
        <v>39</v>
      </c>
      <c r="B76" t="s" s="131">
        <v>21</v>
      </c>
      <c r="C76" t="s" s="132">
        <v>1641</v>
      </c>
      <c r="D76" t="s" s="133">
        <v>72</v>
      </c>
      <c r="E76" s="134">
        <v>45429</v>
      </c>
      <c r="F76" s="144">
        <v>45525</v>
      </c>
      <c r="G76" s="136">
        <v>2894</v>
      </c>
      <c r="H76" t="s" s="131">
        <v>13</v>
      </c>
      <c r="I76" s="137">
        <v>45530</v>
      </c>
      <c r="J76" s="138">
        <v>2894</v>
      </c>
      <c r="K76" s="136">
        <f>J76-G76</f>
        <v>0</v>
      </c>
      <c r="L76" t="s" s="139">
        <v>2131</v>
      </c>
    </row>
    <row r="77" ht="27.7" customHeight="1">
      <c r="A77" t="s" s="130">
        <v>517</v>
      </c>
      <c r="B77" t="s" s="131">
        <v>420</v>
      </c>
      <c r="C77" t="s" s="143">
        <v>2067</v>
      </c>
      <c r="D77" t="s" s="133">
        <v>539</v>
      </c>
      <c r="E77" s="134">
        <v>45434</v>
      </c>
      <c r="F77" s="144">
        <v>45434</v>
      </c>
      <c r="G77" s="136">
        <v>4160</v>
      </c>
      <c r="H77" s="158"/>
      <c r="I77" s="144"/>
      <c r="J77" s="145"/>
      <c r="K77" s="136"/>
      <c r="L77" t="s" s="139">
        <v>2161</v>
      </c>
    </row>
    <row r="78" ht="27.7" customHeight="1">
      <c r="A78" t="s" s="130">
        <v>39</v>
      </c>
      <c r="B78" t="s" s="131">
        <v>97</v>
      </c>
      <c r="C78" t="s" s="132">
        <v>2028</v>
      </c>
      <c r="D78" t="s" s="133">
        <v>117</v>
      </c>
      <c r="E78" s="134">
        <v>45449</v>
      </c>
      <c r="F78" s="144">
        <v>45463</v>
      </c>
      <c r="G78" s="136">
        <v>5691.12</v>
      </c>
      <c r="H78" t="s" s="131">
        <v>40</v>
      </c>
      <c r="I78" s="137">
        <v>45462</v>
      </c>
      <c r="J78" s="142">
        <v>5691.12</v>
      </c>
      <c r="K78" s="136">
        <f>J78-G78</f>
        <v>0</v>
      </c>
      <c r="L78" t="s" s="139">
        <v>2162</v>
      </c>
    </row>
    <row r="79" ht="27.7" customHeight="1">
      <c r="A79" t="s" s="130">
        <v>39</v>
      </c>
      <c r="B79" t="s" s="131">
        <v>40</v>
      </c>
      <c r="C79" t="s" s="132">
        <v>1523</v>
      </c>
      <c r="D79" t="s" s="133">
        <v>1500</v>
      </c>
      <c r="E79" s="134">
        <v>45449</v>
      </c>
      <c r="F79" s="144">
        <v>45484</v>
      </c>
      <c r="G79" s="136">
        <v>2438.27</v>
      </c>
      <c r="H79" t="s" s="131">
        <v>40</v>
      </c>
      <c r="I79" s="137">
        <v>45484</v>
      </c>
      <c r="J79" s="142">
        <v>2350</v>
      </c>
      <c r="K79" s="136">
        <f>J79-G79</f>
        <v>-88.27</v>
      </c>
      <c r="L79" t="s" s="139">
        <v>2163</v>
      </c>
    </row>
    <row r="80" ht="27.7" customHeight="1">
      <c r="A80" t="s" s="130">
        <v>39</v>
      </c>
      <c r="B80" t="s" s="131">
        <v>40</v>
      </c>
      <c r="C80" t="s" s="132">
        <v>1523</v>
      </c>
      <c r="D80" t="s" s="133">
        <v>1500</v>
      </c>
      <c r="E80" s="134">
        <v>45449</v>
      </c>
      <c r="F80" s="144">
        <v>45514</v>
      </c>
      <c r="G80" s="136">
        <v>2380</v>
      </c>
      <c r="H80" t="s" s="131">
        <v>13</v>
      </c>
      <c r="I80" s="137">
        <v>45516</v>
      </c>
      <c r="J80" s="138">
        <v>2500</v>
      </c>
      <c r="K80" s="136">
        <f>J80-G80</f>
        <v>120</v>
      </c>
      <c r="L80" t="s" s="139">
        <v>2164</v>
      </c>
    </row>
    <row r="81" ht="27.7" customHeight="1">
      <c r="A81" t="s" s="130">
        <v>39</v>
      </c>
      <c r="B81" t="s" s="131">
        <v>40</v>
      </c>
      <c r="C81" t="s" s="132">
        <v>1523</v>
      </c>
      <c r="D81" t="s" s="133">
        <v>1500</v>
      </c>
      <c r="E81" s="134">
        <v>45449</v>
      </c>
      <c r="F81" s="144">
        <v>45544</v>
      </c>
      <c r="G81" s="136">
        <v>2380</v>
      </c>
      <c r="H81" t="s" s="131">
        <v>13</v>
      </c>
      <c r="I81" s="137">
        <v>45544</v>
      </c>
      <c r="J81" s="138">
        <v>2350</v>
      </c>
      <c r="K81" s="136">
        <f>J81-G81</f>
        <v>-30</v>
      </c>
      <c r="L81" t="s" s="139">
        <v>2165</v>
      </c>
    </row>
    <row r="82" ht="27.7" customHeight="1">
      <c r="A82" t="s" s="130">
        <v>517</v>
      </c>
      <c r="B82" t="s" s="131">
        <v>420</v>
      </c>
      <c r="C82" t="s" s="143">
        <v>2067</v>
      </c>
      <c r="D82" t="s" s="133">
        <v>539</v>
      </c>
      <c r="E82" s="134">
        <v>45450</v>
      </c>
      <c r="F82" s="144">
        <v>45450</v>
      </c>
      <c r="G82" s="136">
        <v>4160</v>
      </c>
      <c r="H82" s="158"/>
      <c r="I82" s="144"/>
      <c r="J82" s="145"/>
      <c r="K82" s="136"/>
      <c r="L82" t="s" s="139">
        <v>2166</v>
      </c>
    </row>
    <row r="83" ht="27.7" customHeight="1">
      <c r="A83" t="s" s="130">
        <v>39</v>
      </c>
      <c r="B83" t="s" s="131">
        <v>79</v>
      </c>
      <c r="C83" t="s" s="132">
        <v>976</v>
      </c>
      <c r="D83" t="s" s="133">
        <v>15</v>
      </c>
      <c r="E83" s="134">
        <v>45457</v>
      </c>
      <c r="F83" s="135">
        <v>45524</v>
      </c>
      <c r="G83" s="136">
        <v>4367</v>
      </c>
      <c r="H83" t="s" s="131">
        <v>13</v>
      </c>
      <c r="I83" s="137">
        <v>45531</v>
      </c>
      <c r="J83" s="138">
        <v>4367</v>
      </c>
      <c r="K83" s="136">
        <f>J83-G83</f>
        <v>0</v>
      </c>
      <c r="L83" t="s" s="139">
        <v>2167</v>
      </c>
    </row>
    <row r="84" ht="27.7" customHeight="1">
      <c r="A84" t="s" s="130">
        <v>517</v>
      </c>
      <c r="B84" t="s" s="131">
        <v>420</v>
      </c>
      <c r="C84" t="s" s="143">
        <v>2067</v>
      </c>
      <c r="D84" t="s" s="133">
        <v>539</v>
      </c>
      <c r="E84" s="134">
        <v>45465</v>
      </c>
      <c r="F84" s="144">
        <v>45465</v>
      </c>
      <c r="G84" s="136">
        <v>4160</v>
      </c>
      <c r="H84" s="158"/>
      <c r="I84" s="144"/>
      <c r="J84" s="145"/>
      <c r="K84" s="136"/>
      <c r="L84" t="s" s="139">
        <v>2168</v>
      </c>
    </row>
    <row r="85" ht="27.7" customHeight="1">
      <c r="A85" t="s" s="130">
        <v>39</v>
      </c>
      <c r="B85" t="s" s="131">
        <v>68</v>
      </c>
      <c r="C85" t="s" s="132">
        <v>988</v>
      </c>
      <c r="D85" t="s" s="133">
        <v>90</v>
      </c>
      <c r="E85" s="147">
        <v>45467</v>
      </c>
      <c r="F85" s="144">
        <v>45512</v>
      </c>
      <c r="G85" s="136">
        <v>8880</v>
      </c>
      <c r="H85" t="s" s="131">
        <v>2150</v>
      </c>
      <c r="I85" s="135">
        <v>45483</v>
      </c>
      <c r="J85" s="138">
        <v>8880</v>
      </c>
      <c r="K85" s="136">
        <f>J85-G85</f>
        <v>0</v>
      </c>
      <c r="L85" t="s" s="139">
        <v>2169</v>
      </c>
    </row>
    <row r="86" ht="27.7" customHeight="1">
      <c r="A86" t="s" s="130">
        <v>39</v>
      </c>
      <c r="B86" t="s" s="131">
        <v>79</v>
      </c>
      <c r="C86" t="s" s="132">
        <v>2106</v>
      </c>
      <c r="D86" t="s" s="133">
        <v>117</v>
      </c>
      <c r="E86" s="134">
        <v>45476</v>
      </c>
      <c r="F86" s="135">
        <v>45493</v>
      </c>
      <c r="G86" s="136">
        <v>10401.6</v>
      </c>
      <c r="H86" t="s" s="131">
        <v>13</v>
      </c>
      <c r="I86" s="137">
        <v>45496</v>
      </c>
      <c r="J86" s="138">
        <v>10401.6</v>
      </c>
      <c r="K86" s="136">
        <f>J86-G86</f>
        <v>0</v>
      </c>
      <c r="L86" t="s" s="139">
        <v>2170</v>
      </c>
    </row>
    <row r="87" ht="27.7" customHeight="1">
      <c r="A87" t="s" s="130">
        <v>39</v>
      </c>
      <c r="B87" t="s" s="131">
        <v>29</v>
      </c>
      <c r="C87" t="s" s="132">
        <v>1511</v>
      </c>
      <c r="D87" t="s" s="133">
        <v>206</v>
      </c>
      <c r="E87" s="134">
        <v>45478</v>
      </c>
      <c r="F87" s="135">
        <v>45502</v>
      </c>
      <c r="G87" s="136">
        <v>1372.25</v>
      </c>
      <c r="H87" t="s" s="131">
        <v>29</v>
      </c>
      <c r="I87" s="137">
        <v>45506</v>
      </c>
      <c r="J87" s="142">
        <v>1372.25</v>
      </c>
      <c r="K87" s="136">
        <f>J87-G87</f>
        <v>0</v>
      </c>
      <c r="L87" t="s" s="139">
        <v>2171</v>
      </c>
    </row>
    <row r="88" ht="27.7" customHeight="1">
      <c r="A88" t="s" s="130">
        <v>39</v>
      </c>
      <c r="B88" t="s" s="131">
        <v>29</v>
      </c>
      <c r="C88" t="s" s="132">
        <v>1511</v>
      </c>
      <c r="D88" t="s" s="133">
        <v>206</v>
      </c>
      <c r="E88" s="134">
        <v>45478</v>
      </c>
      <c r="F88" s="135">
        <v>45512</v>
      </c>
      <c r="G88" s="136">
        <v>1372.25</v>
      </c>
      <c r="H88" t="s" s="131">
        <v>29</v>
      </c>
      <c r="I88" s="137">
        <v>45510</v>
      </c>
      <c r="J88" s="142">
        <v>1372.25</v>
      </c>
      <c r="K88" s="136">
        <f>J88-G88</f>
        <v>0</v>
      </c>
      <c r="L88" t="s" s="139">
        <v>2172</v>
      </c>
    </row>
    <row r="89" ht="27.7" customHeight="1">
      <c r="A89" t="s" s="130">
        <v>39</v>
      </c>
      <c r="B89" t="s" s="131">
        <v>29</v>
      </c>
      <c r="C89" t="s" s="132">
        <v>1511</v>
      </c>
      <c r="D89" t="s" s="133">
        <v>206</v>
      </c>
      <c r="E89" s="134">
        <v>45478</v>
      </c>
      <c r="F89" s="135">
        <v>45522</v>
      </c>
      <c r="G89" s="136">
        <v>1372.25</v>
      </c>
      <c r="H89" t="s" s="131">
        <v>13</v>
      </c>
      <c r="I89" s="137">
        <v>45526</v>
      </c>
      <c r="J89" s="138">
        <v>1372.25</v>
      </c>
      <c r="K89" s="136">
        <f>J89-G89</f>
        <v>0</v>
      </c>
      <c r="L89" t="s" s="139">
        <v>2173</v>
      </c>
    </row>
    <row r="90" ht="27.7" customHeight="1">
      <c r="A90" t="s" s="130">
        <v>39</v>
      </c>
      <c r="B90" t="s" s="131">
        <v>29</v>
      </c>
      <c r="C90" t="s" s="132">
        <v>1511</v>
      </c>
      <c r="D90" t="s" s="133">
        <v>206</v>
      </c>
      <c r="E90" s="134">
        <v>45478</v>
      </c>
      <c r="F90" s="135">
        <v>45532</v>
      </c>
      <c r="G90" s="136">
        <v>1372.25</v>
      </c>
      <c r="H90" t="s" s="131">
        <v>29</v>
      </c>
      <c r="I90" s="137">
        <v>45537</v>
      </c>
      <c r="J90" s="142">
        <v>1372.25</v>
      </c>
      <c r="K90" s="136">
        <f>J90-G90</f>
        <v>0</v>
      </c>
      <c r="L90" t="s" s="139">
        <v>2174</v>
      </c>
    </row>
    <row r="91" ht="27.7" customHeight="1">
      <c r="A91" t="s" s="130">
        <v>39</v>
      </c>
      <c r="B91" t="s" s="131">
        <v>68</v>
      </c>
      <c r="C91" t="s" s="132">
        <v>988</v>
      </c>
      <c r="D91" t="s" s="133">
        <v>90</v>
      </c>
      <c r="E91" s="147">
        <v>45481</v>
      </c>
      <c r="F91" s="144">
        <v>45526</v>
      </c>
      <c r="G91" s="136">
        <v>21231</v>
      </c>
      <c r="H91" t="s" s="131">
        <v>2150</v>
      </c>
      <c r="I91" s="135">
        <v>45483</v>
      </c>
      <c r="J91" s="159">
        <v>21231</v>
      </c>
      <c r="K91" s="136">
        <f>J91-G91</f>
        <v>0</v>
      </c>
      <c r="L91" t="s" s="139">
        <v>2175</v>
      </c>
    </row>
    <row r="92" ht="27.7" customHeight="1">
      <c r="A92" t="s" s="130">
        <v>39</v>
      </c>
      <c r="B92" t="s" s="131">
        <v>30</v>
      </c>
      <c r="C92" t="s" s="132">
        <v>1050</v>
      </c>
      <c r="D92" t="s" s="133">
        <v>390</v>
      </c>
      <c r="E92" s="134">
        <v>45484</v>
      </c>
      <c r="F92" s="144">
        <v>45519</v>
      </c>
      <c r="G92" s="136">
        <v>2510</v>
      </c>
      <c r="H92" t="s" s="131">
        <v>13</v>
      </c>
      <c r="I92" s="137">
        <v>45519</v>
      </c>
      <c r="J92" s="138">
        <v>2510.01</v>
      </c>
      <c r="K92" s="136">
        <f>J92-G92</f>
        <v>0.01</v>
      </c>
      <c r="L92" t="s" s="139">
        <v>2176</v>
      </c>
    </row>
    <row r="93" ht="27.7" customHeight="1">
      <c r="A93" t="s" s="130">
        <v>39</v>
      </c>
      <c r="B93" t="s" s="131">
        <v>30</v>
      </c>
      <c r="C93" t="s" s="132">
        <v>122</v>
      </c>
      <c r="D93" t="s" s="133">
        <v>15</v>
      </c>
      <c r="E93" s="147">
        <v>45484</v>
      </c>
      <c r="F93" s="144">
        <v>45543</v>
      </c>
      <c r="G93" s="136">
        <v>1900</v>
      </c>
      <c r="H93" t="s" s="131">
        <v>13</v>
      </c>
      <c r="I93" s="137">
        <v>45546</v>
      </c>
      <c r="J93" s="138">
        <v>1900</v>
      </c>
      <c r="K93" s="136">
        <f>J93-G93</f>
        <v>0</v>
      </c>
      <c r="L93" t="s" s="139">
        <v>2100</v>
      </c>
    </row>
    <row r="94" ht="27.7" customHeight="1">
      <c r="A94" t="s" s="130">
        <v>39</v>
      </c>
      <c r="B94" t="s" s="131">
        <v>30</v>
      </c>
      <c r="C94" t="s" s="132">
        <v>122</v>
      </c>
      <c r="D94" t="s" s="133">
        <v>15</v>
      </c>
      <c r="E94" s="147">
        <v>45484</v>
      </c>
      <c r="F94" s="144">
        <v>45573</v>
      </c>
      <c r="G94" s="136">
        <v>1900</v>
      </c>
      <c r="H94" t="s" s="131">
        <v>13</v>
      </c>
      <c r="I94" s="137">
        <v>45575</v>
      </c>
      <c r="J94" s="138">
        <v>1900</v>
      </c>
      <c r="K94" s="136">
        <f>J94-G94</f>
        <v>0</v>
      </c>
      <c r="L94" t="s" s="139">
        <v>2101</v>
      </c>
    </row>
    <row r="95" ht="27.7" customHeight="1">
      <c r="A95" t="s" s="130">
        <v>39</v>
      </c>
      <c r="B95" t="s" s="131">
        <v>30</v>
      </c>
      <c r="C95" t="s" s="132">
        <v>122</v>
      </c>
      <c r="D95" t="s" s="133">
        <v>15</v>
      </c>
      <c r="E95" s="147">
        <v>45484</v>
      </c>
      <c r="F95" s="144">
        <v>45603</v>
      </c>
      <c r="G95" s="136">
        <v>1900</v>
      </c>
      <c r="H95" t="s" s="131">
        <v>13</v>
      </c>
      <c r="I95" s="137">
        <v>45602</v>
      </c>
      <c r="J95" s="138">
        <v>1900</v>
      </c>
      <c r="K95" s="136">
        <f>J95-G95</f>
        <v>0</v>
      </c>
      <c r="L95" t="s" s="139">
        <v>2102</v>
      </c>
    </row>
    <row r="96" ht="27.7" customHeight="1">
      <c r="A96" t="s" s="130">
        <v>39</v>
      </c>
      <c r="B96" t="s" s="131">
        <v>97</v>
      </c>
      <c r="C96" t="s" s="132">
        <v>1178</v>
      </c>
      <c r="D96" t="s" s="133">
        <v>117</v>
      </c>
      <c r="E96" s="147">
        <v>45485</v>
      </c>
      <c r="F96" s="144">
        <v>45519</v>
      </c>
      <c r="G96" s="136">
        <v>5675</v>
      </c>
      <c r="H96" t="s" s="131">
        <v>40</v>
      </c>
      <c r="I96" s="137">
        <v>45561</v>
      </c>
      <c r="J96" s="149">
        <v>11350</v>
      </c>
      <c r="K96" s="136">
        <f>J96-G96</f>
        <v>5675</v>
      </c>
      <c r="L96" t="s" s="139">
        <v>2177</v>
      </c>
    </row>
    <row r="97" ht="27.7" customHeight="1">
      <c r="A97" t="s" s="130">
        <v>39</v>
      </c>
      <c r="B97" t="s" s="131">
        <v>40</v>
      </c>
      <c r="C97" t="s" s="150">
        <v>1535</v>
      </c>
      <c r="D97" t="s" s="133">
        <v>1533</v>
      </c>
      <c r="E97" s="147">
        <v>45485</v>
      </c>
      <c r="F97" s="144">
        <v>45521</v>
      </c>
      <c r="G97" s="136">
        <v>4570.29</v>
      </c>
      <c r="H97" t="s" s="131">
        <v>97</v>
      </c>
      <c r="I97" s="137">
        <v>45520</v>
      </c>
      <c r="J97" s="149">
        <v>4570.29</v>
      </c>
      <c r="K97" s="136">
        <f>J97-G97</f>
        <v>0</v>
      </c>
      <c r="L97" t="s" s="139">
        <v>2178</v>
      </c>
    </row>
    <row r="98" ht="27.7" customHeight="1">
      <c r="A98" t="s" s="130">
        <v>39</v>
      </c>
      <c r="B98" t="s" s="131">
        <v>97</v>
      </c>
      <c r="C98" t="s" s="132">
        <v>1178</v>
      </c>
      <c r="D98" t="s" s="133">
        <v>117</v>
      </c>
      <c r="E98" s="147">
        <v>45485</v>
      </c>
      <c r="F98" s="144">
        <v>45550</v>
      </c>
      <c r="G98" s="136">
        <v>5675</v>
      </c>
      <c r="H98" t="s" s="131">
        <v>40</v>
      </c>
      <c r="I98" s="137">
        <v>45561</v>
      </c>
      <c r="J98" s="160">
        <v>5675</v>
      </c>
      <c r="K98" s="136">
        <f>J98-G98</f>
        <v>0</v>
      </c>
      <c r="L98" t="s" s="139">
        <v>2179</v>
      </c>
    </row>
    <row r="99" ht="27.7" customHeight="1">
      <c r="A99" t="s" s="130">
        <v>39</v>
      </c>
      <c r="B99" t="s" s="131">
        <v>40</v>
      </c>
      <c r="C99" t="s" s="150">
        <v>1535</v>
      </c>
      <c r="D99" t="s" s="133">
        <v>1533</v>
      </c>
      <c r="E99" s="147">
        <v>45485</v>
      </c>
      <c r="F99" s="144">
        <v>45551</v>
      </c>
      <c r="G99" s="136">
        <v>4459</v>
      </c>
      <c r="H99" t="s" s="131">
        <v>13</v>
      </c>
      <c r="I99" s="137">
        <v>45551</v>
      </c>
      <c r="J99" s="138">
        <v>4459</v>
      </c>
      <c r="K99" s="136">
        <f>J99-G99</f>
        <v>0</v>
      </c>
      <c r="L99" t="s" s="139">
        <v>2101</v>
      </c>
    </row>
    <row r="100" ht="27.7" customHeight="1">
      <c r="A100" t="s" s="130">
        <v>39</v>
      </c>
      <c r="B100" t="s" s="131">
        <v>97</v>
      </c>
      <c r="C100" t="s" s="132">
        <v>1178</v>
      </c>
      <c r="D100" t="s" s="133">
        <v>117</v>
      </c>
      <c r="E100" s="147">
        <v>45485</v>
      </c>
      <c r="F100" s="144">
        <v>45580</v>
      </c>
      <c r="G100" s="136">
        <v>5674</v>
      </c>
      <c r="H100" t="s" s="131">
        <v>13</v>
      </c>
      <c r="I100" s="144">
        <v>45580</v>
      </c>
      <c r="J100" s="138">
        <v>5674</v>
      </c>
      <c r="K100" s="136">
        <f>J100-G100</f>
        <v>0</v>
      </c>
      <c r="L100" t="s" s="139">
        <v>2180</v>
      </c>
    </row>
    <row r="101" ht="27.7" customHeight="1">
      <c r="A101" t="s" s="130">
        <v>39</v>
      </c>
      <c r="B101" t="s" s="131">
        <v>40</v>
      </c>
      <c r="C101" t="s" s="150">
        <v>1535</v>
      </c>
      <c r="D101" t="s" s="133">
        <v>1533</v>
      </c>
      <c r="E101" s="147">
        <v>45485</v>
      </c>
      <c r="F101" s="144">
        <v>45581</v>
      </c>
      <c r="G101" s="136">
        <v>4459</v>
      </c>
      <c r="H101" t="s" s="131">
        <v>13</v>
      </c>
      <c r="I101" s="137">
        <v>45580</v>
      </c>
      <c r="J101" s="138">
        <v>4459</v>
      </c>
      <c r="K101" s="136">
        <f>J101-G101</f>
        <v>0</v>
      </c>
      <c r="L101" t="s" s="139">
        <v>2181</v>
      </c>
    </row>
    <row r="102" ht="27.7" customHeight="1">
      <c r="A102" t="s" s="130">
        <v>39</v>
      </c>
      <c r="B102" t="s" s="131">
        <v>21</v>
      </c>
      <c r="C102" t="s" s="150">
        <v>1535</v>
      </c>
      <c r="D102" t="s" s="133">
        <v>1533</v>
      </c>
      <c r="E102" s="147">
        <v>45486</v>
      </c>
      <c r="F102" s="135">
        <v>45495</v>
      </c>
      <c r="G102" s="136">
        <v>1430</v>
      </c>
      <c r="H102" t="s" s="131">
        <v>21</v>
      </c>
      <c r="I102" s="137">
        <v>45496</v>
      </c>
      <c r="J102" s="142">
        <v>1430</v>
      </c>
      <c r="K102" s="136">
        <f>J102-G102</f>
        <v>0</v>
      </c>
      <c r="L102" t="s" s="139">
        <v>2153</v>
      </c>
    </row>
    <row r="103" ht="27.7" customHeight="1">
      <c r="A103" t="s" s="130">
        <v>39</v>
      </c>
      <c r="B103" t="s" s="131">
        <v>21</v>
      </c>
      <c r="C103" t="s" s="150">
        <v>1535</v>
      </c>
      <c r="D103" t="s" s="133">
        <v>1533</v>
      </c>
      <c r="E103" s="147">
        <v>45486</v>
      </c>
      <c r="F103" s="144">
        <v>45521</v>
      </c>
      <c r="G103" s="136">
        <v>12866.9</v>
      </c>
      <c r="H103" t="s" s="131">
        <v>97</v>
      </c>
      <c r="I103" s="137">
        <v>45520</v>
      </c>
      <c r="J103" s="149">
        <v>12866.9</v>
      </c>
      <c r="K103" s="136">
        <f>J103-G103</f>
        <v>0</v>
      </c>
      <c r="L103" t="s" s="139">
        <v>2146</v>
      </c>
    </row>
    <row r="104" ht="27.7" customHeight="1">
      <c r="A104" t="s" s="130">
        <v>39</v>
      </c>
      <c r="B104" t="s" s="131">
        <v>21</v>
      </c>
      <c r="C104" t="s" s="150">
        <v>1535</v>
      </c>
      <c r="D104" t="s" s="133">
        <v>1533</v>
      </c>
      <c r="E104" s="147">
        <v>45486</v>
      </c>
      <c r="F104" s="144">
        <v>45551</v>
      </c>
      <c r="G104" s="136">
        <v>12866</v>
      </c>
      <c r="H104" t="s" s="131">
        <v>13</v>
      </c>
      <c r="I104" s="137">
        <v>45551</v>
      </c>
      <c r="J104" s="138">
        <v>12866</v>
      </c>
      <c r="K104" s="136">
        <f>J104-G104</f>
        <v>0</v>
      </c>
      <c r="L104" t="s" s="139">
        <v>2182</v>
      </c>
    </row>
    <row r="105" ht="27.7" customHeight="1">
      <c r="A105" t="s" s="130">
        <v>39</v>
      </c>
      <c r="B105" t="s" s="131">
        <v>21</v>
      </c>
      <c r="C105" t="s" s="150">
        <v>1535</v>
      </c>
      <c r="D105" t="s" s="133">
        <v>1533</v>
      </c>
      <c r="E105" s="147">
        <v>45486</v>
      </c>
      <c r="F105" s="144">
        <v>45581</v>
      </c>
      <c r="G105" s="136">
        <v>12866</v>
      </c>
      <c r="H105" t="s" s="131">
        <v>13</v>
      </c>
      <c r="I105" s="137">
        <v>45580</v>
      </c>
      <c r="J105" s="138">
        <v>12866</v>
      </c>
      <c r="K105" s="136">
        <f>J105-G105</f>
        <v>0</v>
      </c>
      <c r="L105" t="s" s="139">
        <v>2181</v>
      </c>
    </row>
    <row r="106" ht="27.7" customHeight="1">
      <c r="A106" t="s" s="130">
        <v>39</v>
      </c>
      <c r="B106" t="s" s="131">
        <v>97</v>
      </c>
      <c r="C106" t="s" s="150">
        <v>1535</v>
      </c>
      <c r="D106" t="s" s="133">
        <v>1533</v>
      </c>
      <c r="E106" s="147">
        <v>45513</v>
      </c>
      <c r="F106" s="144">
        <v>45549</v>
      </c>
      <c r="G106" s="136">
        <v>16836</v>
      </c>
      <c r="H106" t="s" s="131">
        <v>13</v>
      </c>
      <c r="I106" s="137">
        <v>45551</v>
      </c>
      <c r="J106" s="138">
        <v>16836</v>
      </c>
      <c r="K106" s="136">
        <f>J106-G106</f>
        <v>0</v>
      </c>
      <c r="L106" t="s" s="139">
        <v>2183</v>
      </c>
    </row>
    <row r="107" ht="27.7" customHeight="1">
      <c r="A107" t="s" s="130">
        <v>39</v>
      </c>
      <c r="B107" t="s" s="131">
        <v>97</v>
      </c>
      <c r="C107" t="s" s="150">
        <v>1535</v>
      </c>
      <c r="D107" t="s" s="133">
        <v>1533</v>
      </c>
      <c r="E107" s="147">
        <v>45513</v>
      </c>
      <c r="F107" s="144">
        <v>45579</v>
      </c>
      <c r="G107" s="136">
        <v>16836</v>
      </c>
      <c r="H107" t="s" s="131">
        <v>2150</v>
      </c>
      <c r="I107" s="144"/>
      <c r="J107" s="145"/>
      <c r="K107" s="136"/>
      <c r="L107" t="s" s="139">
        <v>2184</v>
      </c>
    </row>
    <row r="108" ht="27.7" customHeight="1">
      <c r="A108" t="s" s="130">
        <v>39</v>
      </c>
      <c r="B108" t="s" s="131">
        <v>97</v>
      </c>
      <c r="C108" t="s" s="150">
        <v>1535</v>
      </c>
      <c r="D108" t="s" s="133">
        <v>1533</v>
      </c>
      <c r="E108" s="147">
        <v>45513</v>
      </c>
      <c r="F108" s="144">
        <v>45609</v>
      </c>
      <c r="G108" s="136">
        <v>16836</v>
      </c>
      <c r="H108" t="s" s="131">
        <v>2150</v>
      </c>
      <c r="I108" s="144"/>
      <c r="J108" s="145"/>
      <c r="K108" s="136"/>
      <c r="L108" t="s" s="139">
        <v>2185</v>
      </c>
    </row>
    <row r="109" ht="27.7" customHeight="1">
      <c r="A109" t="s" s="130">
        <v>39</v>
      </c>
      <c r="B109" t="s" s="131">
        <v>97</v>
      </c>
      <c r="C109" t="s" s="150">
        <v>1535</v>
      </c>
      <c r="D109" t="s" s="133">
        <v>1533</v>
      </c>
      <c r="E109" s="147">
        <v>45513</v>
      </c>
      <c r="F109" s="144">
        <v>45639</v>
      </c>
      <c r="G109" s="136">
        <v>16835.8</v>
      </c>
      <c r="H109" t="s" s="131">
        <v>2150</v>
      </c>
      <c r="I109" s="144"/>
      <c r="J109" s="145"/>
      <c r="K109" s="136"/>
      <c r="L109" t="s" s="139">
        <v>2186</v>
      </c>
    </row>
    <row r="110" ht="27.7" customHeight="1">
      <c r="A110" t="s" s="130">
        <v>39</v>
      </c>
      <c r="B110" t="s" s="131">
        <v>47</v>
      </c>
      <c r="C110" t="s" s="132">
        <v>1535</v>
      </c>
      <c r="D110" t="s" s="133">
        <v>1533</v>
      </c>
      <c r="E110" s="147">
        <v>45527</v>
      </c>
      <c r="F110" s="144">
        <v>45557</v>
      </c>
      <c r="G110" s="136">
        <v>6158.25</v>
      </c>
      <c r="H110" t="s" s="131">
        <v>47</v>
      </c>
      <c r="I110" s="137">
        <v>45567</v>
      </c>
      <c r="J110" s="161">
        <v>6158.25</v>
      </c>
      <c r="K110" s="136">
        <f>J110-G110</f>
        <v>0</v>
      </c>
      <c r="L110" t="s" s="139">
        <v>2187</v>
      </c>
    </row>
    <row r="111" ht="27.7" customHeight="1">
      <c r="A111" t="s" s="130">
        <v>39</v>
      </c>
      <c r="B111" t="s" s="131">
        <v>47</v>
      </c>
      <c r="C111" t="s" s="132">
        <v>1535</v>
      </c>
      <c r="D111" t="s" s="133">
        <v>1533</v>
      </c>
      <c r="E111" s="147">
        <v>45527</v>
      </c>
      <c r="F111" s="144">
        <v>45587</v>
      </c>
      <c r="G111" s="136">
        <v>6158.23</v>
      </c>
      <c r="H111" t="s" s="131">
        <v>2150</v>
      </c>
      <c r="I111" s="144"/>
      <c r="J111" s="145"/>
      <c r="K111" s="136"/>
      <c r="L111" t="s" s="139">
        <v>2188</v>
      </c>
    </row>
    <row r="112" ht="27.7" customHeight="1">
      <c r="A112" t="s" s="130">
        <v>39</v>
      </c>
      <c r="B112" t="s" s="131">
        <v>47</v>
      </c>
      <c r="C112" t="s" s="132">
        <v>1535</v>
      </c>
      <c r="D112" t="s" s="133">
        <v>1533</v>
      </c>
      <c r="E112" s="147">
        <v>45527</v>
      </c>
      <c r="F112" s="144">
        <v>45617</v>
      </c>
      <c r="G112" s="136">
        <v>6158.23</v>
      </c>
      <c r="H112" t="s" s="131">
        <v>2150</v>
      </c>
      <c r="I112" s="144"/>
      <c r="J112" s="145"/>
      <c r="K112" s="136"/>
      <c r="L112" t="s" s="139">
        <v>2189</v>
      </c>
    </row>
    <row r="113" ht="27.7" customHeight="1">
      <c r="A113" t="s" s="130">
        <v>39</v>
      </c>
      <c r="B113" t="s" s="131">
        <v>47</v>
      </c>
      <c r="C113" t="s" s="132">
        <v>1535</v>
      </c>
      <c r="D113" t="s" s="133">
        <v>1533</v>
      </c>
      <c r="E113" s="147">
        <v>45527</v>
      </c>
      <c r="F113" s="144">
        <v>45647</v>
      </c>
      <c r="G113" s="136">
        <v>6158.23</v>
      </c>
      <c r="H113" t="s" s="131">
        <v>2150</v>
      </c>
      <c r="I113" s="144"/>
      <c r="J113" s="162"/>
      <c r="K113" s="136"/>
      <c r="L113" t="s" s="139">
        <v>2186</v>
      </c>
    </row>
    <row r="114" ht="27.7" customHeight="1">
      <c r="A114" t="s" s="130">
        <v>39</v>
      </c>
      <c r="B114" t="s" s="131">
        <v>30</v>
      </c>
      <c r="C114" t="s" s="132">
        <v>2190</v>
      </c>
      <c r="D114" t="s" s="133">
        <v>534</v>
      </c>
      <c r="E114" s="147">
        <v>45527</v>
      </c>
      <c r="F114" s="144">
        <v>45587</v>
      </c>
      <c r="G114" s="136">
        <v>3040</v>
      </c>
      <c r="H114" t="s" s="131">
        <v>29</v>
      </c>
      <c r="I114" s="137">
        <v>45589</v>
      </c>
      <c r="J114" s="149">
        <v>9120</v>
      </c>
      <c r="K114" s="136">
        <f>J114-G114</f>
        <v>6080</v>
      </c>
      <c r="L114" t="s" s="139">
        <v>2191</v>
      </c>
    </row>
    <row r="115" ht="27.7" customHeight="1">
      <c r="A115" t="s" s="130">
        <v>39</v>
      </c>
      <c r="B115" t="s" s="131">
        <v>30</v>
      </c>
      <c r="C115" t="s" s="132">
        <v>2190</v>
      </c>
      <c r="D115" t="s" s="133">
        <v>534</v>
      </c>
      <c r="E115" s="147">
        <v>45527</v>
      </c>
      <c r="F115" s="144">
        <v>45618</v>
      </c>
      <c r="G115" s="136">
        <v>3040</v>
      </c>
      <c r="H115" t="s" s="131">
        <v>29</v>
      </c>
      <c r="I115" s="137">
        <v>45589</v>
      </c>
      <c r="J115" s="160">
        <v>6080</v>
      </c>
      <c r="K115" s="136">
        <f>J115-G115</f>
        <v>3040</v>
      </c>
      <c r="L115" t="s" s="139">
        <v>2192</v>
      </c>
    </row>
    <row r="116" ht="27.7" customHeight="1">
      <c r="A116" t="s" s="130">
        <v>39</v>
      </c>
      <c r="B116" t="s" s="131">
        <v>30</v>
      </c>
      <c r="C116" t="s" s="132">
        <v>2190</v>
      </c>
      <c r="D116" t="s" s="133">
        <v>534</v>
      </c>
      <c r="E116" s="147">
        <v>45527</v>
      </c>
      <c r="F116" s="144">
        <v>45648</v>
      </c>
      <c r="G116" s="136">
        <v>3040</v>
      </c>
      <c r="H116" t="s" s="131">
        <v>29</v>
      </c>
      <c r="I116" s="137">
        <v>45589</v>
      </c>
      <c r="J116" s="160">
        <v>3040</v>
      </c>
      <c r="K116" s="136">
        <f>J116-G116</f>
        <v>0</v>
      </c>
      <c r="L116" t="s" s="139">
        <v>2193</v>
      </c>
    </row>
    <row r="117" ht="27.7" customHeight="1">
      <c r="A117" t="s" s="130">
        <v>39</v>
      </c>
      <c r="B117" t="s" s="131">
        <v>29</v>
      </c>
      <c r="C117" t="s" s="132">
        <v>2106</v>
      </c>
      <c r="D117" t="s" s="133">
        <v>319</v>
      </c>
      <c r="E117" s="147">
        <v>45537</v>
      </c>
      <c r="F117" s="144">
        <v>45567</v>
      </c>
      <c r="G117" s="136">
        <v>2626.4</v>
      </c>
      <c r="H117" t="s" s="131">
        <v>29</v>
      </c>
      <c r="I117" s="137">
        <v>45581</v>
      </c>
      <c r="J117" s="161">
        <v>2626.4</v>
      </c>
      <c r="K117" s="136">
        <f>J117-G117</f>
        <v>0</v>
      </c>
      <c r="L117" t="s" s="139">
        <v>2194</v>
      </c>
    </row>
    <row r="118" ht="27.7" customHeight="1">
      <c r="A118" t="s" s="130">
        <v>39</v>
      </c>
      <c r="B118" t="s" s="131">
        <v>29</v>
      </c>
      <c r="C118" t="s" s="132">
        <v>2106</v>
      </c>
      <c r="D118" t="s" s="133">
        <v>319</v>
      </c>
      <c r="E118" s="147">
        <v>45537</v>
      </c>
      <c r="F118" s="144">
        <v>45582</v>
      </c>
      <c r="G118" s="136">
        <v>2626.4</v>
      </c>
      <c r="H118" t="s" s="131">
        <v>29</v>
      </c>
      <c r="I118" s="137">
        <v>45590</v>
      </c>
      <c r="J118" s="161">
        <v>2626.4</v>
      </c>
      <c r="K118" s="136">
        <f>J118-G118</f>
        <v>0</v>
      </c>
      <c r="L118" t="s" s="139">
        <v>2195</v>
      </c>
    </row>
    <row r="119" ht="27.7" customHeight="1">
      <c r="A119" t="s" s="130">
        <v>39</v>
      </c>
      <c r="B119" t="s" s="131">
        <v>29</v>
      </c>
      <c r="C119" t="s" s="132">
        <v>2106</v>
      </c>
      <c r="D119" t="s" s="133">
        <v>319</v>
      </c>
      <c r="E119" s="147">
        <v>45537</v>
      </c>
      <c r="F119" s="135">
        <v>45597</v>
      </c>
      <c r="G119" s="136">
        <v>2626.4</v>
      </c>
      <c r="H119" t="s" s="131">
        <v>36</v>
      </c>
      <c r="I119" s="137">
        <v>45608</v>
      </c>
      <c r="J119" s="149">
        <v>2626.4</v>
      </c>
      <c r="K119" s="136">
        <f>J119-G119</f>
        <v>0</v>
      </c>
      <c r="L119" t="s" s="139">
        <v>2196</v>
      </c>
    </row>
    <row r="120" ht="27.7" customHeight="1">
      <c r="A120" t="s" s="130">
        <v>39</v>
      </c>
      <c r="B120" t="s" s="131">
        <v>97</v>
      </c>
      <c r="C120" t="s" s="150">
        <v>1535</v>
      </c>
      <c r="D120" t="s" s="133">
        <v>1533</v>
      </c>
      <c r="E120" s="147">
        <v>45544</v>
      </c>
      <c r="F120" s="144">
        <v>45580</v>
      </c>
      <c r="G120" s="136">
        <v>14791.1</v>
      </c>
      <c r="H120" t="s" s="131">
        <v>2150</v>
      </c>
      <c r="I120" s="144"/>
      <c r="J120" s="145"/>
      <c r="K120" s="136"/>
      <c r="L120" t="s" s="139">
        <v>2197</v>
      </c>
    </row>
    <row r="121" ht="27.7" customHeight="1">
      <c r="A121" t="s" s="130">
        <v>39</v>
      </c>
      <c r="B121" t="s" s="131">
        <v>97</v>
      </c>
      <c r="C121" t="s" s="150">
        <v>1535</v>
      </c>
      <c r="D121" t="s" s="133">
        <v>1533</v>
      </c>
      <c r="E121" s="147">
        <v>45544</v>
      </c>
      <c r="F121" s="144">
        <v>45610</v>
      </c>
      <c r="G121" s="136">
        <v>14791</v>
      </c>
      <c r="H121" t="s" s="131">
        <v>2150</v>
      </c>
      <c r="I121" s="144"/>
      <c r="J121" s="145"/>
      <c r="K121" s="136"/>
      <c r="L121" t="s" s="139">
        <v>2184</v>
      </c>
    </row>
    <row r="122" ht="27.7" customHeight="1">
      <c r="A122" t="s" s="130">
        <v>39</v>
      </c>
      <c r="B122" t="s" s="131">
        <v>97</v>
      </c>
      <c r="C122" t="s" s="150">
        <v>1535</v>
      </c>
      <c r="D122" t="s" s="133">
        <v>1533</v>
      </c>
      <c r="E122" s="147">
        <v>45544</v>
      </c>
      <c r="F122" s="144">
        <v>45640</v>
      </c>
      <c r="G122" s="136">
        <v>14791</v>
      </c>
      <c r="H122" t="s" s="131">
        <v>2150</v>
      </c>
      <c r="I122" s="144"/>
      <c r="J122" s="145"/>
      <c r="K122" s="136"/>
      <c r="L122" t="s" s="139">
        <v>2185</v>
      </c>
    </row>
    <row r="123" ht="27.7" customHeight="1">
      <c r="A123" t="s" s="130">
        <v>39</v>
      </c>
      <c r="B123" t="s" s="131">
        <v>97</v>
      </c>
      <c r="C123" t="s" s="150">
        <v>1535</v>
      </c>
      <c r="D123" t="s" s="133">
        <v>1533</v>
      </c>
      <c r="E123" s="147">
        <v>45544</v>
      </c>
      <c r="F123" s="144">
        <v>45670</v>
      </c>
      <c r="G123" s="136">
        <v>14791</v>
      </c>
      <c r="H123" t="s" s="131">
        <v>2150</v>
      </c>
      <c r="I123" s="144"/>
      <c r="J123" s="145"/>
      <c r="K123" s="136"/>
      <c r="L123" t="s" s="139">
        <v>2186</v>
      </c>
    </row>
    <row r="124" ht="27.7" customHeight="1">
      <c r="A124" t="s" s="130">
        <v>39</v>
      </c>
      <c r="B124" t="s" s="131">
        <v>40</v>
      </c>
      <c r="C124" t="s" s="150">
        <v>1535</v>
      </c>
      <c r="D124" t="s" s="133">
        <v>1533</v>
      </c>
      <c r="E124" s="147">
        <v>45553</v>
      </c>
      <c r="F124" s="144">
        <v>45589</v>
      </c>
      <c r="G124" s="136">
        <v>4453.38</v>
      </c>
      <c r="H124" t="s" s="131">
        <v>2150</v>
      </c>
      <c r="I124" s="144"/>
      <c r="J124" s="145"/>
      <c r="K124" s="136"/>
      <c r="L124" t="s" s="139">
        <v>2198</v>
      </c>
    </row>
    <row r="125" ht="27.7" customHeight="1">
      <c r="A125" t="s" s="130">
        <v>39</v>
      </c>
      <c r="B125" t="s" s="131">
        <v>40</v>
      </c>
      <c r="C125" t="s" s="150">
        <v>1535</v>
      </c>
      <c r="D125" t="s" s="133">
        <v>1533</v>
      </c>
      <c r="E125" s="147">
        <v>45553</v>
      </c>
      <c r="F125" s="144">
        <v>45619</v>
      </c>
      <c r="G125" s="136">
        <v>4358</v>
      </c>
      <c r="H125" t="s" s="131">
        <v>2150</v>
      </c>
      <c r="I125" s="144"/>
      <c r="J125" s="145"/>
      <c r="K125" s="136"/>
      <c r="L125" t="s" s="139">
        <v>2188</v>
      </c>
    </row>
    <row r="126" ht="27.7" customHeight="1">
      <c r="A126" t="s" s="130">
        <v>39</v>
      </c>
      <c r="B126" t="s" s="131">
        <v>40</v>
      </c>
      <c r="C126" t="s" s="150">
        <v>1535</v>
      </c>
      <c r="D126" t="s" s="133">
        <v>1533</v>
      </c>
      <c r="E126" s="147">
        <v>45553</v>
      </c>
      <c r="F126" s="144">
        <v>45649</v>
      </c>
      <c r="G126" s="136">
        <v>4358</v>
      </c>
      <c r="H126" t="s" s="131">
        <v>2150</v>
      </c>
      <c r="I126" s="144"/>
      <c r="J126" s="145"/>
      <c r="K126" s="136"/>
      <c r="L126" t="s" s="139">
        <v>2189</v>
      </c>
    </row>
    <row r="127" ht="27.7" customHeight="1">
      <c r="A127" s="163"/>
      <c r="B127" t="s" s="131">
        <v>61</v>
      </c>
      <c r="C127" t="s" s="143">
        <v>904</v>
      </c>
      <c r="D127" t="s" s="133">
        <v>379</v>
      </c>
      <c r="E127" s="147">
        <v>45555</v>
      </c>
      <c r="F127" s="144">
        <v>45555</v>
      </c>
      <c r="G127" s="136"/>
      <c r="H127" s="158"/>
      <c r="I127" s="137">
        <v>45569</v>
      </c>
      <c r="J127" s="161">
        <v>10000</v>
      </c>
      <c r="K127" s="136">
        <f>J127-G127</f>
        <v>10000</v>
      </c>
      <c r="L127" s="164"/>
    </row>
    <row r="128" ht="27.7" customHeight="1">
      <c r="A128" s="163"/>
      <c r="B128" t="s" s="131">
        <v>61</v>
      </c>
      <c r="C128" t="s" s="143">
        <v>904</v>
      </c>
      <c r="D128" t="s" s="133">
        <v>379</v>
      </c>
      <c r="E128" s="147">
        <v>45555</v>
      </c>
      <c r="F128" s="144"/>
      <c r="G128" s="136"/>
      <c r="H128" t="s" s="131">
        <v>24</v>
      </c>
      <c r="I128" s="137">
        <v>45572</v>
      </c>
      <c r="J128" s="161">
        <v>2100</v>
      </c>
      <c r="K128" s="136"/>
      <c r="L128" s="164"/>
    </row>
    <row r="129" ht="27.7" customHeight="1">
      <c r="A129" s="163"/>
      <c r="B129" t="s" s="131">
        <v>61</v>
      </c>
      <c r="C129" t="s" s="143">
        <v>904</v>
      </c>
      <c r="D129" t="s" s="133">
        <v>379</v>
      </c>
      <c r="E129" s="147">
        <v>45555</v>
      </c>
      <c r="F129" s="144"/>
      <c r="G129" s="136"/>
      <c r="H129" s="158"/>
      <c r="I129" s="137">
        <v>45595</v>
      </c>
      <c r="J129" s="161">
        <v>4616</v>
      </c>
      <c r="K129" s="136"/>
      <c r="L129" s="164"/>
    </row>
    <row r="130" ht="27.7" customHeight="1">
      <c r="A130" s="163"/>
      <c r="B130" t="s" s="131">
        <v>61</v>
      </c>
      <c r="C130" t="s" s="143">
        <v>904</v>
      </c>
      <c r="D130" t="s" s="133">
        <v>379</v>
      </c>
      <c r="E130" s="147">
        <v>45555</v>
      </c>
      <c r="F130" s="144"/>
      <c r="G130" s="136"/>
      <c r="H130" s="158"/>
      <c r="I130" s="137">
        <v>45597</v>
      </c>
      <c r="J130" s="161">
        <v>5000</v>
      </c>
      <c r="K130" s="136"/>
      <c r="L130" s="164"/>
    </row>
    <row r="131" ht="27.7" customHeight="1">
      <c r="A131" s="163"/>
      <c r="B131" t="s" s="131">
        <v>61</v>
      </c>
      <c r="C131" t="s" s="143">
        <v>904</v>
      </c>
      <c r="D131" t="s" s="133">
        <v>379</v>
      </c>
      <c r="E131" s="147">
        <v>45555</v>
      </c>
      <c r="F131" s="144"/>
      <c r="G131" s="136"/>
      <c r="H131" s="158"/>
      <c r="I131" s="137">
        <v>45610</v>
      </c>
      <c r="J131" s="161">
        <v>2600</v>
      </c>
      <c r="K131" s="136"/>
      <c r="L131" s="164"/>
    </row>
    <row r="132" ht="27.7" customHeight="1">
      <c r="A132" s="163"/>
      <c r="B132" t="s" s="165">
        <v>61</v>
      </c>
      <c r="C132" t="s" s="166">
        <v>904</v>
      </c>
      <c r="D132" t="s" s="167">
        <v>379</v>
      </c>
      <c r="E132" s="168">
        <v>45555</v>
      </c>
      <c r="F132" s="144"/>
      <c r="G132" s="136"/>
      <c r="H132" t="s" s="131">
        <v>13</v>
      </c>
      <c r="I132" s="137">
        <v>45615</v>
      </c>
      <c r="J132" s="138">
        <v>1670.48</v>
      </c>
      <c r="K132" s="136"/>
      <c r="L132" s="164"/>
    </row>
    <row r="133" ht="27.7" customHeight="1">
      <c r="A133" t="s" s="169">
        <v>39</v>
      </c>
      <c r="B133" t="s" s="5">
        <v>79</v>
      </c>
      <c r="C133" t="s" s="170">
        <v>904</v>
      </c>
      <c r="D133" t="s" s="7">
        <v>379</v>
      </c>
      <c r="E133" s="8">
        <v>45946</v>
      </c>
      <c r="F133" s="171">
        <v>45960</v>
      </c>
      <c r="G133" s="136">
        <v>4678.25</v>
      </c>
      <c r="H133" t="s" s="131">
        <v>79</v>
      </c>
      <c r="I133" s="137">
        <v>45960</v>
      </c>
      <c r="J133" s="142">
        <v>4678.25</v>
      </c>
      <c r="K133" s="136">
        <f>J133-G133</f>
        <v>0</v>
      </c>
      <c r="L133" t="s" s="139">
        <v>2199</v>
      </c>
    </row>
    <row r="134" ht="27.7" customHeight="1">
      <c r="A134" t="s" s="169">
        <v>39</v>
      </c>
      <c r="B134" t="s" s="5">
        <v>79</v>
      </c>
      <c r="C134" t="s" s="170">
        <v>904</v>
      </c>
      <c r="D134" t="s" s="7">
        <v>379</v>
      </c>
      <c r="E134" s="8">
        <v>45946</v>
      </c>
      <c r="F134" s="171">
        <v>45992</v>
      </c>
      <c r="G134" s="136">
        <v>3334.35</v>
      </c>
      <c r="H134" t="s" s="131">
        <v>79</v>
      </c>
      <c r="I134" s="137">
        <v>45994</v>
      </c>
      <c r="J134" s="142">
        <v>3334.35</v>
      </c>
      <c r="K134" s="136">
        <f>J134-G134</f>
        <v>0</v>
      </c>
      <c r="L134" t="s" s="139">
        <v>2200</v>
      </c>
    </row>
    <row r="135" ht="27.7" customHeight="1">
      <c r="A135" t="s" s="169">
        <v>39</v>
      </c>
      <c r="B135" t="s" s="5">
        <v>79</v>
      </c>
      <c r="C135" t="s" s="170">
        <v>904</v>
      </c>
      <c r="D135" t="s" s="7">
        <v>379</v>
      </c>
      <c r="E135" s="8">
        <v>45946</v>
      </c>
      <c r="F135" s="171">
        <v>46372</v>
      </c>
      <c r="G135" s="136">
        <v>8011</v>
      </c>
      <c r="H135" t="s" s="131">
        <v>13</v>
      </c>
      <c r="I135" s="137">
        <v>46031</v>
      </c>
      <c r="J135" s="138">
        <v>8011</v>
      </c>
      <c r="K135" s="136">
        <f>J135-G135</f>
        <v>0</v>
      </c>
      <c r="L135" t="s" s="139">
        <v>2201</v>
      </c>
    </row>
    <row r="136" ht="27.7" customHeight="1">
      <c r="A136" t="s" s="169">
        <v>1936</v>
      </c>
      <c r="B136" t="s" s="5">
        <v>79</v>
      </c>
      <c r="C136" t="s" s="172">
        <v>904</v>
      </c>
      <c r="D136" t="s" s="7">
        <v>379</v>
      </c>
      <c r="E136" s="8">
        <v>45946</v>
      </c>
      <c r="F136" s="171">
        <v>46037</v>
      </c>
      <c r="G136" s="136">
        <v>8011</v>
      </c>
      <c r="H136" t="s" s="131">
        <v>79</v>
      </c>
      <c r="I136" s="137">
        <v>46045</v>
      </c>
      <c r="J136" s="142">
        <v>2000</v>
      </c>
      <c r="K136" s="136">
        <f>J136-G136</f>
        <v>-6011</v>
      </c>
      <c r="L136" t="s" s="139">
        <v>2166</v>
      </c>
    </row>
    <row r="137" ht="27.7" customHeight="1">
      <c r="A137" t="s" s="169">
        <v>1936</v>
      </c>
      <c r="B137" t="s" s="5">
        <v>79</v>
      </c>
      <c r="C137" t="s" s="173">
        <v>904</v>
      </c>
      <c r="D137" t="s" s="7">
        <v>379</v>
      </c>
      <c r="E137" s="8">
        <v>45946</v>
      </c>
      <c r="F137" s="171">
        <v>46067</v>
      </c>
      <c r="G137" s="136">
        <v>8011</v>
      </c>
      <c r="H137" s="158"/>
      <c r="I137" s="144"/>
      <c r="J137" s="145"/>
      <c r="K137" s="136">
        <f>J137-G137</f>
        <v>-8011</v>
      </c>
      <c r="L137" t="s" s="139">
        <v>2168</v>
      </c>
    </row>
    <row r="138" ht="27.7" customHeight="1">
      <c r="A138" t="s" s="130">
        <v>39</v>
      </c>
      <c r="B138" t="s" s="174">
        <v>633</v>
      </c>
      <c r="C138" t="s" s="175">
        <v>883</v>
      </c>
      <c r="D138" t="s" s="176">
        <v>888</v>
      </c>
      <c r="E138" s="177">
        <v>45563</v>
      </c>
      <c r="F138" s="144">
        <v>45575</v>
      </c>
      <c r="G138" s="136">
        <v>532.9400000000001</v>
      </c>
      <c r="H138" t="s" s="131">
        <v>40</v>
      </c>
      <c r="I138" s="137">
        <v>45595</v>
      </c>
      <c r="J138" s="149">
        <v>532.9400000000001</v>
      </c>
      <c r="K138" s="136">
        <f>J138-G138</f>
        <v>0</v>
      </c>
      <c r="L138" t="s" s="139">
        <v>2202</v>
      </c>
    </row>
    <row r="139" ht="27.7" customHeight="1">
      <c r="A139" t="s" s="130">
        <v>39</v>
      </c>
      <c r="B139" t="s" s="131">
        <v>420</v>
      </c>
      <c r="C139" t="s" s="132">
        <v>988</v>
      </c>
      <c r="D139" t="s" s="133">
        <v>90</v>
      </c>
      <c r="E139" s="147">
        <v>45569</v>
      </c>
      <c r="F139" s="144">
        <v>45574</v>
      </c>
      <c r="G139" s="136">
        <v>5250</v>
      </c>
      <c r="H139" t="s" s="131">
        <v>13</v>
      </c>
      <c r="I139" s="137">
        <v>45574</v>
      </c>
      <c r="J139" s="138">
        <v>6250</v>
      </c>
      <c r="K139" s="136">
        <f>J139-G139</f>
        <v>1000</v>
      </c>
      <c r="L139" t="s" s="139">
        <v>2203</v>
      </c>
    </row>
    <row r="140" ht="27.7" customHeight="1">
      <c r="A140" t="s" s="130">
        <v>39</v>
      </c>
      <c r="B140" t="s" s="131">
        <v>21</v>
      </c>
      <c r="C140" t="s" s="132">
        <v>1592</v>
      </c>
      <c r="D140" t="s" s="133">
        <v>1593</v>
      </c>
      <c r="E140" s="147">
        <v>45576</v>
      </c>
      <c r="F140" s="144">
        <v>45626</v>
      </c>
      <c r="G140" s="136">
        <v>6742.74</v>
      </c>
      <c r="H140" t="s" s="131">
        <v>40</v>
      </c>
      <c r="I140" s="137">
        <v>45626</v>
      </c>
      <c r="J140" s="149">
        <v>6742.74</v>
      </c>
      <c r="K140" s="136">
        <f>J140-G140</f>
        <v>0</v>
      </c>
      <c r="L140" t="s" s="139">
        <v>2204</v>
      </c>
    </row>
    <row r="141" ht="27.7" customHeight="1">
      <c r="A141" t="s" s="130">
        <v>39</v>
      </c>
      <c r="B141" t="s" s="131">
        <v>79</v>
      </c>
      <c r="C141" t="s" s="132">
        <v>1700</v>
      </c>
      <c r="D141" t="s" s="133">
        <v>15</v>
      </c>
      <c r="E141" s="147">
        <v>45581</v>
      </c>
      <c r="F141" s="144">
        <v>45597</v>
      </c>
      <c r="G141" s="136">
        <v>17344.992</v>
      </c>
      <c r="H141" t="s" s="131">
        <v>97</v>
      </c>
      <c r="I141" s="137">
        <v>45604</v>
      </c>
      <c r="J141" s="149">
        <v>17344.992</v>
      </c>
      <c r="K141" s="136">
        <f>J141-G141</f>
        <v>0</v>
      </c>
      <c r="L141" t="s" s="139">
        <v>2205</v>
      </c>
    </row>
    <row r="142" ht="27.7" customHeight="1">
      <c r="A142" t="s" s="130">
        <v>39</v>
      </c>
      <c r="B142" t="s" s="131">
        <v>97</v>
      </c>
      <c r="C142" t="s" s="132">
        <v>2206</v>
      </c>
      <c r="D142" t="s" s="133">
        <v>246</v>
      </c>
      <c r="E142" s="147">
        <v>45583</v>
      </c>
      <c r="F142" s="144">
        <v>45590</v>
      </c>
      <c r="G142" s="136">
        <v>20000</v>
      </c>
      <c r="H142" t="s" s="131">
        <v>97</v>
      </c>
      <c r="I142" s="137">
        <v>45590</v>
      </c>
      <c r="J142" s="161">
        <v>20000</v>
      </c>
      <c r="K142" s="136">
        <f>J142-G142</f>
        <v>0</v>
      </c>
      <c r="L142" t="s" s="139">
        <v>2207</v>
      </c>
    </row>
    <row r="143" ht="27.7" customHeight="1">
      <c r="A143" t="s" s="130">
        <v>39</v>
      </c>
      <c r="B143" t="s" s="131">
        <v>97</v>
      </c>
      <c r="C143" t="s" s="132">
        <v>2206</v>
      </c>
      <c r="D143" t="s" s="133">
        <v>246</v>
      </c>
      <c r="E143" s="147">
        <v>45583</v>
      </c>
      <c r="F143" s="144">
        <v>45618</v>
      </c>
      <c r="G143" s="136">
        <v>17075.2</v>
      </c>
      <c r="H143" t="s" s="131">
        <v>97</v>
      </c>
      <c r="I143" s="137">
        <v>45632</v>
      </c>
      <c r="J143" s="161">
        <v>17075.2</v>
      </c>
      <c r="K143" s="136">
        <f>J143-G143</f>
        <v>0</v>
      </c>
      <c r="L143" t="s" s="139">
        <v>2208</v>
      </c>
    </row>
    <row r="144" ht="27.7" customHeight="1">
      <c r="A144" t="s" s="130">
        <v>39</v>
      </c>
      <c r="B144" t="s" s="131">
        <v>40</v>
      </c>
      <c r="C144" t="s" s="132">
        <v>1511</v>
      </c>
      <c r="D144" t="s" s="133">
        <v>206</v>
      </c>
      <c r="E144" s="147">
        <v>45589</v>
      </c>
      <c r="F144" s="144">
        <v>45589</v>
      </c>
      <c r="G144" s="136">
        <v>4726.55</v>
      </c>
      <c r="H144" t="s" s="131">
        <v>40</v>
      </c>
      <c r="I144" s="137">
        <v>45589</v>
      </c>
      <c r="J144" s="161">
        <v>4726.55</v>
      </c>
      <c r="K144" s="136">
        <f>J144-G144</f>
        <v>0</v>
      </c>
      <c r="L144" t="s" s="139">
        <v>2209</v>
      </c>
    </row>
    <row r="145" ht="27.7" customHeight="1">
      <c r="A145" t="s" s="130">
        <v>39</v>
      </c>
      <c r="B145" t="s" s="131">
        <v>40</v>
      </c>
      <c r="C145" t="s" s="132">
        <v>1511</v>
      </c>
      <c r="D145" t="s" s="133">
        <v>206</v>
      </c>
      <c r="E145" s="147">
        <v>45589</v>
      </c>
      <c r="F145" s="144">
        <v>45619</v>
      </c>
      <c r="G145" s="136">
        <v>4621</v>
      </c>
      <c r="H145" t="s" s="131">
        <v>40</v>
      </c>
      <c r="I145" s="137">
        <v>45621</v>
      </c>
      <c r="J145" s="161">
        <v>4621</v>
      </c>
      <c r="K145" s="136">
        <f>J145-G145</f>
        <v>0</v>
      </c>
      <c r="L145" t="s" s="139">
        <v>2210</v>
      </c>
    </row>
    <row r="146" ht="27.7" customHeight="1">
      <c r="A146" t="s" s="130">
        <v>39</v>
      </c>
      <c r="B146" t="s" s="131">
        <v>40</v>
      </c>
      <c r="C146" t="s" s="132">
        <v>1511</v>
      </c>
      <c r="D146" t="s" s="133">
        <v>206</v>
      </c>
      <c r="E146" s="147">
        <v>45589</v>
      </c>
      <c r="F146" s="144">
        <v>45649</v>
      </c>
      <c r="G146" s="136">
        <v>4621</v>
      </c>
      <c r="H146" t="s" s="131">
        <v>40</v>
      </c>
      <c r="I146" s="137">
        <v>45649</v>
      </c>
      <c r="J146" s="161">
        <v>4621</v>
      </c>
      <c r="K146" s="136">
        <f>J146-G146</f>
        <v>0</v>
      </c>
      <c r="L146" t="s" s="139">
        <v>2211</v>
      </c>
    </row>
    <row r="147" ht="27.7" customHeight="1">
      <c r="A147" t="s" s="130">
        <v>39</v>
      </c>
      <c r="B147" t="s" s="131">
        <v>97</v>
      </c>
      <c r="C147" t="s" s="150">
        <v>1535</v>
      </c>
      <c r="D147" t="s" s="133">
        <v>1533</v>
      </c>
      <c r="E147" s="147">
        <v>45595</v>
      </c>
      <c r="F147" s="144">
        <v>45626</v>
      </c>
      <c r="G147" s="136">
        <v>14163</v>
      </c>
      <c r="H147" t="s" s="131">
        <v>97</v>
      </c>
      <c r="I147" s="137">
        <v>45628</v>
      </c>
      <c r="J147" s="161">
        <v>14163</v>
      </c>
      <c r="K147" s="136">
        <f>J147-G147</f>
        <v>0</v>
      </c>
      <c r="L147" t="s" s="139">
        <v>2212</v>
      </c>
    </row>
    <row r="148" ht="27.7" customHeight="1">
      <c r="A148" t="s" s="130">
        <v>39</v>
      </c>
      <c r="B148" t="s" s="131">
        <v>97</v>
      </c>
      <c r="C148" t="s" s="150">
        <v>1535</v>
      </c>
      <c r="D148" t="s" s="133">
        <v>1533</v>
      </c>
      <c r="E148" s="147">
        <v>45595</v>
      </c>
      <c r="F148" s="144">
        <v>45656</v>
      </c>
      <c r="G148" s="136">
        <v>14163</v>
      </c>
      <c r="H148" t="s" s="131">
        <v>40</v>
      </c>
      <c r="I148" s="137">
        <v>45656</v>
      </c>
      <c r="J148" s="149">
        <v>14163</v>
      </c>
      <c r="K148" s="136">
        <f>J148-G148</f>
        <v>0</v>
      </c>
      <c r="L148" t="s" s="139">
        <v>2213</v>
      </c>
    </row>
    <row r="149" ht="27.7" customHeight="1">
      <c r="A149" t="s" s="130">
        <v>39</v>
      </c>
      <c r="B149" t="s" s="131">
        <v>97</v>
      </c>
      <c r="C149" t="s" s="150">
        <v>1535</v>
      </c>
      <c r="D149" t="s" s="133">
        <v>1533</v>
      </c>
      <c r="E149" s="147">
        <v>45595</v>
      </c>
      <c r="F149" s="144">
        <v>45686</v>
      </c>
      <c r="G149" s="136">
        <v>14163</v>
      </c>
      <c r="H149" t="s" s="131">
        <v>97</v>
      </c>
      <c r="I149" s="137">
        <v>45685</v>
      </c>
      <c r="J149" s="161">
        <v>14163</v>
      </c>
      <c r="K149" s="136">
        <f>J149-G149</f>
        <v>0</v>
      </c>
      <c r="L149" t="s" s="139">
        <v>2214</v>
      </c>
    </row>
    <row r="150" ht="27.7" customHeight="1">
      <c r="A150" t="s" s="130">
        <v>39</v>
      </c>
      <c r="B150" t="s" s="131">
        <v>97</v>
      </c>
      <c r="C150" t="s" s="150">
        <v>1535</v>
      </c>
      <c r="D150" t="s" s="133">
        <v>1533</v>
      </c>
      <c r="E150" s="147">
        <v>45595</v>
      </c>
      <c r="F150" s="144">
        <v>45716</v>
      </c>
      <c r="G150" s="136">
        <v>14162.5</v>
      </c>
      <c r="H150" t="s" s="131">
        <v>97</v>
      </c>
      <c r="I150" s="137">
        <v>45714</v>
      </c>
      <c r="J150" s="161">
        <v>14262.5</v>
      </c>
      <c r="K150" s="136">
        <f>J150-G150</f>
        <v>100</v>
      </c>
      <c r="L150" t="s" s="139">
        <v>2114</v>
      </c>
    </row>
    <row r="151" ht="27.7" customHeight="1">
      <c r="A151" t="s" s="130">
        <v>39</v>
      </c>
      <c r="B151" t="s" s="131">
        <v>420</v>
      </c>
      <c r="C151" t="s" s="132">
        <v>988</v>
      </c>
      <c r="D151" t="s" s="133">
        <v>90</v>
      </c>
      <c r="E151" s="147">
        <v>45600</v>
      </c>
      <c r="F151" s="144">
        <v>45616</v>
      </c>
      <c r="G151" s="136">
        <v>6300</v>
      </c>
      <c r="H151" t="s" s="131">
        <v>36</v>
      </c>
      <c r="I151" s="137">
        <v>45617</v>
      </c>
      <c r="J151" s="149">
        <v>6300</v>
      </c>
      <c r="K151" s="136">
        <f>J151-G151</f>
        <v>0</v>
      </c>
      <c r="L151" t="s" s="139">
        <v>2215</v>
      </c>
    </row>
    <row r="152" ht="27.7" customHeight="1">
      <c r="A152" t="s" s="130">
        <v>39</v>
      </c>
      <c r="B152" t="s" s="131">
        <v>61</v>
      </c>
      <c r="C152" t="s" s="132">
        <v>1638</v>
      </c>
      <c r="D152" t="s" s="133">
        <v>468</v>
      </c>
      <c r="E152" s="147">
        <v>45608</v>
      </c>
      <c r="F152" s="144">
        <v>45645</v>
      </c>
      <c r="G152" s="136">
        <v>1924.6</v>
      </c>
      <c r="H152" t="s" s="131">
        <v>21</v>
      </c>
      <c r="I152" s="137">
        <v>45665</v>
      </c>
      <c r="J152" s="142">
        <f>G152+G153</f>
        <v>3849.2</v>
      </c>
      <c r="K152" s="136">
        <f>J152-G152</f>
        <v>1924.6</v>
      </c>
      <c r="L152" t="s" s="139">
        <v>2216</v>
      </c>
    </row>
    <row r="153" ht="27.7" customHeight="1">
      <c r="A153" t="s" s="130">
        <v>39</v>
      </c>
      <c r="B153" t="s" s="131">
        <v>61</v>
      </c>
      <c r="C153" t="s" s="132">
        <v>1638</v>
      </c>
      <c r="D153" t="s" s="133">
        <v>468</v>
      </c>
      <c r="E153" s="147">
        <v>45608</v>
      </c>
      <c r="F153" s="144">
        <v>45660</v>
      </c>
      <c r="G153" s="136">
        <v>1924.6</v>
      </c>
      <c r="H153" t="s" s="131">
        <v>21</v>
      </c>
      <c r="I153" s="137">
        <v>45665</v>
      </c>
      <c r="J153" s="178">
        <v>1924.6</v>
      </c>
      <c r="K153" s="136">
        <f>J153-G153</f>
        <v>0</v>
      </c>
      <c r="L153" t="s" s="139">
        <v>2217</v>
      </c>
    </row>
    <row r="154" ht="27.7" customHeight="1">
      <c r="A154" t="s" s="130">
        <v>39</v>
      </c>
      <c r="B154" t="s" s="131">
        <v>61</v>
      </c>
      <c r="C154" t="s" s="132">
        <v>1638</v>
      </c>
      <c r="D154" t="s" s="133">
        <v>468</v>
      </c>
      <c r="E154" s="147">
        <v>45608</v>
      </c>
      <c r="F154" s="144">
        <v>45675</v>
      </c>
      <c r="G154" s="136">
        <v>1924.6</v>
      </c>
      <c r="H154" t="s" s="131">
        <v>2150</v>
      </c>
      <c r="I154" s="144"/>
      <c r="J154" s="145"/>
      <c r="K154" s="136"/>
      <c r="L154" t="s" s="139">
        <v>2161</v>
      </c>
    </row>
    <row r="155" ht="27.7" customHeight="1">
      <c r="A155" t="s" s="130">
        <v>39</v>
      </c>
      <c r="B155" t="s" s="131">
        <v>61</v>
      </c>
      <c r="C155" t="s" s="132">
        <v>1638</v>
      </c>
      <c r="D155" t="s" s="133">
        <v>468</v>
      </c>
      <c r="E155" s="147">
        <v>45608</v>
      </c>
      <c r="F155" s="144">
        <v>45690</v>
      </c>
      <c r="G155" s="136">
        <v>1924.6</v>
      </c>
      <c r="H155" t="s" s="131">
        <v>2150</v>
      </c>
      <c r="I155" s="144"/>
      <c r="J155" s="145"/>
      <c r="K155" s="136"/>
      <c r="L155" t="s" s="139">
        <v>2166</v>
      </c>
    </row>
    <row r="156" ht="27.7" customHeight="1">
      <c r="A156" t="s" s="130">
        <v>39</v>
      </c>
      <c r="B156" t="s" s="131">
        <v>61</v>
      </c>
      <c r="C156" t="s" s="132">
        <v>1638</v>
      </c>
      <c r="D156" t="s" s="133">
        <v>468</v>
      </c>
      <c r="E156" s="147">
        <v>45608</v>
      </c>
      <c r="F156" s="144">
        <v>45705</v>
      </c>
      <c r="G156" s="136">
        <v>1924.6</v>
      </c>
      <c r="H156" t="s" s="131">
        <v>2150</v>
      </c>
      <c r="I156" s="144"/>
      <c r="J156" s="145"/>
      <c r="K156" s="136"/>
      <c r="L156" t="s" s="139">
        <v>2168</v>
      </c>
    </row>
    <row r="157" ht="27.7" customHeight="1">
      <c r="A157" t="s" s="130">
        <v>39</v>
      </c>
      <c r="B157" t="s" s="131">
        <v>30</v>
      </c>
      <c r="C157" t="s" s="150">
        <v>1535</v>
      </c>
      <c r="D157" t="s" s="133">
        <v>1533</v>
      </c>
      <c r="E157" s="147">
        <v>45617</v>
      </c>
      <c r="F157" s="144">
        <v>45648</v>
      </c>
      <c r="G157" s="136">
        <v>4694</v>
      </c>
      <c r="H157" t="s" s="131">
        <v>40</v>
      </c>
      <c r="I157" s="137">
        <v>45653</v>
      </c>
      <c r="J157" s="149">
        <v>4694</v>
      </c>
      <c r="K157" s="136">
        <f>J157-G157</f>
        <v>0</v>
      </c>
      <c r="L157" t="s" s="139">
        <v>2218</v>
      </c>
    </row>
    <row r="158" ht="27.7" customHeight="1">
      <c r="A158" t="s" s="130">
        <v>39</v>
      </c>
      <c r="B158" t="s" s="131">
        <v>30</v>
      </c>
      <c r="C158" t="s" s="150">
        <v>1535</v>
      </c>
      <c r="D158" t="s" s="133">
        <v>1533</v>
      </c>
      <c r="E158" s="147">
        <v>45617</v>
      </c>
      <c r="F158" s="144">
        <v>45678</v>
      </c>
      <c r="G158" s="136">
        <v>4473</v>
      </c>
      <c r="H158" t="s" s="131">
        <v>30</v>
      </c>
      <c r="I158" s="137">
        <v>45679</v>
      </c>
      <c r="J158" s="161">
        <v>4473</v>
      </c>
      <c r="K158" s="136">
        <f>J158-G158</f>
        <v>0</v>
      </c>
      <c r="L158" t="s" s="139">
        <v>2109</v>
      </c>
    </row>
    <row r="159" ht="27.7" customHeight="1">
      <c r="A159" t="s" s="130">
        <v>39</v>
      </c>
      <c r="B159" t="s" s="131">
        <v>30</v>
      </c>
      <c r="C159" t="s" s="150">
        <v>1535</v>
      </c>
      <c r="D159" t="s" s="133">
        <v>1533</v>
      </c>
      <c r="E159" s="147">
        <v>45617</v>
      </c>
      <c r="F159" s="144">
        <v>45708</v>
      </c>
      <c r="G159" s="136">
        <v>4473</v>
      </c>
      <c r="H159" t="s" s="131">
        <v>97</v>
      </c>
      <c r="I159" s="137">
        <v>45708</v>
      </c>
      <c r="J159" s="149">
        <v>4473</v>
      </c>
      <c r="K159" s="136">
        <f>J159-G159</f>
        <v>0</v>
      </c>
      <c r="L159" t="s" s="139">
        <v>2148</v>
      </c>
    </row>
    <row r="160" ht="27.7" customHeight="1">
      <c r="A160" t="s" s="130">
        <v>39</v>
      </c>
      <c r="B160" t="s" s="131">
        <v>30</v>
      </c>
      <c r="C160" t="s" s="132">
        <v>740</v>
      </c>
      <c r="D160" t="s" s="133">
        <v>246</v>
      </c>
      <c r="E160" s="147">
        <v>45617</v>
      </c>
      <c r="F160" s="144">
        <v>45648</v>
      </c>
      <c r="G160" s="136">
        <v>18415</v>
      </c>
      <c r="H160" t="s" s="131">
        <v>40</v>
      </c>
      <c r="I160" s="137">
        <v>45653</v>
      </c>
      <c r="J160" s="149">
        <v>18415</v>
      </c>
      <c r="K160" s="136">
        <f>J160-G160</f>
        <v>0</v>
      </c>
      <c r="L160" t="s" s="139">
        <v>2219</v>
      </c>
    </row>
    <row r="161" ht="27.7" customHeight="1">
      <c r="A161" t="s" s="130">
        <v>39</v>
      </c>
      <c r="B161" t="s" s="131">
        <v>30</v>
      </c>
      <c r="C161" t="s" s="132">
        <v>1249</v>
      </c>
      <c r="D161" t="s" s="133">
        <v>129</v>
      </c>
      <c r="E161" s="147">
        <v>45617</v>
      </c>
      <c r="F161" s="144">
        <v>45648</v>
      </c>
      <c r="G161" s="151">
        <v>5939</v>
      </c>
      <c r="H161" t="s" s="131">
        <v>30</v>
      </c>
      <c r="I161" s="137">
        <v>45671</v>
      </c>
      <c r="J161" s="142">
        <v>5939</v>
      </c>
      <c r="K161" s="136">
        <f>J161-G161</f>
        <v>0</v>
      </c>
      <c r="L161" t="s" s="139">
        <v>2220</v>
      </c>
    </row>
    <row r="162" ht="27.7" customHeight="1">
      <c r="A162" t="s" s="130">
        <v>39</v>
      </c>
      <c r="B162" t="s" s="131">
        <v>30</v>
      </c>
      <c r="C162" t="s" s="132">
        <v>1249</v>
      </c>
      <c r="D162" t="s" s="133">
        <v>129</v>
      </c>
      <c r="E162" s="147">
        <v>45617</v>
      </c>
      <c r="F162" s="144">
        <v>45678</v>
      </c>
      <c r="G162" s="136">
        <v>5673</v>
      </c>
      <c r="H162" t="s" s="131">
        <v>30</v>
      </c>
      <c r="I162" s="137">
        <v>45685</v>
      </c>
      <c r="J162" s="142">
        <v>5673</v>
      </c>
      <c r="K162" s="136">
        <f>J162-G162</f>
        <v>0</v>
      </c>
      <c r="L162" t="s" s="139">
        <v>2221</v>
      </c>
    </row>
    <row r="163" ht="27.7" customHeight="1">
      <c r="A163" t="s" s="130">
        <v>39</v>
      </c>
      <c r="B163" t="s" s="131">
        <v>30</v>
      </c>
      <c r="C163" t="s" s="132">
        <v>1249</v>
      </c>
      <c r="D163" t="s" s="133">
        <v>129</v>
      </c>
      <c r="E163" s="147">
        <v>45617</v>
      </c>
      <c r="F163" s="144">
        <v>45708</v>
      </c>
      <c r="G163" s="136">
        <v>5673</v>
      </c>
      <c r="H163" t="s" s="131">
        <v>97</v>
      </c>
      <c r="I163" s="137">
        <v>45715</v>
      </c>
      <c r="J163" s="149">
        <v>5673</v>
      </c>
      <c r="K163" s="136">
        <f>J163-G163</f>
        <v>0</v>
      </c>
      <c r="L163" t="s" s="139">
        <v>2148</v>
      </c>
    </row>
    <row r="164" ht="27.7" customHeight="1">
      <c r="A164" t="s" s="130">
        <v>39</v>
      </c>
      <c r="B164" t="s" s="131">
        <v>97</v>
      </c>
      <c r="C164" t="s" s="150">
        <v>1535</v>
      </c>
      <c r="D164" t="s" s="133">
        <v>1533</v>
      </c>
      <c r="E164" s="147">
        <v>45623</v>
      </c>
      <c r="F164" s="144">
        <v>45654</v>
      </c>
      <c r="G164" s="136">
        <v>16362.2</v>
      </c>
      <c r="H164" t="s" s="131">
        <v>97</v>
      </c>
      <c r="I164" s="137">
        <v>45653</v>
      </c>
      <c r="J164" s="161">
        <v>16362.2</v>
      </c>
      <c r="K164" s="136">
        <f>J164-G164</f>
        <v>0</v>
      </c>
      <c r="L164" t="s" s="139">
        <v>2212</v>
      </c>
    </row>
    <row r="165" ht="27.7" customHeight="1">
      <c r="A165" t="s" s="130">
        <v>39</v>
      </c>
      <c r="B165" t="s" s="131">
        <v>97</v>
      </c>
      <c r="C165" t="s" s="150">
        <v>1535</v>
      </c>
      <c r="D165" t="s" s="133">
        <v>1533</v>
      </c>
      <c r="E165" s="147">
        <v>45623</v>
      </c>
      <c r="F165" s="144">
        <v>45684</v>
      </c>
      <c r="G165" s="136">
        <v>16362.2</v>
      </c>
      <c r="H165" t="s" s="131">
        <v>97</v>
      </c>
      <c r="I165" s="137">
        <v>45684</v>
      </c>
      <c r="J165" s="161">
        <v>16362.2</v>
      </c>
      <c r="K165" s="136">
        <f>J165-G165</f>
        <v>0</v>
      </c>
      <c r="L165" t="s" s="139">
        <v>2222</v>
      </c>
    </row>
    <row r="166" ht="27.7" customHeight="1">
      <c r="A166" t="s" s="130">
        <v>39</v>
      </c>
      <c r="B166" t="s" s="131">
        <v>97</v>
      </c>
      <c r="C166" t="s" s="150">
        <v>1535</v>
      </c>
      <c r="D166" t="s" s="133">
        <v>1533</v>
      </c>
      <c r="E166" s="147">
        <v>45623</v>
      </c>
      <c r="F166" s="144">
        <v>45714</v>
      </c>
      <c r="G166" s="136">
        <v>16362.2</v>
      </c>
      <c r="H166" t="s" s="131">
        <v>97</v>
      </c>
      <c r="I166" s="137">
        <v>45713</v>
      </c>
      <c r="J166" s="161">
        <v>16362.2</v>
      </c>
      <c r="K166" s="136">
        <f>J166-G166</f>
        <v>0</v>
      </c>
      <c r="L166" t="s" s="139">
        <v>2214</v>
      </c>
    </row>
    <row r="167" ht="27.7" customHeight="1">
      <c r="A167" t="s" s="130">
        <v>39</v>
      </c>
      <c r="B167" t="s" s="131">
        <v>97</v>
      </c>
      <c r="C167" t="s" s="150">
        <v>1535</v>
      </c>
      <c r="D167" t="s" s="133">
        <v>1533</v>
      </c>
      <c r="E167" s="147">
        <v>45623</v>
      </c>
      <c r="F167" s="144">
        <v>45744</v>
      </c>
      <c r="G167" s="136">
        <v>16362.2</v>
      </c>
      <c r="H167" t="s" s="131">
        <v>97</v>
      </c>
      <c r="I167" s="137">
        <v>45742</v>
      </c>
      <c r="J167" s="161">
        <v>16362.2</v>
      </c>
      <c r="K167" s="136">
        <f>J167-G167</f>
        <v>0</v>
      </c>
      <c r="L167" t="s" s="139">
        <v>2114</v>
      </c>
    </row>
    <row r="168" ht="27.7" customHeight="1">
      <c r="A168" t="s" s="130">
        <v>39</v>
      </c>
      <c r="B168" t="s" s="131">
        <v>88</v>
      </c>
      <c r="C168" t="s" s="132">
        <v>1305</v>
      </c>
      <c r="D168" t="s" s="133">
        <v>379</v>
      </c>
      <c r="E168" s="147">
        <v>45633</v>
      </c>
      <c r="F168" s="144">
        <v>45664</v>
      </c>
      <c r="G168" s="136">
        <v>7442.5</v>
      </c>
      <c r="H168" t="s" s="131">
        <v>88</v>
      </c>
      <c r="I168" s="137">
        <v>45304</v>
      </c>
      <c r="J168" s="142">
        <v>7442.5</v>
      </c>
      <c r="K168" s="136">
        <f>J168-G168</f>
        <v>0</v>
      </c>
      <c r="L168" t="s" s="139">
        <v>2223</v>
      </c>
    </row>
    <row r="169" ht="27.7" customHeight="1">
      <c r="A169" t="s" s="130">
        <v>39</v>
      </c>
      <c r="B169" t="s" s="131">
        <v>88</v>
      </c>
      <c r="C169" t="s" s="132">
        <v>1305</v>
      </c>
      <c r="D169" t="s" s="133">
        <v>379</v>
      </c>
      <c r="E169" s="147">
        <v>45633</v>
      </c>
      <c r="F169" s="144">
        <v>45694</v>
      </c>
      <c r="G169" s="136">
        <v>6855</v>
      </c>
      <c r="H169" t="s" s="131">
        <v>88</v>
      </c>
      <c r="I169" s="137">
        <v>45695</v>
      </c>
      <c r="J169" s="142">
        <v>6855</v>
      </c>
      <c r="K169" s="136">
        <f>J169-G169</f>
        <v>0</v>
      </c>
      <c r="L169" t="s" s="139">
        <v>2224</v>
      </c>
    </row>
    <row r="170" ht="27.7" customHeight="1">
      <c r="A170" t="s" s="130">
        <v>39</v>
      </c>
      <c r="B170" t="s" s="131">
        <v>88</v>
      </c>
      <c r="C170" t="s" s="132">
        <v>1305</v>
      </c>
      <c r="D170" t="s" s="133">
        <v>379</v>
      </c>
      <c r="E170" s="147">
        <v>45633</v>
      </c>
      <c r="F170" s="144">
        <v>45724</v>
      </c>
      <c r="G170" s="136">
        <v>6855</v>
      </c>
      <c r="H170" t="s" s="131">
        <v>30</v>
      </c>
      <c r="I170" s="137">
        <v>45726</v>
      </c>
      <c r="J170" s="149">
        <v>6855</v>
      </c>
      <c r="K170" s="136">
        <f>J170-G170</f>
        <v>0</v>
      </c>
      <c r="L170" t="s" s="139">
        <v>2225</v>
      </c>
    </row>
    <row r="171" ht="27.7" customHeight="1">
      <c r="A171" t="s" s="130">
        <v>39</v>
      </c>
      <c r="B171" t="s" s="131">
        <v>21</v>
      </c>
      <c r="C171" t="s" s="132">
        <v>1641</v>
      </c>
      <c r="D171" t="s" s="133">
        <v>72</v>
      </c>
      <c r="E171" s="147">
        <v>45637</v>
      </c>
      <c r="F171" s="144">
        <v>45647</v>
      </c>
      <c r="G171" s="136">
        <v>260</v>
      </c>
      <c r="H171" t="s" s="131">
        <v>21</v>
      </c>
      <c r="I171" s="137">
        <v>45650</v>
      </c>
      <c r="J171" s="161">
        <v>260</v>
      </c>
      <c r="K171" s="136">
        <f>J171-G171</f>
        <v>0</v>
      </c>
      <c r="L171" t="s" s="139">
        <v>2152</v>
      </c>
    </row>
    <row r="172" ht="27.7" customHeight="1">
      <c r="A172" t="s" s="130">
        <v>39</v>
      </c>
      <c r="B172" t="s" s="131">
        <v>21</v>
      </c>
      <c r="C172" t="s" s="132">
        <v>1641</v>
      </c>
      <c r="D172" t="s" s="133">
        <v>72</v>
      </c>
      <c r="E172" s="147">
        <v>45637</v>
      </c>
      <c r="F172" s="144">
        <v>45668</v>
      </c>
      <c r="G172" s="136">
        <v>3433</v>
      </c>
      <c r="H172" t="s" s="131">
        <v>13</v>
      </c>
      <c r="I172" s="137">
        <v>45666</v>
      </c>
      <c r="J172" s="138">
        <v>3500</v>
      </c>
      <c r="K172" s="136">
        <f>J172-G172</f>
        <v>67</v>
      </c>
      <c r="L172" t="s" s="139">
        <v>2226</v>
      </c>
    </row>
    <row r="173" ht="27.7" customHeight="1">
      <c r="A173" t="s" s="130">
        <v>39</v>
      </c>
      <c r="B173" t="s" s="131">
        <v>21</v>
      </c>
      <c r="C173" t="s" s="132">
        <v>1641</v>
      </c>
      <c r="D173" t="s" s="133">
        <v>72</v>
      </c>
      <c r="E173" s="147">
        <v>45637</v>
      </c>
      <c r="F173" s="144">
        <v>45698</v>
      </c>
      <c r="G173" s="136">
        <v>3432</v>
      </c>
      <c r="H173" t="s" s="131">
        <v>21</v>
      </c>
      <c r="I173" s="137">
        <v>45702</v>
      </c>
      <c r="J173" s="161">
        <v>3300</v>
      </c>
      <c r="K173" s="136">
        <f>J173-G173</f>
        <v>-132</v>
      </c>
      <c r="L173" t="s" s="139">
        <v>2158</v>
      </c>
    </row>
    <row r="174" ht="27.7" customHeight="1">
      <c r="A174" t="s" s="130">
        <v>39</v>
      </c>
      <c r="B174" t="s" s="131">
        <v>21</v>
      </c>
      <c r="C174" t="s" s="132">
        <v>1641</v>
      </c>
      <c r="D174" t="s" s="133">
        <v>72</v>
      </c>
      <c r="E174" s="147">
        <v>45637</v>
      </c>
      <c r="F174" s="144">
        <v>45728</v>
      </c>
      <c r="G174" s="136">
        <v>3432</v>
      </c>
      <c r="H174" t="s" s="131">
        <v>97</v>
      </c>
      <c r="I174" s="137">
        <v>45736</v>
      </c>
      <c r="J174" s="149">
        <v>3497</v>
      </c>
      <c r="K174" s="136">
        <f>J174-G174</f>
        <v>65</v>
      </c>
      <c r="L174" t="s" s="139">
        <v>2148</v>
      </c>
    </row>
    <row r="175" ht="27.7" customHeight="1">
      <c r="A175" t="s" s="130">
        <v>39</v>
      </c>
      <c r="B175" t="s" s="131">
        <v>40</v>
      </c>
      <c r="C175" t="s" s="132">
        <v>1305</v>
      </c>
      <c r="D175" t="s" s="133">
        <v>379</v>
      </c>
      <c r="E175" s="147">
        <v>45638</v>
      </c>
      <c r="F175" s="144">
        <v>45669</v>
      </c>
      <c r="G175" s="136">
        <v>5586.44</v>
      </c>
      <c r="H175" t="s" s="131">
        <v>40</v>
      </c>
      <c r="I175" s="137">
        <v>45304</v>
      </c>
      <c r="J175" s="142">
        <v>5586.44</v>
      </c>
      <c r="K175" s="136">
        <f>J175-G175</f>
        <v>0</v>
      </c>
      <c r="L175" t="s" s="139">
        <v>2209</v>
      </c>
    </row>
    <row r="176" ht="27.7" customHeight="1">
      <c r="A176" t="s" s="130">
        <v>39</v>
      </c>
      <c r="B176" t="s" s="131">
        <v>40</v>
      </c>
      <c r="C176" t="s" s="132">
        <v>1305</v>
      </c>
      <c r="D176" t="s" s="133">
        <v>379</v>
      </c>
      <c r="E176" s="147">
        <v>45638</v>
      </c>
      <c r="F176" s="144">
        <v>45699</v>
      </c>
      <c r="G176" s="136">
        <v>5448</v>
      </c>
      <c r="H176" t="s" s="131">
        <v>40</v>
      </c>
      <c r="I176" s="137">
        <v>45699</v>
      </c>
      <c r="J176" s="142">
        <v>5448</v>
      </c>
      <c r="K176" s="136">
        <f>J176-G176</f>
        <v>0</v>
      </c>
      <c r="L176" t="s" s="139">
        <v>2210</v>
      </c>
    </row>
    <row r="177" ht="27.7" customHeight="1">
      <c r="A177" t="s" s="130">
        <v>39</v>
      </c>
      <c r="B177" t="s" s="131">
        <v>40</v>
      </c>
      <c r="C177" t="s" s="132">
        <v>1305</v>
      </c>
      <c r="D177" t="s" s="133">
        <v>379</v>
      </c>
      <c r="E177" s="147">
        <v>45638</v>
      </c>
      <c r="F177" s="144">
        <v>45729</v>
      </c>
      <c r="G177" s="136">
        <v>5448</v>
      </c>
      <c r="H177" t="s" s="131">
        <v>30</v>
      </c>
      <c r="I177" s="137">
        <v>45729</v>
      </c>
      <c r="J177" s="149">
        <v>5448</v>
      </c>
      <c r="K177" s="136">
        <f>J177-G177</f>
        <v>0</v>
      </c>
      <c r="L177" t="s" s="139">
        <v>2225</v>
      </c>
    </row>
    <row r="178" ht="27.7" customHeight="1">
      <c r="A178" t="s" s="130">
        <v>39</v>
      </c>
      <c r="B178" t="s" s="131">
        <v>21</v>
      </c>
      <c r="C178" t="s" s="132">
        <v>1705</v>
      </c>
      <c r="D178" t="s" s="133">
        <v>545</v>
      </c>
      <c r="E178" s="147">
        <v>45643</v>
      </c>
      <c r="F178" t="s" s="179">
        <v>2227</v>
      </c>
      <c r="G178" s="136">
        <v>1270</v>
      </c>
      <c r="H178" t="s" s="131">
        <v>21</v>
      </c>
      <c r="I178" s="137">
        <v>45663</v>
      </c>
      <c r="J178" s="142">
        <v>1270</v>
      </c>
      <c r="K178" s="136">
        <f>J178-G178</f>
        <v>0</v>
      </c>
      <c r="L178" t="s" s="139">
        <v>2152</v>
      </c>
    </row>
    <row r="179" ht="27.7" customHeight="1">
      <c r="A179" t="s" s="130">
        <v>39</v>
      </c>
      <c r="B179" t="s" s="131">
        <v>21</v>
      </c>
      <c r="C179" t="s" s="132">
        <v>1705</v>
      </c>
      <c r="D179" t="s" s="133">
        <v>545</v>
      </c>
      <c r="E179" s="147">
        <v>45643</v>
      </c>
      <c r="F179" s="144">
        <v>45674</v>
      </c>
      <c r="G179" s="136">
        <v>10000</v>
      </c>
      <c r="H179" t="s" s="131">
        <v>30</v>
      </c>
      <c r="I179" s="137">
        <v>45672</v>
      </c>
      <c r="J179" s="149">
        <v>10000</v>
      </c>
      <c r="K179" s="136">
        <f>J179-G179</f>
        <v>0</v>
      </c>
      <c r="L179" t="s" s="139">
        <v>2228</v>
      </c>
    </row>
    <row r="180" ht="27.7" customHeight="1">
      <c r="A180" t="s" s="130">
        <v>39</v>
      </c>
      <c r="B180" t="s" s="131">
        <v>21</v>
      </c>
      <c r="C180" t="s" s="132">
        <v>1705</v>
      </c>
      <c r="D180" t="s" s="133">
        <v>545</v>
      </c>
      <c r="E180" s="147">
        <v>45643</v>
      </c>
      <c r="F180" s="144">
        <v>45689</v>
      </c>
      <c r="G180" s="136">
        <v>8083.5</v>
      </c>
      <c r="H180" t="s" s="131">
        <v>21</v>
      </c>
      <c r="I180" s="137">
        <v>45702</v>
      </c>
      <c r="J180" s="142">
        <v>8083.5</v>
      </c>
      <c r="K180" s="136">
        <f>J180-G180</f>
        <v>0</v>
      </c>
      <c r="L180" t="s" s="139">
        <v>2229</v>
      </c>
    </row>
    <row r="181" ht="27.7" customHeight="1">
      <c r="A181" t="s" s="130">
        <v>39</v>
      </c>
      <c r="B181" t="s" s="131">
        <v>21</v>
      </c>
      <c r="C181" t="s" s="132">
        <v>1705</v>
      </c>
      <c r="D181" t="s" s="133">
        <v>545</v>
      </c>
      <c r="E181" s="147">
        <v>45643</v>
      </c>
      <c r="F181" s="144">
        <v>45704</v>
      </c>
      <c r="G181" s="136">
        <v>8083.5</v>
      </c>
      <c r="H181" t="s" s="131">
        <v>21</v>
      </c>
      <c r="I181" s="137">
        <v>45708</v>
      </c>
      <c r="J181" s="142">
        <v>8083.5</v>
      </c>
      <c r="K181" s="136">
        <f>J181-G181</f>
        <v>0</v>
      </c>
      <c r="L181" t="s" s="139">
        <v>2230</v>
      </c>
    </row>
    <row r="182" ht="27.7" customHeight="1">
      <c r="A182" t="s" s="130">
        <v>39</v>
      </c>
      <c r="B182" t="s" s="131">
        <v>21</v>
      </c>
      <c r="C182" t="s" s="132">
        <v>1705</v>
      </c>
      <c r="D182" t="s" s="133">
        <v>545</v>
      </c>
      <c r="E182" s="147">
        <v>45643</v>
      </c>
      <c r="F182" s="144">
        <v>45718</v>
      </c>
      <c r="G182" s="136">
        <v>7056.55</v>
      </c>
      <c r="H182" t="s" s="131">
        <v>30</v>
      </c>
      <c r="I182" s="137">
        <v>45722</v>
      </c>
      <c r="J182" s="149">
        <v>7056.55</v>
      </c>
      <c r="K182" s="136">
        <f>J182-G182</f>
        <v>0</v>
      </c>
      <c r="L182" t="s" s="139">
        <v>2231</v>
      </c>
    </row>
    <row r="183" ht="27.7" customHeight="1">
      <c r="A183" t="s" s="130">
        <v>39</v>
      </c>
      <c r="B183" t="s" s="131">
        <v>21</v>
      </c>
      <c r="C183" t="s" s="132">
        <v>1705</v>
      </c>
      <c r="D183" t="s" s="133">
        <v>545</v>
      </c>
      <c r="E183" s="147">
        <v>45643</v>
      </c>
      <c r="F183" s="144">
        <v>45734</v>
      </c>
      <c r="G183" s="136">
        <v>9110.200000000001</v>
      </c>
      <c r="H183" t="s" s="131">
        <v>2150</v>
      </c>
      <c r="I183" s="144"/>
      <c r="J183" s="145"/>
      <c r="K183" s="136"/>
      <c r="L183" t="s" s="139">
        <v>2232</v>
      </c>
    </row>
    <row r="184" ht="27.7" customHeight="1">
      <c r="A184" t="s" s="130">
        <v>39</v>
      </c>
      <c r="B184" t="s" s="131">
        <v>488</v>
      </c>
      <c r="C184" t="s" s="132">
        <v>1811</v>
      </c>
      <c r="D184" t="s" s="133">
        <v>468</v>
      </c>
      <c r="E184" s="147">
        <v>45646</v>
      </c>
      <c r="F184" s="144">
        <v>45676</v>
      </c>
      <c r="G184" s="136">
        <v>17498.33</v>
      </c>
      <c r="H184" t="s" s="131">
        <v>21</v>
      </c>
      <c r="I184" s="137">
        <v>45702</v>
      </c>
      <c r="J184" s="149">
        <v>17498.33</v>
      </c>
      <c r="K184" s="136">
        <f>J184-G184</f>
        <v>0</v>
      </c>
      <c r="L184" t="s" s="139">
        <v>2233</v>
      </c>
    </row>
    <row r="185" ht="27.7" customHeight="1">
      <c r="A185" t="s" s="130">
        <v>39</v>
      </c>
      <c r="B185" t="s" s="131">
        <v>21</v>
      </c>
      <c r="C185" t="s" s="132">
        <v>430</v>
      </c>
      <c r="D185" t="s" s="133">
        <v>15</v>
      </c>
      <c r="E185" s="147">
        <v>45649</v>
      </c>
      <c r="F185" s="144">
        <v>45689</v>
      </c>
      <c r="G185" s="136">
        <v>2553.25</v>
      </c>
      <c r="H185" t="s" s="131">
        <v>13</v>
      </c>
      <c r="I185" s="137">
        <v>45695</v>
      </c>
      <c r="J185" s="138">
        <v>2553.25</v>
      </c>
      <c r="K185" s="136">
        <f>J185-G185</f>
        <v>0</v>
      </c>
      <c r="L185" t="s" s="139">
        <v>2234</v>
      </c>
    </row>
    <row r="186" ht="27.7" customHeight="1">
      <c r="A186" t="s" s="130">
        <v>39</v>
      </c>
      <c r="B186" t="s" s="131">
        <v>21</v>
      </c>
      <c r="C186" t="s" s="132">
        <v>430</v>
      </c>
      <c r="D186" t="s" s="133">
        <v>15</v>
      </c>
      <c r="E186" s="147">
        <v>45649</v>
      </c>
      <c r="F186" s="144">
        <v>45717</v>
      </c>
      <c r="G186" s="136">
        <v>2403</v>
      </c>
      <c r="H186" t="s" s="131">
        <v>2235</v>
      </c>
      <c r="I186" s="137">
        <v>45688</v>
      </c>
      <c r="J186" s="149">
        <v>2403</v>
      </c>
      <c r="K186" s="136">
        <f>J186-G186</f>
        <v>0</v>
      </c>
      <c r="L186" t="s" s="139">
        <v>2236</v>
      </c>
    </row>
    <row r="187" ht="27.7" customHeight="1">
      <c r="A187" t="s" s="130">
        <v>39</v>
      </c>
      <c r="B187" t="s" s="131">
        <v>21</v>
      </c>
      <c r="C187" t="s" s="132">
        <v>430</v>
      </c>
      <c r="D187" t="s" s="133">
        <v>15</v>
      </c>
      <c r="E187" s="147">
        <v>45649</v>
      </c>
      <c r="F187" s="144">
        <v>45748</v>
      </c>
      <c r="G187" s="136">
        <v>2403</v>
      </c>
      <c r="H187" t="s" s="131">
        <v>2235</v>
      </c>
      <c r="I187" s="137">
        <v>45747</v>
      </c>
      <c r="J187" s="149">
        <v>2403</v>
      </c>
      <c r="K187" s="136">
        <f>J187-G187</f>
        <v>0</v>
      </c>
      <c r="L187" t="s" s="139">
        <v>2237</v>
      </c>
    </row>
    <row r="188" ht="27.7" customHeight="1">
      <c r="A188" t="s" s="130">
        <v>39</v>
      </c>
      <c r="B188" t="s" s="131">
        <v>61</v>
      </c>
      <c r="C188" t="s" s="150">
        <v>1535</v>
      </c>
      <c r="D188" t="s" s="133">
        <v>1533</v>
      </c>
      <c r="E188" s="147">
        <v>45668</v>
      </c>
      <c r="F188" s="144">
        <v>45712</v>
      </c>
      <c r="G188" s="136">
        <v>1852</v>
      </c>
      <c r="H188" t="s" s="131">
        <v>97</v>
      </c>
      <c r="I188" s="137">
        <v>45712</v>
      </c>
      <c r="J188" s="149">
        <v>1852</v>
      </c>
      <c r="K188" s="136">
        <f>J188-G188</f>
        <v>0</v>
      </c>
      <c r="L188" t="s" s="139">
        <v>2178</v>
      </c>
    </row>
    <row r="189" ht="27.7" customHeight="1">
      <c r="A189" t="s" s="130">
        <v>39</v>
      </c>
      <c r="B189" t="s" s="131">
        <v>61</v>
      </c>
      <c r="C189" t="s" s="150">
        <v>1535</v>
      </c>
      <c r="D189" t="s" s="133">
        <v>1533</v>
      </c>
      <c r="E189" s="147">
        <v>45668</v>
      </c>
      <c r="F189" s="144">
        <v>45742</v>
      </c>
      <c r="G189" s="136">
        <v>1712</v>
      </c>
      <c r="H189" t="s" s="131">
        <v>97</v>
      </c>
      <c r="I189" s="137">
        <v>45741</v>
      </c>
      <c r="J189" s="149">
        <v>1712</v>
      </c>
      <c r="K189" s="136">
        <f>J189-G189</f>
        <v>0</v>
      </c>
      <c r="L189" t="s" s="139">
        <v>2238</v>
      </c>
    </row>
    <row r="190" ht="27.7" customHeight="1">
      <c r="A190" t="s" s="130">
        <v>39</v>
      </c>
      <c r="B190" t="s" s="131">
        <v>61</v>
      </c>
      <c r="C190" t="s" s="150">
        <v>1535</v>
      </c>
      <c r="D190" t="s" s="133">
        <v>1533</v>
      </c>
      <c r="E190" s="147">
        <v>45668</v>
      </c>
      <c r="F190" s="144">
        <v>45772</v>
      </c>
      <c r="G190" s="136">
        <v>1711.75</v>
      </c>
      <c r="H190" t="s" s="131">
        <v>97</v>
      </c>
      <c r="I190" s="137">
        <v>45782</v>
      </c>
      <c r="J190" s="149">
        <v>1711.75</v>
      </c>
      <c r="K190" s="136">
        <f>J190-G190</f>
        <v>0</v>
      </c>
      <c r="L190" t="s" s="139">
        <v>2148</v>
      </c>
    </row>
    <row r="191" ht="27.7" customHeight="1">
      <c r="A191" t="s" s="130">
        <v>39</v>
      </c>
      <c r="B191" t="s" s="131">
        <v>68</v>
      </c>
      <c r="C191" t="s" s="132">
        <v>988</v>
      </c>
      <c r="D191" t="s" s="133">
        <v>90</v>
      </c>
      <c r="E191" s="147">
        <v>45678</v>
      </c>
      <c r="F191" s="144">
        <v>45723</v>
      </c>
      <c r="G191" s="136">
        <v>10888.5</v>
      </c>
      <c r="H191" t="s" s="131">
        <v>13</v>
      </c>
      <c r="I191" s="137">
        <v>45721</v>
      </c>
      <c r="J191" s="138">
        <v>10888.5</v>
      </c>
      <c r="K191" s="136">
        <f>J191-G191</f>
        <v>0</v>
      </c>
      <c r="L191" t="s" s="139">
        <v>2176</v>
      </c>
    </row>
    <row r="192" ht="27.7" customHeight="1">
      <c r="A192" t="s" s="130">
        <v>39</v>
      </c>
      <c r="B192" t="s" s="131">
        <v>68</v>
      </c>
      <c r="C192" t="s" s="132">
        <v>988</v>
      </c>
      <c r="D192" t="s" s="133">
        <v>90</v>
      </c>
      <c r="E192" s="147">
        <v>45702</v>
      </c>
      <c r="F192" s="144">
        <v>45732</v>
      </c>
      <c r="G192" s="136">
        <v>5907</v>
      </c>
      <c r="H192" t="s" s="131">
        <v>68</v>
      </c>
      <c r="I192" s="137">
        <v>45708</v>
      </c>
      <c r="J192" s="142">
        <v>5907</v>
      </c>
      <c r="K192" s="136">
        <f>J192-G192</f>
        <v>0</v>
      </c>
      <c r="L192" t="s" s="139">
        <v>2239</v>
      </c>
    </row>
    <row r="193" ht="27.7" customHeight="1">
      <c r="A193" t="s" s="130">
        <v>39</v>
      </c>
      <c r="B193" t="s" s="131">
        <v>30</v>
      </c>
      <c r="C193" t="s" s="132">
        <v>578</v>
      </c>
      <c r="D193" t="s" s="133">
        <v>579</v>
      </c>
      <c r="E193" s="147">
        <v>45717</v>
      </c>
      <c r="F193" s="144">
        <v>45748</v>
      </c>
      <c r="G193" s="136">
        <v>4852</v>
      </c>
      <c r="H193" t="s" s="131">
        <v>30</v>
      </c>
      <c r="I193" s="137">
        <v>45748</v>
      </c>
      <c r="J193" s="142">
        <v>4852</v>
      </c>
      <c r="K193" s="136">
        <f>J193-G193</f>
        <v>0</v>
      </c>
      <c r="L193" t="s" s="139">
        <v>2240</v>
      </c>
    </row>
    <row r="194" ht="27.7" customHeight="1">
      <c r="A194" t="s" s="130">
        <v>39</v>
      </c>
      <c r="B194" t="s" s="131">
        <v>30</v>
      </c>
      <c r="C194" t="s" s="132">
        <v>578</v>
      </c>
      <c r="D194" t="s" s="133">
        <v>579</v>
      </c>
      <c r="E194" s="147">
        <v>45717</v>
      </c>
      <c r="F194" s="144">
        <v>45778</v>
      </c>
      <c r="G194" s="136">
        <v>4703</v>
      </c>
      <c r="H194" t="s" s="131">
        <v>97</v>
      </c>
      <c r="I194" s="137">
        <v>45783</v>
      </c>
      <c r="J194" s="149">
        <v>4704</v>
      </c>
      <c r="K194" s="136">
        <f>J194-G194</f>
        <v>1</v>
      </c>
      <c r="L194" t="s" s="139">
        <v>2241</v>
      </c>
    </row>
    <row r="195" ht="27.7" customHeight="1">
      <c r="A195" t="s" s="130">
        <v>39</v>
      </c>
      <c r="B195" t="s" s="131">
        <v>30</v>
      </c>
      <c r="C195" t="s" s="132">
        <v>578</v>
      </c>
      <c r="D195" t="s" s="133">
        <v>579</v>
      </c>
      <c r="E195" s="147">
        <v>45717</v>
      </c>
      <c r="F195" s="144">
        <v>45808</v>
      </c>
      <c r="G195" s="136">
        <v>4703</v>
      </c>
      <c r="H195" t="s" s="131">
        <v>97</v>
      </c>
      <c r="I195" s="137">
        <v>45810</v>
      </c>
      <c r="J195" s="149">
        <v>4702</v>
      </c>
      <c r="K195" s="136">
        <f>J195-G195</f>
        <v>-1</v>
      </c>
      <c r="L195" t="s" s="139">
        <v>2242</v>
      </c>
    </row>
    <row r="196" ht="27.7" customHeight="1">
      <c r="A196" t="s" s="130">
        <v>39</v>
      </c>
      <c r="B196" t="s" s="131">
        <v>68</v>
      </c>
      <c r="C196" t="s" s="132">
        <v>988</v>
      </c>
      <c r="D196" t="s" s="133">
        <v>90</v>
      </c>
      <c r="E196" s="147">
        <v>45719</v>
      </c>
      <c r="F196" s="144">
        <v>45749</v>
      </c>
      <c r="G196" s="136">
        <v>8451</v>
      </c>
      <c r="H196" t="s" s="131">
        <v>97</v>
      </c>
      <c r="I196" s="180">
        <v>45736</v>
      </c>
      <c r="J196" s="149">
        <v>8451</v>
      </c>
      <c r="K196" s="136">
        <f>J196-G196</f>
        <v>0</v>
      </c>
      <c r="L196" t="s" s="139">
        <v>2243</v>
      </c>
    </row>
    <row r="197" ht="27.7" customHeight="1">
      <c r="A197" t="s" s="130">
        <v>39</v>
      </c>
      <c r="B197" t="s" s="131">
        <v>68</v>
      </c>
      <c r="C197" t="s" s="132">
        <v>988</v>
      </c>
      <c r="D197" t="s" s="133">
        <v>90</v>
      </c>
      <c r="E197" s="147">
        <v>45758</v>
      </c>
      <c r="F197" s="144">
        <v>45767</v>
      </c>
      <c r="G197" s="136">
        <v>8052</v>
      </c>
      <c r="H197" t="s" s="131">
        <v>97</v>
      </c>
      <c r="I197" s="180">
        <v>45770</v>
      </c>
      <c r="J197" s="149">
        <v>8052</v>
      </c>
      <c r="K197" s="136">
        <f>J197-G197</f>
        <v>0</v>
      </c>
      <c r="L197" t="s" s="139">
        <v>2243</v>
      </c>
    </row>
    <row r="198" ht="27.7" customHeight="1">
      <c r="A198" t="s" s="130">
        <v>39</v>
      </c>
      <c r="B198" t="s" s="131">
        <v>97</v>
      </c>
      <c r="C198" t="s" s="150">
        <v>1535</v>
      </c>
      <c r="D198" t="s" s="133">
        <v>1533</v>
      </c>
      <c r="E198" s="147">
        <v>45709</v>
      </c>
      <c r="F198" s="144">
        <v>45740</v>
      </c>
      <c r="G198" s="136">
        <v>22982.1666666667</v>
      </c>
      <c r="H198" t="s" s="131">
        <v>97</v>
      </c>
      <c r="I198" s="137">
        <v>45741</v>
      </c>
      <c r="J198" s="142">
        <v>22882.17</v>
      </c>
      <c r="K198" s="136">
        <f>J198-G198</f>
        <v>-99.99666666669999</v>
      </c>
      <c r="L198" t="s" s="139">
        <v>2146</v>
      </c>
    </row>
    <row r="199" ht="27.7" customHeight="1">
      <c r="A199" t="s" s="130">
        <v>39</v>
      </c>
      <c r="B199" t="s" s="131">
        <v>97</v>
      </c>
      <c r="C199" t="s" s="150">
        <v>1535</v>
      </c>
      <c r="D199" t="s" s="133">
        <v>1533</v>
      </c>
      <c r="E199" s="147">
        <v>45709</v>
      </c>
      <c r="F199" s="144">
        <v>45770</v>
      </c>
      <c r="G199" s="136">
        <v>22982.1666666667</v>
      </c>
      <c r="H199" t="s" s="131">
        <v>97</v>
      </c>
      <c r="I199" s="137">
        <v>45782</v>
      </c>
      <c r="J199" s="142">
        <v>22982.1666666667</v>
      </c>
      <c r="K199" s="136">
        <f>J199-G199</f>
        <v>0</v>
      </c>
      <c r="L199" t="s" s="139">
        <v>2238</v>
      </c>
    </row>
    <row r="200" ht="27.7" customHeight="1">
      <c r="A200" t="s" s="130">
        <v>39</v>
      </c>
      <c r="B200" t="s" s="131">
        <v>97</v>
      </c>
      <c r="C200" t="s" s="150">
        <v>1535</v>
      </c>
      <c r="D200" t="s" s="133">
        <v>1533</v>
      </c>
      <c r="E200" s="147">
        <v>45709</v>
      </c>
      <c r="F200" s="144">
        <v>45800</v>
      </c>
      <c r="G200" s="136">
        <v>22982.1666666667</v>
      </c>
      <c r="H200" t="s" s="131">
        <v>97</v>
      </c>
      <c r="I200" s="137">
        <v>45797</v>
      </c>
      <c r="J200" s="142">
        <v>22982.1666666667</v>
      </c>
      <c r="K200" s="136">
        <f>J200-G200</f>
        <v>0</v>
      </c>
      <c r="L200" t="s" s="139">
        <v>2148</v>
      </c>
    </row>
    <row r="201" ht="27.7" customHeight="1">
      <c r="A201" t="s" s="130">
        <v>39</v>
      </c>
      <c r="B201" t="s" s="131">
        <v>21</v>
      </c>
      <c r="C201" t="s" s="132">
        <v>1132</v>
      </c>
      <c r="D201" t="s" s="133">
        <v>683</v>
      </c>
      <c r="E201" s="147">
        <v>45702</v>
      </c>
      <c r="F201" s="144">
        <v>45714</v>
      </c>
      <c r="G201" s="136">
        <v>7731.6</v>
      </c>
      <c r="H201" t="s" s="131">
        <v>97</v>
      </c>
      <c r="I201" s="137">
        <v>45714</v>
      </c>
      <c r="J201" s="149">
        <v>7731.6</v>
      </c>
      <c r="K201" s="136">
        <f>J201-G201</f>
        <v>0</v>
      </c>
      <c r="L201" t="s" s="139">
        <v>2205</v>
      </c>
    </row>
    <row r="202" ht="27.7" customHeight="1">
      <c r="A202" t="s" s="130">
        <v>39</v>
      </c>
      <c r="B202" t="s" s="131">
        <v>36</v>
      </c>
      <c r="C202" t="s" s="132">
        <v>2206</v>
      </c>
      <c r="D202" t="s" s="133">
        <v>246</v>
      </c>
      <c r="E202" s="147">
        <v>45731</v>
      </c>
      <c r="F202" s="144">
        <v>45766</v>
      </c>
      <c r="G202" s="136">
        <v>19148.77</v>
      </c>
      <c r="H202" t="s" s="131">
        <v>97</v>
      </c>
      <c r="I202" s="137">
        <v>45777</v>
      </c>
      <c r="J202" s="149">
        <v>19148.77</v>
      </c>
      <c r="K202" s="136">
        <f>J202-G202</f>
        <v>0</v>
      </c>
      <c r="L202" t="s" s="139">
        <v>2146</v>
      </c>
    </row>
    <row r="203" ht="27.7" customHeight="1">
      <c r="A203" t="s" s="130">
        <v>39</v>
      </c>
      <c r="B203" t="s" s="131">
        <v>36</v>
      </c>
      <c r="C203" t="s" s="132">
        <v>2206</v>
      </c>
      <c r="D203" t="s" s="133">
        <v>246</v>
      </c>
      <c r="E203" s="147">
        <v>45731</v>
      </c>
      <c r="F203" s="144">
        <v>45796</v>
      </c>
      <c r="G203" s="136">
        <v>19148.77</v>
      </c>
      <c r="H203" t="s" s="131">
        <v>2150</v>
      </c>
      <c r="I203" s="135"/>
      <c r="J203" s="181"/>
      <c r="K203" s="136"/>
      <c r="L203" t="s" s="139">
        <v>2244</v>
      </c>
    </row>
    <row r="204" ht="27.7" customHeight="1">
      <c r="A204" t="s" s="130">
        <v>39</v>
      </c>
      <c r="B204" t="s" s="131">
        <v>36</v>
      </c>
      <c r="C204" t="s" s="132">
        <v>2206</v>
      </c>
      <c r="D204" t="s" s="133">
        <v>246</v>
      </c>
      <c r="E204" s="147">
        <v>45731</v>
      </c>
      <c r="F204" s="144">
        <v>45827</v>
      </c>
      <c r="G204" s="136">
        <v>19148.77</v>
      </c>
      <c r="H204" t="s" s="131">
        <v>2150</v>
      </c>
      <c r="I204" s="135"/>
      <c r="J204" s="181"/>
      <c r="K204" s="136"/>
      <c r="L204" t="s" s="139">
        <v>2245</v>
      </c>
    </row>
    <row r="205" ht="27.7" customHeight="1">
      <c r="A205" t="s" s="130">
        <v>39</v>
      </c>
      <c r="B205" t="s" s="131">
        <v>2246</v>
      </c>
      <c r="C205" t="s" s="132">
        <v>234</v>
      </c>
      <c r="D205" t="s" s="133">
        <v>151</v>
      </c>
      <c r="E205" s="147">
        <v>45736</v>
      </c>
      <c r="F205" s="144">
        <v>45769</v>
      </c>
      <c r="G205" s="136">
        <v>3339.87</v>
      </c>
      <c r="H205" t="s" s="131">
        <v>97</v>
      </c>
      <c r="I205" s="137">
        <v>45771</v>
      </c>
      <c r="J205" s="149">
        <v>4200</v>
      </c>
      <c r="K205" s="136">
        <f>J205-G205</f>
        <v>860.13</v>
      </c>
      <c r="L205" t="s" s="139">
        <v>2146</v>
      </c>
    </row>
    <row r="206" ht="27.7" customHeight="1">
      <c r="A206" t="s" s="130">
        <v>39</v>
      </c>
      <c r="B206" t="s" s="131">
        <v>2246</v>
      </c>
      <c r="C206" t="s" s="132">
        <v>234</v>
      </c>
      <c r="D206" t="s" s="133">
        <v>151</v>
      </c>
      <c r="E206" s="147">
        <v>45736</v>
      </c>
      <c r="F206" s="144">
        <v>45782</v>
      </c>
      <c r="G206" s="136">
        <v>3339.87</v>
      </c>
      <c r="H206" t="s" s="131">
        <v>97</v>
      </c>
      <c r="I206" s="137">
        <v>45782</v>
      </c>
      <c r="J206" s="149">
        <v>3435</v>
      </c>
      <c r="K206" s="136">
        <f>J206-G206</f>
        <v>95.13</v>
      </c>
      <c r="L206" t="s" s="139">
        <v>2247</v>
      </c>
    </row>
    <row r="207" ht="27.7" customHeight="1">
      <c r="A207" t="s" s="130">
        <v>39</v>
      </c>
      <c r="B207" t="s" s="131">
        <v>2246</v>
      </c>
      <c r="C207" t="s" s="132">
        <v>234</v>
      </c>
      <c r="D207" t="s" s="133">
        <v>151</v>
      </c>
      <c r="E207" s="147">
        <v>45736</v>
      </c>
      <c r="F207" s="144">
        <v>45796</v>
      </c>
      <c r="G207" s="136">
        <v>3339.86</v>
      </c>
      <c r="H207" t="s" s="131">
        <v>97</v>
      </c>
      <c r="I207" s="137">
        <v>45806</v>
      </c>
      <c r="J207" s="149">
        <v>2384.6</v>
      </c>
      <c r="K207" s="136">
        <f>J207-G207</f>
        <v>-955.26</v>
      </c>
      <c r="L207" t="s" s="139">
        <v>2148</v>
      </c>
    </row>
    <row r="208" ht="27.7" customHeight="1">
      <c r="A208" t="s" s="130">
        <v>39</v>
      </c>
      <c r="B208" t="s" s="131">
        <v>97</v>
      </c>
      <c r="C208" t="s" s="150">
        <v>1535</v>
      </c>
      <c r="D208" t="s" s="133">
        <v>1533</v>
      </c>
      <c r="E208" s="147">
        <v>45749</v>
      </c>
      <c r="F208" s="144">
        <v>45783</v>
      </c>
      <c r="G208" s="136">
        <v>16423</v>
      </c>
      <c r="H208" t="s" s="131">
        <v>97</v>
      </c>
      <c r="I208" s="137">
        <v>45782</v>
      </c>
      <c r="J208" s="142">
        <v>16423</v>
      </c>
      <c r="K208" s="136">
        <f>J208-G208</f>
        <v>0</v>
      </c>
      <c r="L208" t="s" s="139">
        <v>2146</v>
      </c>
    </row>
    <row r="209" ht="27.7" customHeight="1">
      <c r="A209" t="s" s="130">
        <v>39</v>
      </c>
      <c r="B209" t="s" s="131">
        <v>97</v>
      </c>
      <c r="C209" t="s" s="150">
        <v>1535</v>
      </c>
      <c r="D209" t="s" s="133">
        <v>1533</v>
      </c>
      <c r="E209" s="147">
        <v>45749</v>
      </c>
      <c r="F209" s="144">
        <v>45813</v>
      </c>
      <c r="G209" s="136">
        <v>16423</v>
      </c>
      <c r="H209" t="s" s="131">
        <v>97</v>
      </c>
      <c r="I209" s="137">
        <v>45810</v>
      </c>
      <c r="J209" s="142">
        <v>16423</v>
      </c>
      <c r="K209" s="136">
        <f>J209-G209</f>
        <v>0</v>
      </c>
      <c r="L209" t="s" s="139">
        <v>2238</v>
      </c>
    </row>
    <row r="210" ht="27.7" customHeight="1">
      <c r="A210" t="s" s="130">
        <v>39</v>
      </c>
      <c r="B210" t="s" s="131">
        <v>97</v>
      </c>
      <c r="C210" t="s" s="150">
        <v>1535</v>
      </c>
      <c r="D210" t="s" s="133">
        <v>1533</v>
      </c>
      <c r="E210" s="147">
        <v>45749</v>
      </c>
      <c r="F210" s="144">
        <v>45843</v>
      </c>
      <c r="G210" s="136">
        <v>16422</v>
      </c>
      <c r="H210" t="s" s="131">
        <v>97</v>
      </c>
      <c r="I210" s="137">
        <v>45847</v>
      </c>
      <c r="J210" s="142">
        <f>G210</f>
        <v>16422</v>
      </c>
      <c r="K210" s="136">
        <f>J210-G210</f>
        <v>0</v>
      </c>
      <c r="L210" t="s" s="139">
        <v>2148</v>
      </c>
    </row>
    <row r="211" ht="27.7" customHeight="1">
      <c r="A211" t="s" s="130">
        <v>39</v>
      </c>
      <c r="B211" t="s" s="131">
        <v>61</v>
      </c>
      <c r="C211" t="s" s="132">
        <v>2248</v>
      </c>
      <c r="D211" t="s" s="133">
        <v>206</v>
      </c>
      <c r="E211" s="147">
        <v>45762</v>
      </c>
      <c r="F211" s="144">
        <v>45778</v>
      </c>
      <c r="G211" s="136">
        <v>1810</v>
      </c>
      <c r="H211" t="s" s="131">
        <v>61</v>
      </c>
      <c r="I211" s="137">
        <v>45784</v>
      </c>
      <c r="J211" s="142">
        <v>1810</v>
      </c>
      <c r="K211" s="136">
        <f>J211-G211</f>
        <v>0</v>
      </c>
      <c r="L211" t="s" s="139">
        <v>2249</v>
      </c>
    </row>
    <row r="212" ht="27.7" customHeight="1">
      <c r="A212" t="s" s="130">
        <v>39</v>
      </c>
      <c r="B212" t="s" s="131">
        <v>61</v>
      </c>
      <c r="C212" t="s" s="132">
        <v>2248</v>
      </c>
      <c r="D212" t="s" s="133">
        <v>206</v>
      </c>
      <c r="E212" s="147">
        <v>45762</v>
      </c>
      <c r="F212" s="144">
        <v>45792</v>
      </c>
      <c r="G212" s="136">
        <v>7728</v>
      </c>
      <c r="H212" t="s" s="131">
        <v>13</v>
      </c>
      <c r="I212" s="137">
        <v>45792</v>
      </c>
      <c r="J212" s="138">
        <v>7728</v>
      </c>
      <c r="K212" s="136">
        <f>J212-G212</f>
        <v>0</v>
      </c>
      <c r="L212" t="s" s="139">
        <v>2250</v>
      </c>
    </row>
    <row r="213" ht="27.7" customHeight="1">
      <c r="A213" t="s" s="130">
        <v>39</v>
      </c>
      <c r="B213" t="s" s="131">
        <v>61</v>
      </c>
      <c r="C213" t="s" s="132">
        <v>2248</v>
      </c>
      <c r="D213" t="s" s="133">
        <v>206</v>
      </c>
      <c r="E213" s="147">
        <v>45762</v>
      </c>
      <c r="F213" s="144">
        <v>45807</v>
      </c>
      <c r="G213" s="136">
        <v>7728</v>
      </c>
      <c r="H213" t="s" s="131">
        <v>13</v>
      </c>
      <c r="I213" s="137">
        <v>45821</v>
      </c>
      <c r="J213" s="138">
        <v>7728</v>
      </c>
      <c r="K213" s="136">
        <f>J213-G213</f>
        <v>0</v>
      </c>
      <c r="L213" t="s" s="139">
        <v>2251</v>
      </c>
    </row>
    <row r="214" ht="27.7" customHeight="1">
      <c r="A214" t="s" s="130">
        <v>1121</v>
      </c>
      <c r="B214" t="s" s="131">
        <v>61</v>
      </c>
      <c r="C214" t="s" s="182">
        <v>2248</v>
      </c>
      <c r="D214" t="s" s="133">
        <v>206</v>
      </c>
      <c r="E214" s="147">
        <v>45762</v>
      </c>
      <c r="F214" s="144">
        <v>45822</v>
      </c>
      <c r="G214" s="136">
        <v>7728</v>
      </c>
      <c r="H214" s="158"/>
      <c r="I214" s="135"/>
      <c r="J214" s="181"/>
      <c r="K214" s="136">
        <f>J214-G214</f>
        <v>-7728</v>
      </c>
      <c r="L214" t="s" s="139">
        <v>2161</v>
      </c>
    </row>
    <row r="215" ht="27.7" customHeight="1">
      <c r="A215" t="s" s="130">
        <v>1121</v>
      </c>
      <c r="B215" t="s" s="131">
        <v>61</v>
      </c>
      <c r="C215" t="s" s="182">
        <v>2248</v>
      </c>
      <c r="D215" t="s" s="133">
        <v>206</v>
      </c>
      <c r="E215" s="147">
        <v>45762</v>
      </c>
      <c r="F215" s="144">
        <v>45837</v>
      </c>
      <c r="G215" s="136">
        <v>7728</v>
      </c>
      <c r="H215" s="158"/>
      <c r="I215" s="135"/>
      <c r="J215" s="181"/>
      <c r="K215" s="136">
        <f>J215-G215</f>
        <v>-7728</v>
      </c>
      <c r="L215" t="s" s="139">
        <v>2166</v>
      </c>
    </row>
    <row r="216" ht="27.7" customHeight="1">
      <c r="A216" t="s" s="130">
        <v>1121</v>
      </c>
      <c r="B216" t="s" s="131">
        <v>61</v>
      </c>
      <c r="C216" t="s" s="182">
        <v>2248</v>
      </c>
      <c r="D216" t="s" s="133">
        <v>206</v>
      </c>
      <c r="E216" s="147">
        <v>45762</v>
      </c>
      <c r="F216" s="144">
        <v>45852</v>
      </c>
      <c r="G216" s="136">
        <v>7728</v>
      </c>
      <c r="H216" s="158"/>
      <c r="I216" s="135"/>
      <c r="J216" s="181"/>
      <c r="K216" s="136">
        <f>J216-G216</f>
        <v>-7728</v>
      </c>
      <c r="L216" t="s" s="139">
        <v>2168</v>
      </c>
    </row>
    <row r="217" ht="27.7" customHeight="1">
      <c r="A217" t="s" s="130">
        <v>39</v>
      </c>
      <c r="B217" t="s" s="131">
        <v>633</v>
      </c>
      <c r="C217" t="s" s="132">
        <v>2252</v>
      </c>
      <c r="D217" t="s" s="133">
        <v>539</v>
      </c>
      <c r="E217" s="147">
        <v>45763</v>
      </c>
      <c r="F217" s="144">
        <v>45794</v>
      </c>
      <c r="G217" s="136">
        <v>20467.5</v>
      </c>
      <c r="H217" t="s" s="131">
        <v>97</v>
      </c>
      <c r="I217" s="137">
        <v>45786</v>
      </c>
      <c r="J217" s="149">
        <v>20467.5</v>
      </c>
      <c r="K217" s="136">
        <f>J217-G217</f>
        <v>0</v>
      </c>
      <c r="L217" t="s" s="139">
        <v>2178</v>
      </c>
    </row>
    <row r="218" ht="27.7" customHeight="1">
      <c r="A218" t="s" s="130">
        <v>39</v>
      </c>
      <c r="B218" t="s" s="131">
        <v>633</v>
      </c>
      <c r="C218" t="s" s="132">
        <v>2252</v>
      </c>
      <c r="D218" t="s" s="133">
        <v>539</v>
      </c>
      <c r="E218" s="147">
        <v>45763</v>
      </c>
      <c r="F218" s="144">
        <v>45854</v>
      </c>
      <c r="G218" s="136">
        <v>20000</v>
      </c>
      <c r="H218" t="s" s="131">
        <v>97</v>
      </c>
      <c r="I218" s="137">
        <v>45791</v>
      </c>
      <c r="J218" s="149">
        <v>20000</v>
      </c>
      <c r="K218" s="136">
        <f>J218-G218</f>
        <v>0</v>
      </c>
      <c r="L218" t="s" s="139">
        <v>2208</v>
      </c>
    </row>
    <row r="219" ht="27.7" customHeight="1">
      <c r="A219" t="s" s="130">
        <v>39</v>
      </c>
      <c r="B219" t="s" s="131">
        <v>21</v>
      </c>
      <c r="C219" t="s" s="132">
        <v>1162</v>
      </c>
      <c r="D219" t="s" s="133">
        <v>319</v>
      </c>
      <c r="E219" s="147">
        <v>45770</v>
      </c>
      <c r="F219" s="144">
        <v>45778</v>
      </c>
      <c r="G219" s="136">
        <v>468</v>
      </c>
      <c r="H219" t="s" s="131">
        <v>13</v>
      </c>
      <c r="I219" s="137">
        <v>45791</v>
      </c>
      <c r="J219" s="138">
        <v>468</v>
      </c>
      <c r="K219" s="136">
        <f>J219-G219</f>
        <v>0</v>
      </c>
      <c r="L219" t="s" s="139">
        <v>2253</v>
      </c>
    </row>
    <row r="220" ht="27.7" customHeight="1">
      <c r="A220" t="s" s="130">
        <v>39</v>
      </c>
      <c r="B220" t="s" s="131">
        <v>30</v>
      </c>
      <c r="C220" t="s" s="132">
        <v>1162</v>
      </c>
      <c r="D220" t="s" s="133">
        <v>319</v>
      </c>
      <c r="E220" s="147">
        <v>45751</v>
      </c>
      <c r="F220" s="144">
        <v>45757</v>
      </c>
      <c r="G220" s="136">
        <v>2575</v>
      </c>
      <c r="H220" t="s" s="131">
        <v>30</v>
      </c>
      <c r="I220" s="137">
        <v>45779</v>
      </c>
      <c r="J220" s="142">
        <v>2575</v>
      </c>
      <c r="K220" s="136">
        <f>J220-G220</f>
        <v>0</v>
      </c>
      <c r="L220" t="s" s="139">
        <v>2254</v>
      </c>
    </row>
    <row r="221" ht="27.7" customHeight="1">
      <c r="A221" t="s" s="130">
        <v>39</v>
      </c>
      <c r="B221" t="s" s="131">
        <v>30</v>
      </c>
      <c r="C221" t="s" s="132">
        <v>1162</v>
      </c>
      <c r="D221" t="s" s="133">
        <v>319</v>
      </c>
      <c r="E221" s="147">
        <v>45751</v>
      </c>
      <c r="F221" s="144">
        <v>45781</v>
      </c>
      <c r="G221" s="136">
        <v>2568</v>
      </c>
      <c r="H221" t="s" s="131">
        <v>13</v>
      </c>
      <c r="I221" s="137">
        <v>45790</v>
      </c>
      <c r="J221" s="138">
        <v>2568</v>
      </c>
      <c r="K221" s="136">
        <f>J221-G221</f>
        <v>0</v>
      </c>
      <c r="L221" t="s" s="139">
        <v>2255</v>
      </c>
    </row>
    <row r="222" ht="27.7" customHeight="1">
      <c r="A222" t="s" s="130">
        <v>39</v>
      </c>
      <c r="B222" t="s" s="131">
        <v>30</v>
      </c>
      <c r="C222" t="s" s="132">
        <v>1162</v>
      </c>
      <c r="D222" t="s" s="133">
        <v>319</v>
      </c>
      <c r="E222" s="147">
        <v>45751</v>
      </c>
      <c r="F222" s="144">
        <v>45812</v>
      </c>
      <c r="G222" s="136">
        <v>2567</v>
      </c>
      <c r="H222" t="s" s="131">
        <v>13</v>
      </c>
      <c r="I222" s="137">
        <v>45818</v>
      </c>
      <c r="J222" s="138">
        <v>2567</v>
      </c>
      <c r="K222" s="136">
        <f>J222-G222</f>
        <v>0</v>
      </c>
      <c r="L222" t="s" s="139">
        <v>2256</v>
      </c>
    </row>
    <row r="223" ht="27.7" customHeight="1">
      <c r="A223" t="s" s="130">
        <v>39</v>
      </c>
      <c r="B223" t="s" s="131">
        <v>30</v>
      </c>
      <c r="C223" t="s" s="132">
        <v>1162</v>
      </c>
      <c r="D223" t="s" s="133">
        <v>319</v>
      </c>
      <c r="E223" s="147">
        <v>45751</v>
      </c>
      <c r="F223" s="144">
        <v>45842</v>
      </c>
      <c r="G223" s="136">
        <v>2567</v>
      </c>
      <c r="H223" t="s" s="131">
        <v>13</v>
      </c>
      <c r="I223" s="137">
        <v>45845</v>
      </c>
      <c r="J223" s="138">
        <v>2567</v>
      </c>
      <c r="K223" s="136">
        <f>J223-G223</f>
        <v>0</v>
      </c>
      <c r="L223" t="s" s="139">
        <v>2257</v>
      </c>
    </row>
    <row r="224" ht="27.7" customHeight="1">
      <c r="A224" t="s" s="130">
        <v>39</v>
      </c>
      <c r="B224" t="s" s="131">
        <v>79</v>
      </c>
      <c r="C224" t="s" s="132">
        <v>630</v>
      </c>
      <c r="D224" t="s" s="133">
        <v>545</v>
      </c>
      <c r="E224" s="147">
        <v>45735</v>
      </c>
      <c r="F224" s="144">
        <v>45766</v>
      </c>
      <c r="G224" s="136">
        <v>3851</v>
      </c>
      <c r="H224" t="s" s="131">
        <v>13</v>
      </c>
      <c r="I224" s="137">
        <v>45800</v>
      </c>
      <c r="J224" s="138">
        <v>7702</v>
      </c>
      <c r="K224" s="136">
        <f>J224-G224</f>
        <v>3851</v>
      </c>
      <c r="L224" t="s" s="139">
        <v>2255</v>
      </c>
    </row>
    <row r="225" ht="27.7" customHeight="1">
      <c r="A225" t="s" s="130">
        <v>39</v>
      </c>
      <c r="B225" t="s" s="131">
        <v>79</v>
      </c>
      <c r="C225" t="s" s="132">
        <v>630</v>
      </c>
      <c r="D225" t="s" s="133">
        <v>545</v>
      </c>
      <c r="E225" s="147">
        <v>45735</v>
      </c>
      <c r="F225" s="144">
        <v>45796</v>
      </c>
      <c r="G225" s="136">
        <v>3851</v>
      </c>
      <c r="H225" t="s" s="131">
        <v>13</v>
      </c>
      <c r="I225" s="137">
        <v>45800</v>
      </c>
      <c r="J225" s="138">
        <v>2568</v>
      </c>
      <c r="K225" s="136">
        <f>J225-G225</f>
        <v>-1283</v>
      </c>
      <c r="L225" t="s" s="139">
        <v>2255</v>
      </c>
    </row>
    <row r="226" ht="27.7" customHeight="1">
      <c r="A226" t="s" s="130">
        <v>797</v>
      </c>
      <c r="B226" t="s" s="131">
        <v>79</v>
      </c>
      <c r="C226" t="s" s="183">
        <v>630</v>
      </c>
      <c r="D226" t="s" s="133">
        <v>545</v>
      </c>
      <c r="E226" s="147">
        <v>45735</v>
      </c>
      <c r="F226" s="144">
        <v>45827</v>
      </c>
      <c r="G226" s="136">
        <v>3851</v>
      </c>
      <c r="H226" s="158"/>
      <c r="I226" s="135"/>
      <c r="J226" s="181"/>
      <c r="K226" s="136">
        <f>J226-G226</f>
        <v>-3851</v>
      </c>
      <c r="L226" s="164"/>
    </row>
    <row r="227" ht="27.7" customHeight="1">
      <c r="A227" t="s" s="130">
        <v>39</v>
      </c>
      <c r="B227" t="s" s="131">
        <v>97</v>
      </c>
      <c r="C227" t="s" s="150">
        <v>1535</v>
      </c>
      <c r="D227" t="s" s="133">
        <v>1533</v>
      </c>
      <c r="E227" s="147">
        <v>45793</v>
      </c>
      <c r="F227" s="144">
        <v>45824</v>
      </c>
      <c r="G227" s="136">
        <v>13573.53</v>
      </c>
      <c r="H227" t="s" s="131">
        <v>97</v>
      </c>
      <c r="I227" s="137">
        <v>45824</v>
      </c>
      <c r="J227" s="142">
        <v>13573.53</v>
      </c>
      <c r="K227" s="136">
        <f>J227-G227</f>
        <v>0</v>
      </c>
      <c r="L227" t="s" s="139">
        <v>2146</v>
      </c>
    </row>
    <row r="228" ht="27.7" customHeight="1">
      <c r="A228" t="s" s="130">
        <v>39</v>
      </c>
      <c r="B228" t="s" s="131">
        <v>97</v>
      </c>
      <c r="C228" t="s" s="150">
        <v>1535</v>
      </c>
      <c r="D228" t="s" s="133">
        <v>1533</v>
      </c>
      <c r="E228" s="147">
        <v>45793</v>
      </c>
      <c r="F228" s="144">
        <v>45854</v>
      </c>
      <c r="G228" s="136">
        <v>13573.53</v>
      </c>
      <c r="H228" t="s" s="131">
        <v>97</v>
      </c>
      <c r="I228" s="137">
        <v>45854</v>
      </c>
      <c r="J228" s="142">
        <v>13573.53</v>
      </c>
      <c r="K228" s="136">
        <f>J228-G228</f>
        <v>0</v>
      </c>
      <c r="L228" t="s" s="139">
        <v>2238</v>
      </c>
    </row>
    <row r="229" ht="27.7" customHeight="1">
      <c r="A229" t="s" s="130">
        <v>39</v>
      </c>
      <c r="B229" t="s" s="131">
        <v>97</v>
      </c>
      <c r="C229" t="s" s="150">
        <v>1535</v>
      </c>
      <c r="D229" t="s" s="133">
        <v>1533</v>
      </c>
      <c r="E229" s="147">
        <v>45793</v>
      </c>
      <c r="F229" s="144">
        <v>45884</v>
      </c>
      <c r="G229" s="136">
        <v>13573.53</v>
      </c>
      <c r="H229" t="s" s="131">
        <v>30</v>
      </c>
      <c r="I229" s="137">
        <v>45877</v>
      </c>
      <c r="J229" s="184">
        <f>G229</f>
        <v>13573.53</v>
      </c>
      <c r="K229" s="136">
        <f>J229-G229</f>
        <v>0</v>
      </c>
      <c r="L229" t="s" s="139">
        <v>2225</v>
      </c>
    </row>
    <row r="230" ht="27.7" customHeight="1">
      <c r="A230" t="s" s="130">
        <v>39</v>
      </c>
      <c r="B230" t="s" s="131">
        <v>420</v>
      </c>
      <c r="C230" t="s" s="132">
        <v>988</v>
      </c>
      <c r="D230" t="s" s="133">
        <v>90</v>
      </c>
      <c r="E230" s="147"/>
      <c r="F230" s="144"/>
      <c r="G230" s="136">
        <v>14300</v>
      </c>
      <c r="H230" t="s" s="131">
        <v>13</v>
      </c>
      <c r="I230" s="137">
        <v>45796</v>
      </c>
      <c r="J230" s="138">
        <v>14300</v>
      </c>
      <c r="K230" s="136">
        <f>J230-G230</f>
        <v>0</v>
      </c>
      <c r="L230" t="s" s="139">
        <v>2258</v>
      </c>
    </row>
    <row r="231" ht="27.7" customHeight="1">
      <c r="A231" t="s" s="130">
        <v>39</v>
      </c>
      <c r="B231" t="s" s="131">
        <v>633</v>
      </c>
      <c r="C231" t="s" s="132">
        <v>1535</v>
      </c>
      <c r="D231" t="s" s="133">
        <v>1533</v>
      </c>
      <c r="E231" s="147">
        <v>45834</v>
      </c>
      <c r="F231" s="144">
        <v>45863</v>
      </c>
      <c r="G231" s="136">
        <v>6100.67</v>
      </c>
      <c r="H231" t="s" s="131">
        <v>13</v>
      </c>
      <c r="I231" s="137">
        <v>45866</v>
      </c>
      <c r="J231" s="138">
        <v>6100.67</v>
      </c>
      <c r="K231" s="136">
        <f>J231-G231</f>
        <v>0</v>
      </c>
      <c r="L231" t="s" s="139">
        <v>2259</v>
      </c>
    </row>
    <row r="232" ht="27.7" customHeight="1">
      <c r="A232" t="s" s="130">
        <v>39</v>
      </c>
      <c r="B232" t="s" s="131">
        <v>633</v>
      </c>
      <c r="C232" t="s" s="132">
        <v>1535</v>
      </c>
      <c r="D232" t="s" s="133">
        <v>1533</v>
      </c>
      <c r="E232" s="147">
        <v>45834</v>
      </c>
      <c r="F232" s="144">
        <v>45893</v>
      </c>
      <c r="G232" s="136">
        <v>5838.67</v>
      </c>
      <c r="H232" t="s" s="131">
        <v>97</v>
      </c>
      <c r="I232" s="137">
        <v>45880</v>
      </c>
      <c r="J232" s="184">
        <v>5838.67</v>
      </c>
      <c r="K232" s="136">
        <f>J232-G232</f>
        <v>0</v>
      </c>
      <c r="L232" t="s" s="139">
        <v>2238</v>
      </c>
    </row>
    <row r="233" ht="27.7" customHeight="1">
      <c r="A233" t="s" s="130">
        <v>39</v>
      </c>
      <c r="B233" t="s" s="131">
        <v>633</v>
      </c>
      <c r="C233" t="s" s="132">
        <v>1535</v>
      </c>
      <c r="D233" t="s" s="133">
        <v>1533</v>
      </c>
      <c r="E233" s="147">
        <v>45834</v>
      </c>
      <c r="F233" s="144">
        <v>45923</v>
      </c>
      <c r="G233" s="136">
        <v>5838.67</v>
      </c>
      <c r="H233" t="s" s="131">
        <v>30</v>
      </c>
      <c r="I233" s="137">
        <v>46654</v>
      </c>
      <c r="J233" s="184">
        <v>5838.67</v>
      </c>
      <c r="K233" s="136">
        <f>J233-G233</f>
        <v>0</v>
      </c>
      <c r="L233" t="s" s="139">
        <v>2225</v>
      </c>
    </row>
    <row r="234" ht="27.7" customHeight="1">
      <c r="A234" t="s" s="130">
        <v>39</v>
      </c>
      <c r="B234" t="s" s="131">
        <v>30</v>
      </c>
      <c r="C234" t="s" s="132">
        <v>1535</v>
      </c>
      <c r="D234" t="s" s="133">
        <v>1533</v>
      </c>
      <c r="E234" s="147">
        <v>45821</v>
      </c>
      <c r="F234" s="144">
        <v>45851</v>
      </c>
      <c r="G234" s="136">
        <v>11945.3333333333</v>
      </c>
      <c r="H234" t="s" s="131">
        <v>13</v>
      </c>
      <c r="I234" s="137">
        <v>45866</v>
      </c>
      <c r="J234" s="138">
        <v>11945.3333333333</v>
      </c>
      <c r="K234" s="136">
        <f>J234-G234</f>
        <v>0</v>
      </c>
      <c r="L234" t="s" s="139">
        <v>2259</v>
      </c>
    </row>
    <row r="235" ht="27.7" customHeight="1">
      <c r="A235" t="s" s="130">
        <v>39</v>
      </c>
      <c r="B235" t="s" s="131">
        <v>30</v>
      </c>
      <c r="C235" t="s" s="132">
        <v>1535</v>
      </c>
      <c r="D235" t="s" s="133">
        <v>1533</v>
      </c>
      <c r="E235" s="147">
        <v>45821</v>
      </c>
      <c r="F235" s="144">
        <v>45881</v>
      </c>
      <c r="G235" s="136">
        <v>11415.3333333333</v>
      </c>
      <c r="H235" t="s" s="131">
        <v>30</v>
      </c>
      <c r="I235" s="137">
        <v>45876</v>
      </c>
      <c r="J235" s="142">
        <v>11415.3333333333</v>
      </c>
      <c r="K235" s="136">
        <f>J235-G235</f>
        <v>0</v>
      </c>
      <c r="L235" t="s" s="139">
        <v>2109</v>
      </c>
    </row>
    <row r="236" ht="27.7" customHeight="1">
      <c r="A236" t="s" s="130">
        <v>39</v>
      </c>
      <c r="B236" t="s" s="131">
        <v>30</v>
      </c>
      <c r="C236" t="s" s="132">
        <v>1535</v>
      </c>
      <c r="D236" t="s" s="133">
        <v>1533</v>
      </c>
      <c r="E236" s="147">
        <v>45821</v>
      </c>
      <c r="F236" s="144">
        <v>45911</v>
      </c>
      <c r="G236" s="136">
        <v>11415.3333333333</v>
      </c>
      <c r="H236" t="s" s="131">
        <v>97</v>
      </c>
      <c r="I236" s="137">
        <v>45911</v>
      </c>
      <c r="J236" s="184">
        <v>11415.3333333333</v>
      </c>
      <c r="K236" s="136">
        <f>J236-G236</f>
        <v>0</v>
      </c>
      <c r="L236" t="s" s="139">
        <v>2148</v>
      </c>
    </row>
    <row r="237" ht="27.7" customHeight="1">
      <c r="A237" t="s" s="130">
        <v>39</v>
      </c>
      <c r="B237" t="s" s="131">
        <v>97</v>
      </c>
      <c r="C237" t="s" s="132">
        <v>1535</v>
      </c>
      <c r="D237" t="s" s="133">
        <v>1533</v>
      </c>
      <c r="E237" s="147">
        <v>45856</v>
      </c>
      <c r="F237" s="144">
        <v>45887</v>
      </c>
      <c r="G237" s="136">
        <v>14158.4</v>
      </c>
      <c r="H237" t="s" s="131">
        <v>97</v>
      </c>
      <c r="I237" s="137">
        <v>45880</v>
      </c>
      <c r="J237" s="142">
        <v>14158.4</v>
      </c>
      <c r="K237" s="136">
        <f>J237-G237</f>
        <v>0</v>
      </c>
      <c r="L237" t="s" s="139">
        <v>2146</v>
      </c>
    </row>
    <row r="238" ht="27.7" customHeight="1">
      <c r="A238" t="s" s="130">
        <v>39</v>
      </c>
      <c r="B238" t="s" s="131">
        <v>97</v>
      </c>
      <c r="C238" t="s" s="132">
        <v>1535</v>
      </c>
      <c r="D238" t="s" s="133">
        <v>1533</v>
      </c>
      <c r="E238" s="147">
        <v>45856</v>
      </c>
      <c r="F238" s="144">
        <v>45917</v>
      </c>
      <c r="G238" s="136">
        <v>14157</v>
      </c>
      <c r="H238" t="s" s="131">
        <v>97</v>
      </c>
      <c r="I238" s="137">
        <v>45917</v>
      </c>
      <c r="J238" s="142">
        <v>14157</v>
      </c>
      <c r="K238" s="136">
        <f>J238-G238</f>
        <v>0</v>
      </c>
      <c r="L238" t="s" s="139">
        <v>2238</v>
      </c>
    </row>
    <row r="239" ht="27.7" customHeight="1">
      <c r="A239" t="s" s="130">
        <v>39</v>
      </c>
      <c r="B239" t="s" s="131">
        <v>97</v>
      </c>
      <c r="C239" t="s" s="132">
        <v>1535</v>
      </c>
      <c r="D239" t="s" s="133">
        <v>1533</v>
      </c>
      <c r="E239" s="147">
        <v>45856</v>
      </c>
      <c r="F239" s="144">
        <v>45947</v>
      </c>
      <c r="G239" s="136">
        <v>14157</v>
      </c>
      <c r="H239" t="s" s="131">
        <v>13</v>
      </c>
      <c r="I239" s="137">
        <v>45945</v>
      </c>
      <c r="J239" s="138">
        <v>14157</v>
      </c>
      <c r="K239" s="136">
        <f>J239-G239</f>
        <v>0</v>
      </c>
      <c r="L239" t="s" s="139">
        <v>2260</v>
      </c>
    </row>
    <row r="240" ht="27.7" customHeight="1">
      <c r="A240" t="s" s="130">
        <v>39</v>
      </c>
      <c r="B240" t="s" s="131">
        <v>21</v>
      </c>
      <c r="C240" t="s" s="132">
        <v>1178</v>
      </c>
      <c r="D240" t="s" s="133">
        <v>117</v>
      </c>
      <c r="E240" s="147">
        <v>45808</v>
      </c>
      <c r="F240" s="144">
        <v>45854</v>
      </c>
      <c r="G240" s="136">
        <v>15811.9</v>
      </c>
      <c r="H240" t="s" s="131">
        <v>97</v>
      </c>
      <c r="I240" s="137">
        <v>45870</v>
      </c>
      <c r="J240" s="149">
        <v>15811.9</v>
      </c>
      <c r="K240" s="136">
        <f>J240-G240</f>
        <v>0</v>
      </c>
      <c r="L240" t="s" s="139">
        <v>2261</v>
      </c>
    </row>
    <row r="241" ht="27.7" customHeight="1">
      <c r="A241" t="s" s="130">
        <v>39</v>
      </c>
      <c r="B241" t="s" s="131">
        <v>21</v>
      </c>
      <c r="C241" t="s" s="132">
        <v>1178</v>
      </c>
      <c r="D241" t="s" s="133">
        <v>117</v>
      </c>
      <c r="E241" s="147">
        <v>45808</v>
      </c>
      <c r="F241" s="144">
        <v>45869</v>
      </c>
      <c r="G241" s="136">
        <v>7270</v>
      </c>
      <c r="H241" t="s" s="131">
        <v>30</v>
      </c>
      <c r="I241" s="137">
        <v>45876</v>
      </c>
      <c r="J241" s="149">
        <v>7270</v>
      </c>
      <c r="K241" s="136">
        <f>J241-G241</f>
        <v>0</v>
      </c>
      <c r="L241" t="s" s="139">
        <v>2262</v>
      </c>
    </row>
    <row r="242" ht="27.7" customHeight="1">
      <c r="A242" t="s" s="130">
        <v>39</v>
      </c>
      <c r="B242" t="s" s="131">
        <v>21</v>
      </c>
      <c r="C242" t="s" s="132">
        <v>1178</v>
      </c>
      <c r="D242" t="s" s="133">
        <v>117</v>
      </c>
      <c r="E242" s="147">
        <v>45808</v>
      </c>
      <c r="F242" s="144">
        <v>45884</v>
      </c>
      <c r="G242" s="136">
        <v>7270</v>
      </c>
      <c r="H242" t="s" s="131">
        <v>40</v>
      </c>
      <c r="I242" s="137">
        <v>45891</v>
      </c>
      <c r="J242" s="149">
        <v>7270</v>
      </c>
      <c r="K242" s="136">
        <f>J242-G242</f>
        <v>0</v>
      </c>
      <c r="L242" t="s" s="139">
        <v>2263</v>
      </c>
    </row>
    <row r="243" ht="27.7" customHeight="1">
      <c r="A243" t="s" s="130">
        <v>39</v>
      </c>
      <c r="B243" t="s" s="131">
        <v>21</v>
      </c>
      <c r="C243" t="s" s="132">
        <v>1178</v>
      </c>
      <c r="D243" t="s" s="133">
        <v>117</v>
      </c>
      <c r="E243" s="147">
        <v>45808</v>
      </c>
      <c r="F243" s="144">
        <v>45899</v>
      </c>
      <c r="G243" s="136">
        <v>7270</v>
      </c>
      <c r="H243" t="s" s="131">
        <v>30</v>
      </c>
      <c r="I243" s="137">
        <v>45926</v>
      </c>
      <c r="J243" s="149">
        <v>14540</v>
      </c>
      <c r="K243" s="136">
        <f>J243-G243</f>
        <v>7270</v>
      </c>
      <c r="L243" t="s" s="139">
        <v>2264</v>
      </c>
    </row>
    <row r="244" ht="27.7" customHeight="1">
      <c r="A244" t="s" s="130">
        <v>39</v>
      </c>
      <c r="B244" t="s" s="131">
        <v>21</v>
      </c>
      <c r="C244" t="s" s="132">
        <v>1178</v>
      </c>
      <c r="D244" t="s" s="133">
        <v>117</v>
      </c>
      <c r="E244" s="147">
        <v>45808</v>
      </c>
      <c r="F244" s="144">
        <v>45914</v>
      </c>
      <c r="G244" s="136">
        <v>7270</v>
      </c>
      <c r="H244" t="s" s="131">
        <v>30</v>
      </c>
      <c r="I244" s="137">
        <v>45926</v>
      </c>
      <c r="J244" s="149">
        <v>0</v>
      </c>
      <c r="K244" s="136">
        <f>J244-G244</f>
        <v>-7270</v>
      </c>
      <c r="L244" t="s" s="139">
        <v>2265</v>
      </c>
    </row>
    <row r="245" ht="27.7" customHeight="1">
      <c r="A245" t="s" s="130">
        <v>39</v>
      </c>
      <c r="B245" t="s" s="131">
        <v>21</v>
      </c>
      <c r="C245" t="s" s="132">
        <v>1178</v>
      </c>
      <c r="D245" t="s" s="133">
        <v>117</v>
      </c>
      <c r="E245" s="147">
        <v>45808</v>
      </c>
      <c r="F245" s="144">
        <v>45929</v>
      </c>
      <c r="G245" s="136">
        <v>7270</v>
      </c>
      <c r="H245" t="s" s="131">
        <v>97</v>
      </c>
      <c r="I245" s="137">
        <v>45937</v>
      </c>
      <c r="J245" s="149">
        <v>7270</v>
      </c>
      <c r="K245" s="136">
        <f>J245-G245</f>
        <v>0</v>
      </c>
      <c r="L245" t="s" s="139">
        <v>2266</v>
      </c>
    </row>
    <row r="246" ht="27.7" customHeight="1">
      <c r="A246" t="s" s="130">
        <v>39</v>
      </c>
      <c r="B246" t="s" s="131">
        <v>68</v>
      </c>
      <c r="C246" t="s" s="132">
        <v>2267</v>
      </c>
      <c r="D246" t="s" s="133">
        <v>90</v>
      </c>
      <c r="E246" s="147">
        <v>45831</v>
      </c>
      <c r="F246" s="144">
        <v>45861</v>
      </c>
      <c r="G246" s="136">
        <v>2189</v>
      </c>
      <c r="H246" t="s" s="131">
        <v>40</v>
      </c>
      <c r="I246" s="137">
        <v>45876</v>
      </c>
      <c r="J246" s="149">
        <v>2189</v>
      </c>
      <c r="K246" s="136">
        <f>J246-G246</f>
        <v>0</v>
      </c>
      <c r="L246" t="s" s="139">
        <v>2268</v>
      </c>
    </row>
    <row r="247" ht="27.7" customHeight="1">
      <c r="A247" t="s" s="130">
        <v>39</v>
      </c>
      <c r="B247" t="s" s="131">
        <v>30</v>
      </c>
      <c r="C247" t="s" s="132">
        <v>578</v>
      </c>
      <c r="D247" t="s" s="133">
        <v>579</v>
      </c>
      <c r="E247" s="147">
        <v>45870</v>
      </c>
      <c r="F247" s="144">
        <v>45901</v>
      </c>
      <c r="G247" s="136">
        <v>2080</v>
      </c>
      <c r="H247" t="s" s="131">
        <v>68</v>
      </c>
      <c r="I247" s="137">
        <v>45901</v>
      </c>
      <c r="J247" s="149">
        <v>2080</v>
      </c>
      <c r="K247" s="136">
        <f>J247-G247</f>
        <v>0</v>
      </c>
      <c r="L247" t="s" s="139">
        <v>2269</v>
      </c>
    </row>
    <row r="248" ht="27.7" customHeight="1">
      <c r="A248" t="s" s="130">
        <v>39</v>
      </c>
      <c r="B248" t="s" s="131">
        <v>30</v>
      </c>
      <c r="C248" t="s" s="132">
        <v>578</v>
      </c>
      <c r="D248" t="s" s="133">
        <v>579</v>
      </c>
      <c r="E248" s="147">
        <v>45870</v>
      </c>
      <c r="F248" s="144">
        <v>45916</v>
      </c>
      <c r="G248" s="136">
        <v>2008</v>
      </c>
      <c r="H248" t="s" s="131">
        <v>97</v>
      </c>
      <c r="I248" s="137">
        <v>45917</v>
      </c>
      <c r="J248" s="149">
        <v>2008</v>
      </c>
      <c r="K248" s="136">
        <f>J248-G248</f>
        <v>0</v>
      </c>
      <c r="L248" t="s" s="139">
        <v>2270</v>
      </c>
    </row>
    <row r="249" ht="27.7" customHeight="1">
      <c r="A249" t="s" s="130">
        <v>39</v>
      </c>
      <c r="B249" t="s" s="131">
        <v>30</v>
      </c>
      <c r="C249" t="s" s="132">
        <v>578</v>
      </c>
      <c r="D249" t="s" s="133">
        <v>579</v>
      </c>
      <c r="E249" s="147">
        <v>45870</v>
      </c>
      <c r="F249" s="144">
        <v>45931</v>
      </c>
      <c r="G249" s="136">
        <v>2008</v>
      </c>
      <c r="H249" t="s" s="131">
        <v>97</v>
      </c>
      <c r="I249" s="137">
        <v>45931</v>
      </c>
      <c r="J249" s="149">
        <v>2008</v>
      </c>
      <c r="K249" s="136">
        <f>J249-G249</f>
        <v>0</v>
      </c>
      <c r="L249" t="s" s="139">
        <v>2271</v>
      </c>
    </row>
    <row r="250" ht="27.7" customHeight="1">
      <c r="A250" t="s" s="130">
        <v>39</v>
      </c>
      <c r="B250" t="s" s="131">
        <v>2246</v>
      </c>
      <c r="C250" t="s" s="132">
        <v>1404</v>
      </c>
      <c r="D250" t="s" s="133">
        <v>468</v>
      </c>
      <c r="E250" s="147">
        <v>45844</v>
      </c>
      <c r="F250" s="144">
        <v>45874</v>
      </c>
      <c r="G250" s="136">
        <v>2560</v>
      </c>
      <c r="H250" t="s" s="131">
        <v>2246</v>
      </c>
      <c r="I250" s="137">
        <v>45888</v>
      </c>
      <c r="J250" s="142">
        <f>G250+G251</f>
        <v>5120</v>
      </c>
      <c r="K250" s="136">
        <f>J250-G250</f>
        <v>2560</v>
      </c>
      <c r="L250" t="s" s="139">
        <v>2272</v>
      </c>
    </row>
    <row r="251" ht="27.7" customHeight="1">
      <c r="A251" t="s" s="130">
        <v>39</v>
      </c>
      <c r="B251" t="s" s="131">
        <v>2246</v>
      </c>
      <c r="C251" t="s" s="132">
        <v>1404</v>
      </c>
      <c r="D251" t="s" s="133">
        <v>468</v>
      </c>
      <c r="E251" s="147">
        <v>45844</v>
      </c>
      <c r="F251" s="144">
        <v>45889</v>
      </c>
      <c r="G251" s="136">
        <v>2560</v>
      </c>
      <c r="H251" t="s" s="131">
        <v>2246</v>
      </c>
      <c r="I251" s="137">
        <v>45888</v>
      </c>
      <c r="J251" s="185">
        <v>0</v>
      </c>
      <c r="K251" s="136">
        <f>J251-G251</f>
        <v>-2560</v>
      </c>
      <c r="L251" t="s" s="139">
        <v>2272</v>
      </c>
    </row>
    <row r="252" ht="27.7" customHeight="1">
      <c r="A252" t="s" s="130">
        <v>39</v>
      </c>
      <c r="B252" t="s" s="131">
        <v>2246</v>
      </c>
      <c r="C252" t="s" s="132">
        <v>1404</v>
      </c>
      <c r="D252" t="s" s="133">
        <v>468</v>
      </c>
      <c r="E252" s="147">
        <v>45844</v>
      </c>
      <c r="F252" s="144">
        <v>45904</v>
      </c>
      <c r="G252" s="136">
        <v>2560</v>
      </c>
      <c r="H252" t="s" s="131">
        <v>30</v>
      </c>
      <c r="I252" s="137">
        <v>45926</v>
      </c>
      <c r="J252" s="149">
        <v>2560</v>
      </c>
      <c r="K252" s="136">
        <f>J252-G252</f>
        <v>0</v>
      </c>
      <c r="L252" t="s" s="139">
        <v>2225</v>
      </c>
    </row>
    <row r="253" ht="27.7" customHeight="1">
      <c r="A253" t="s" s="130">
        <v>1936</v>
      </c>
      <c r="B253" t="s" s="131">
        <v>97</v>
      </c>
      <c r="C253" t="s" s="132">
        <v>1016</v>
      </c>
      <c r="D253" t="s" s="133">
        <v>706</v>
      </c>
      <c r="E253" s="147">
        <v>45862</v>
      </c>
      <c r="F253" s="144">
        <v>45923</v>
      </c>
      <c r="G253" s="136">
        <v>2002.25</v>
      </c>
      <c r="H253" t="s" s="131">
        <v>97</v>
      </c>
      <c r="I253" s="137"/>
      <c r="J253" s="142"/>
      <c r="K253" s="136">
        <f>J253-G253</f>
        <v>-2002.25</v>
      </c>
      <c r="L253" t="s" s="139">
        <v>2273</v>
      </c>
    </row>
    <row r="254" ht="27.7" customHeight="1">
      <c r="A254" t="s" s="130">
        <v>39</v>
      </c>
      <c r="B254" t="s" s="131">
        <v>40</v>
      </c>
      <c r="C254" t="s" s="132">
        <v>1641</v>
      </c>
      <c r="D254" t="s" s="133">
        <v>72</v>
      </c>
      <c r="E254" s="147">
        <v>45854</v>
      </c>
      <c r="F254" s="144">
        <v>45885</v>
      </c>
      <c r="G254" s="136">
        <v>3855.016666666670</v>
      </c>
      <c r="H254" t="s" s="131">
        <v>40</v>
      </c>
      <c r="I254" s="137">
        <v>45888</v>
      </c>
      <c r="J254" s="142">
        <v>3855.016666666670</v>
      </c>
      <c r="K254" s="136">
        <f>J254-G254</f>
        <v>0</v>
      </c>
      <c r="L254" t="s" s="139">
        <v>2274</v>
      </c>
    </row>
    <row r="255" ht="27.7" customHeight="1">
      <c r="A255" t="s" s="130">
        <v>39</v>
      </c>
      <c r="B255" t="s" s="131">
        <v>40</v>
      </c>
      <c r="C255" t="s" s="132">
        <v>1641</v>
      </c>
      <c r="D255" t="s" s="133">
        <v>72</v>
      </c>
      <c r="E255" s="147">
        <v>45854</v>
      </c>
      <c r="F255" s="144">
        <v>45930</v>
      </c>
      <c r="G255" s="136">
        <v>7580.93</v>
      </c>
      <c r="H255" t="s" s="131">
        <v>30</v>
      </c>
      <c r="I255" s="137">
        <v>45926</v>
      </c>
      <c r="J255" s="149">
        <v>7580.93</v>
      </c>
      <c r="K255" s="136">
        <f>J255-G255</f>
        <v>0</v>
      </c>
      <c r="L255" t="s" s="139">
        <v>2275</v>
      </c>
    </row>
    <row r="256" ht="27.7" customHeight="1">
      <c r="A256" t="s" s="130">
        <v>39</v>
      </c>
      <c r="B256" t="s" s="131">
        <v>40</v>
      </c>
      <c r="C256" t="s" s="132">
        <v>2276</v>
      </c>
      <c r="D256" t="s" s="133">
        <v>1500</v>
      </c>
      <c r="E256" s="147">
        <v>45875</v>
      </c>
      <c r="F256" s="144">
        <v>45906</v>
      </c>
      <c r="G256" s="136">
        <v>3775.966666666670</v>
      </c>
      <c r="H256" t="s" s="131">
        <v>40</v>
      </c>
      <c r="I256" s="137">
        <v>45909</v>
      </c>
      <c r="J256" s="142">
        <v>3775.966666666670</v>
      </c>
      <c r="K256" s="136">
        <f>J256-G256</f>
        <v>0</v>
      </c>
      <c r="L256" t="s" s="139">
        <v>2274</v>
      </c>
    </row>
    <row r="257" ht="27.7" customHeight="1">
      <c r="A257" t="s" s="130">
        <v>39</v>
      </c>
      <c r="B257" t="s" s="131">
        <v>40</v>
      </c>
      <c r="C257" t="s" s="132">
        <v>2276</v>
      </c>
      <c r="D257" t="s" s="133">
        <v>1500</v>
      </c>
      <c r="E257" s="147">
        <v>45875</v>
      </c>
      <c r="F257" s="144">
        <v>45936</v>
      </c>
      <c r="G257" s="136">
        <v>3695.966666666670</v>
      </c>
      <c r="H257" t="s" s="131">
        <v>40</v>
      </c>
      <c r="I257" s="137">
        <v>45937</v>
      </c>
      <c r="J257" s="142">
        <v>3700</v>
      </c>
      <c r="K257" s="136">
        <f>J257-G257</f>
        <v>4.033333333330</v>
      </c>
      <c r="L257" t="s" s="139">
        <v>2277</v>
      </c>
    </row>
    <row r="258" ht="27.7" customHeight="1">
      <c r="A258" t="s" s="130">
        <v>39</v>
      </c>
      <c r="B258" t="s" s="131">
        <v>40</v>
      </c>
      <c r="C258" t="s" s="132">
        <v>2276</v>
      </c>
      <c r="D258" t="s" s="133">
        <v>1500</v>
      </c>
      <c r="E258" s="147">
        <v>45875</v>
      </c>
      <c r="F258" s="144">
        <v>45966</v>
      </c>
      <c r="G258" s="136">
        <v>3695.966666666670</v>
      </c>
      <c r="H258" t="s" s="131">
        <v>40</v>
      </c>
      <c r="I258" s="137">
        <v>45966</v>
      </c>
      <c r="J258" s="142">
        <v>3695</v>
      </c>
      <c r="K258" s="136">
        <f>J258-G258</f>
        <v>-0.966666666670</v>
      </c>
      <c r="L258" t="s" s="139">
        <v>2278</v>
      </c>
    </row>
    <row r="259" ht="27.7" customHeight="1">
      <c r="A259" t="s" s="130">
        <v>39</v>
      </c>
      <c r="B259" t="s" s="131">
        <v>79</v>
      </c>
      <c r="C259" t="s" s="132">
        <v>2279</v>
      </c>
      <c r="D259" t="s" s="133">
        <v>129</v>
      </c>
      <c r="E259" s="147">
        <v>45873</v>
      </c>
      <c r="F259" s="144">
        <v>45904</v>
      </c>
      <c r="G259" s="136">
        <v>3376.71</v>
      </c>
      <c r="H259" t="s" s="131">
        <v>40</v>
      </c>
      <c r="I259" s="137">
        <v>45896</v>
      </c>
      <c r="J259" s="149">
        <v>4500</v>
      </c>
      <c r="K259" s="136">
        <f>J259-G259</f>
        <v>1123.29</v>
      </c>
      <c r="L259" t="s" s="139">
        <v>2280</v>
      </c>
    </row>
    <row r="260" ht="27.7" customHeight="1">
      <c r="A260" t="s" s="130">
        <v>39</v>
      </c>
      <c r="B260" t="s" s="131">
        <v>79</v>
      </c>
      <c r="C260" t="s" s="132">
        <v>2279</v>
      </c>
      <c r="D260" t="s" s="133">
        <v>129</v>
      </c>
      <c r="E260" s="147">
        <v>45873</v>
      </c>
      <c r="F260" s="144">
        <v>45919</v>
      </c>
      <c r="G260" s="136">
        <v>3376</v>
      </c>
      <c r="H260" t="s" s="131">
        <v>30</v>
      </c>
      <c r="I260" s="137">
        <v>45927</v>
      </c>
      <c r="J260" s="149">
        <v>3376</v>
      </c>
      <c r="K260" s="136">
        <f>J260-G260</f>
        <v>0</v>
      </c>
      <c r="L260" t="s" s="139">
        <v>2281</v>
      </c>
    </row>
    <row r="261" ht="27.7" customHeight="1">
      <c r="A261" t="s" s="130">
        <v>39</v>
      </c>
      <c r="B261" t="s" s="131">
        <v>79</v>
      </c>
      <c r="C261" t="s" s="132">
        <v>2279</v>
      </c>
      <c r="D261" t="s" s="133">
        <v>129</v>
      </c>
      <c r="E261" s="147">
        <v>45873</v>
      </c>
      <c r="F261" s="144">
        <v>45934</v>
      </c>
      <c r="G261" s="136">
        <v>3376</v>
      </c>
      <c r="H261" t="s" s="131">
        <v>97</v>
      </c>
      <c r="I261" s="137">
        <v>45946</v>
      </c>
      <c r="J261" s="149">
        <v>4000</v>
      </c>
      <c r="K261" s="136">
        <f>J261-G261</f>
        <v>624</v>
      </c>
      <c r="L261" t="s" s="139">
        <v>2282</v>
      </c>
    </row>
    <row r="262" ht="27.7" customHeight="1">
      <c r="A262" t="s" s="130">
        <v>39</v>
      </c>
      <c r="B262" t="s" s="131">
        <v>79</v>
      </c>
      <c r="C262" t="s" s="132">
        <v>2279</v>
      </c>
      <c r="D262" t="s" s="133">
        <v>129</v>
      </c>
      <c r="E262" s="147">
        <v>45873</v>
      </c>
      <c r="F262" s="144">
        <v>45949</v>
      </c>
      <c r="G262" s="136">
        <v>3376</v>
      </c>
      <c r="H262" t="s" s="131">
        <v>97</v>
      </c>
      <c r="I262" s="137">
        <v>45958</v>
      </c>
      <c r="J262" s="149">
        <v>5000</v>
      </c>
      <c r="K262" s="136">
        <f>J262-G262</f>
        <v>1624</v>
      </c>
      <c r="L262" t="s" s="139">
        <v>2283</v>
      </c>
    </row>
    <row r="263" ht="27.7" customHeight="1">
      <c r="A263" t="s" s="130">
        <v>39</v>
      </c>
      <c r="B263" t="s" s="131">
        <v>79</v>
      </c>
      <c r="C263" t="s" s="132">
        <v>2279</v>
      </c>
      <c r="D263" t="s" s="133">
        <v>129</v>
      </c>
      <c r="E263" s="147">
        <v>45873</v>
      </c>
      <c r="F263" s="144">
        <v>45964</v>
      </c>
      <c r="G263" s="136">
        <v>3376</v>
      </c>
      <c r="H263" t="s" s="131">
        <v>24</v>
      </c>
      <c r="I263" s="144"/>
      <c r="J263" s="186"/>
      <c r="K263" s="136">
        <f>J263-G263</f>
        <v>-3376</v>
      </c>
      <c r="L263" t="s" s="139">
        <v>2284</v>
      </c>
    </row>
    <row r="264" ht="27.7" customHeight="1">
      <c r="A264" t="s" s="130">
        <v>39</v>
      </c>
      <c r="B264" t="s" s="131">
        <v>488</v>
      </c>
      <c r="C264" t="s" s="132">
        <v>1811</v>
      </c>
      <c r="D264" t="s" s="133">
        <v>465</v>
      </c>
      <c r="E264" s="147">
        <v>45853</v>
      </c>
      <c r="F264" s="144">
        <v>45898</v>
      </c>
      <c r="G264" s="136">
        <v>8183.25</v>
      </c>
      <c r="H264" t="s" s="131">
        <v>40</v>
      </c>
      <c r="I264" s="137">
        <v>45898</v>
      </c>
      <c r="J264" s="149">
        <v>8183.25</v>
      </c>
      <c r="K264" s="136">
        <f>J264-G264</f>
        <v>0</v>
      </c>
      <c r="L264" t="s" s="139">
        <v>2285</v>
      </c>
    </row>
    <row r="265" ht="27.7" customHeight="1">
      <c r="A265" t="s" s="130">
        <v>39</v>
      </c>
      <c r="B265" t="s" s="131">
        <v>97</v>
      </c>
      <c r="C265" t="s" s="132">
        <v>1118</v>
      </c>
      <c r="D265" t="s" s="133">
        <v>90</v>
      </c>
      <c r="E265" s="147">
        <v>45877</v>
      </c>
      <c r="F265" s="144">
        <v>45908</v>
      </c>
      <c r="G265" s="136">
        <v>9586</v>
      </c>
      <c r="H265" t="s" s="131">
        <v>13</v>
      </c>
      <c r="I265" s="137">
        <v>45912</v>
      </c>
      <c r="J265" s="138">
        <v>9586</v>
      </c>
      <c r="K265" s="136">
        <f>J265-G265</f>
        <v>0</v>
      </c>
      <c r="L265" t="s" s="139">
        <v>2286</v>
      </c>
    </row>
    <row r="266" ht="27.7" customHeight="1">
      <c r="A266" t="s" s="130">
        <v>39</v>
      </c>
      <c r="B266" t="s" s="131">
        <v>97</v>
      </c>
      <c r="C266" t="s" s="132">
        <v>1118</v>
      </c>
      <c r="D266" t="s" s="133">
        <v>90</v>
      </c>
      <c r="E266" s="147">
        <v>45877</v>
      </c>
      <c r="F266" s="144">
        <v>45938</v>
      </c>
      <c r="G266" s="136">
        <v>9586</v>
      </c>
      <c r="H266" t="s" s="131">
        <v>97</v>
      </c>
      <c r="I266" s="137">
        <v>45938</v>
      </c>
      <c r="J266" s="142">
        <v>9586</v>
      </c>
      <c r="K266" s="136">
        <f>J266-G266</f>
        <v>0</v>
      </c>
      <c r="L266" t="s" s="139">
        <v>2238</v>
      </c>
    </row>
    <row r="267" ht="27.7" customHeight="1">
      <c r="A267" t="s" s="130">
        <v>39</v>
      </c>
      <c r="B267" t="s" s="131">
        <v>97</v>
      </c>
      <c r="C267" t="s" s="132">
        <v>1118</v>
      </c>
      <c r="D267" t="s" s="133">
        <v>90</v>
      </c>
      <c r="E267" s="147">
        <v>45877</v>
      </c>
      <c r="F267" s="144">
        <v>45968</v>
      </c>
      <c r="G267" s="136">
        <v>9585.9</v>
      </c>
      <c r="H267" t="s" s="131">
        <v>13</v>
      </c>
      <c r="I267" s="137">
        <v>45912</v>
      </c>
      <c r="J267" s="138">
        <v>9586</v>
      </c>
      <c r="K267" s="136">
        <f>J267-G267</f>
        <v>0.1</v>
      </c>
      <c r="L267" t="s" s="139">
        <v>2287</v>
      </c>
    </row>
    <row r="268" ht="27.7" customHeight="1">
      <c r="A268" t="s" s="130">
        <v>39</v>
      </c>
      <c r="B268" t="s" s="131">
        <v>68</v>
      </c>
      <c r="C268" t="s" s="132">
        <v>988</v>
      </c>
      <c r="D268" t="s" s="133">
        <v>90</v>
      </c>
      <c r="E268" s="147">
        <v>45866</v>
      </c>
      <c r="F268" s="144">
        <v>45897</v>
      </c>
      <c r="G268" s="136">
        <v>12221</v>
      </c>
      <c r="H268" t="s" s="131">
        <v>40</v>
      </c>
      <c r="I268" s="137">
        <v>45931</v>
      </c>
      <c r="J268" s="149">
        <v>12221</v>
      </c>
      <c r="K268" s="136">
        <f>J268-G268</f>
        <v>0</v>
      </c>
      <c r="L268" t="s" s="139">
        <v>2288</v>
      </c>
    </row>
    <row r="269" ht="27.7" customHeight="1">
      <c r="A269" t="s" s="130">
        <v>39</v>
      </c>
      <c r="B269" t="s" s="131">
        <v>30</v>
      </c>
      <c r="C269" t="s" s="132">
        <v>879</v>
      </c>
      <c r="D269" t="s" s="133">
        <v>206</v>
      </c>
      <c r="E269" s="147">
        <v>45911</v>
      </c>
      <c r="F269" s="144">
        <v>45942</v>
      </c>
      <c r="G269" s="136">
        <v>3243</v>
      </c>
      <c r="H269" t="s" s="131">
        <v>97</v>
      </c>
      <c r="I269" s="137">
        <v>45946</v>
      </c>
      <c r="J269" s="149">
        <f>G269</f>
        <v>3243</v>
      </c>
      <c r="K269" s="136">
        <f>J269-G269</f>
        <v>0</v>
      </c>
      <c r="L269" t="s" s="139">
        <v>2146</v>
      </c>
    </row>
    <row r="270" ht="27.7" customHeight="1">
      <c r="A270" t="s" s="130">
        <v>39</v>
      </c>
      <c r="B270" t="s" s="131">
        <v>30</v>
      </c>
      <c r="C270" t="s" s="132">
        <v>879</v>
      </c>
      <c r="D270" t="s" s="133">
        <v>206</v>
      </c>
      <c r="E270" s="147">
        <v>45911</v>
      </c>
      <c r="F270" s="144">
        <v>45972</v>
      </c>
      <c r="G270" s="136">
        <v>3128</v>
      </c>
      <c r="H270" t="s" s="131">
        <v>40</v>
      </c>
      <c r="I270" s="137">
        <v>45973</v>
      </c>
      <c r="J270" s="149">
        <f>G270</f>
        <v>3128</v>
      </c>
      <c r="K270" s="136">
        <f>J270-G270</f>
        <v>0</v>
      </c>
      <c r="L270" t="s" s="139">
        <v>2289</v>
      </c>
    </row>
    <row r="271" ht="27.7" customHeight="1">
      <c r="A271" t="s" s="130">
        <v>39</v>
      </c>
      <c r="B271" t="s" s="131">
        <v>30</v>
      </c>
      <c r="C271" t="s" s="132">
        <v>879</v>
      </c>
      <c r="D271" t="s" s="133">
        <v>206</v>
      </c>
      <c r="E271" s="147">
        <v>45911</v>
      </c>
      <c r="F271" s="144">
        <v>46002</v>
      </c>
      <c r="G271" s="136">
        <v>3128</v>
      </c>
      <c r="H271" t="s" s="131">
        <v>30</v>
      </c>
      <c r="I271" s="137">
        <v>46010</v>
      </c>
      <c r="J271" s="149">
        <f>G271</f>
        <v>3128</v>
      </c>
      <c r="K271" s="136">
        <f>J271-G271</f>
        <v>0</v>
      </c>
      <c r="L271" t="s" s="139">
        <v>2225</v>
      </c>
    </row>
    <row r="272" ht="27.7" customHeight="1">
      <c r="A272" t="s" s="130">
        <v>39</v>
      </c>
      <c r="B272" t="s" s="131">
        <v>30</v>
      </c>
      <c r="C272" t="s" s="132">
        <v>504</v>
      </c>
      <c r="D272" t="s" s="133">
        <v>246</v>
      </c>
      <c r="E272" s="147">
        <v>45897</v>
      </c>
      <c r="F272" s="144">
        <v>45931</v>
      </c>
      <c r="G272" s="136">
        <v>6314</v>
      </c>
      <c r="H272" t="s" s="131">
        <v>97</v>
      </c>
      <c r="I272" s="137">
        <v>45931</v>
      </c>
      <c r="J272" s="149">
        <v>6314</v>
      </c>
      <c r="K272" s="136">
        <f>J272-G272</f>
        <v>0</v>
      </c>
      <c r="L272" t="s" s="139">
        <v>2290</v>
      </c>
    </row>
    <row r="273" ht="27.7" customHeight="1">
      <c r="A273" t="s" s="130">
        <v>39</v>
      </c>
      <c r="B273" t="s" s="131">
        <v>30</v>
      </c>
      <c r="C273" t="s" s="132">
        <v>504</v>
      </c>
      <c r="D273" t="s" s="133">
        <v>246</v>
      </c>
      <c r="E273" s="147">
        <v>45897</v>
      </c>
      <c r="F273" s="144">
        <v>45962</v>
      </c>
      <c r="G273" s="136">
        <v>6314</v>
      </c>
      <c r="H273" t="s" s="131">
        <v>30</v>
      </c>
      <c r="I273" s="137">
        <v>45967</v>
      </c>
      <c r="J273" s="142">
        <f>G273</f>
        <v>6314</v>
      </c>
      <c r="K273" s="136">
        <f>J273-G273</f>
        <v>0</v>
      </c>
      <c r="L273" t="s" s="139">
        <v>2291</v>
      </c>
    </row>
    <row r="274" ht="27.7" customHeight="1">
      <c r="A274" t="s" s="130">
        <v>39</v>
      </c>
      <c r="B274" t="s" s="131">
        <v>30</v>
      </c>
      <c r="C274" t="s" s="132">
        <v>504</v>
      </c>
      <c r="D274" t="s" s="133">
        <v>246</v>
      </c>
      <c r="E274" s="147">
        <v>45897</v>
      </c>
      <c r="F274" s="144">
        <v>45992</v>
      </c>
      <c r="G274" s="136">
        <v>6314</v>
      </c>
      <c r="H274" t="s" s="131">
        <v>97</v>
      </c>
      <c r="I274" s="137">
        <v>46000</v>
      </c>
      <c r="J274" s="149">
        <v>6314</v>
      </c>
      <c r="K274" s="136">
        <f>J274-G274</f>
        <v>0</v>
      </c>
      <c r="L274" t="s" s="139">
        <v>2148</v>
      </c>
    </row>
    <row r="275" ht="27.7" customHeight="1">
      <c r="A275" t="s" s="130">
        <v>39</v>
      </c>
      <c r="B275" t="s" s="131">
        <v>97</v>
      </c>
      <c r="C275" t="s" s="132">
        <v>2292</v>
      </c>
      <c r="D275" t="s" s="133">
        <v>129</v>
      </c>
      <c r="E275" s="147">
        <v>45912</v>
      </c>
      <c r="F275" s="144">
        <v>45943</v>
      </c>
      <c r="G275" s="136">
        <v>5621</v>
      </c>
      <c r="H275" t="s" s="131">
        <v>97</v>
      </c>
      <c r="I275" s="137">
        <v>45972</v>
      </c>
      <c r="J275" s="142">
        <v>5000</v>
      </c>
      <c r="K275" s="136">
        <f>J275-G275</f>
        <v>-621</v>
      </c>
      <c r="L275" t="s" s="139">
        <v>2146</v>
      </c>
    </row>
    <row r="276" ht="27.7" customHeight="1">
      <c r="A276" t="s" s="130">
        <v>39</v>
      </c>
      <c r="B276" t="s" s="131">
        <v>97</v>
      </c>
      <c r="C276" t="s" s="132">
        <v>2292</v>
      </c>
      <c r="D276" t="s" s="133">
        <v>129</v>
      </c>
      <c r="E276" s="147">
        <v>45912</v>
      </c>
      <c r="F276" s="144">
        <v>45973</v>
      </c>
      <c r="G276" s="136">
        <v>5621</v>
      </c>
      <c r="H276" t="s" s="131">
        <v>97</v>
      </c>
      <c r="I276" s="137">
        <v>46001</v>
      </c>
      <c r="J276" s="142">
        <v>5000</v>
      </c>
      <c r="K276" s="136">
        <f>J276-G276</f>
        <v>-621</v>
      </c>
      <c r="L276" t="s" s="139">
        <v>2238</v>
      </c>
    </row>
    <row r="277" ht="27.7" customHeight="1">
      <c r="A277" t="s" s="130">
        <v>39</v>
      </c>
      <c r="B277" t="s" s="131">
        <v>97</v>
      </c>
      <c r="C277" t="s" s="132">
        <v>2292</v>
      </c>
      <c r="D277" t="s" s="133">
        <v>129</v>
      </c>
      <c r="E277" s="147">
        <v>45912</v>
      </c>
      <c r="F277" s="144">
        <v>46003</v>
      </c>
      <c r="G277" s="136">
        <v>5621</v>
      </c>
      <c r="H277" t="s" s="131">
        <v>30</v>
      </c>
      <c r="I277" s="137">
        <v>46010</v>
      </c>
      <c r="J277" s="149">
        <v>6863</v>
      </c>
      <c r="K277" s="136">
        <f>J277-G277</f>
        <v>1242</v>
      </c>
      <c r="L277" t="s" s="139">
        <v>2225</v>
      </c>
    </row>
    <row r="278" ht="27.7" customHeight="1">
      <c r="A278" t="s" s="130">
        <v>39</v>
      </c>
      <c r="B278" t="s" s="131">
        <v>30</v>
      </c>
      <c r="C278" t="s" s="132">
        <v>666</v>
      </c>
      <c r="D278" t="s" s="133">
        <v>539</v>
      </c>
      <c r="E278" s="147">
        <v>45911</v>
      </c>
      <c r="F278" s="144">
        <v>45942</v>
      </c>
      <c r="G278" s="136">
        <v>4578</v>
      </c>
      <c r="H278" t="s" s="131">
        <v>97</v>
      </c>
      <c r="I278" s="137">
        <v>45944</v>
      </c>
      <c r="J278" s="149">
        <v>4578</v>
      </c>
      <c r="K278" s="136">
        <f>J278-G278</f>
        <v>0</v>
      </c>
      <c r="L278" t="s" s="139">
        <v>2293</v>
      </c>
    </row>
    <row r="279" ht="27.7" customHeight="1">
      <c r="A279" t="s" s="130">
        <v>39</v>
      </c>
      <c r="B279" t="s" s="131">
        <v>30</v>
      </c>
      <c r="C279" t="s" s="132">
        <v>666</v>
      </c>
      <c r="D279" t="s" s="133">
        <v>539</v>
      </c>
      <c r="E279" s="147">
        <v>45911</v>
      </c>
      <c r="F279" s="144">
        <v>45951</v>
      </c>
      <c r="G279" s="136">
        <v>4260</v>
      </c>
      <c r="H279" t="s" s="131">
        <v>97</v>
      </c>
      <c r="I279" s="137">
        <v>45951</v>
      </c>
      <c r="J279" s="149">
        <f>G279</f>
        <v>4260</v>
      </c>
      <c r="K279" s="136">
        <f>J279-G279</f>
        <v>0</v>
      </c>
      <c r="L279" t="s" s="139">
        <v>2294</v>
      </c>
    </row>
    <row r="280" ht="27.7" customHeight="1">
      <c r="A280" t="s" s="130">
        <v>39</v>
      </c>
      <c r="B280" t="s" s="131">
        <v>30</v>
      </c>
      <c r="C280" t="s" s="132">
        <v>666</v>
      </c>
      <c r="D280" t="s" s="133">
        <v>539</v>
      </c>
      <c r="E280" s="147">
        <v>45911</v>
      </c>
      <c r="F280" s="144">
        <v>45960</v>
      </c>
      <c r="G280" s="136">
        <v>4260</v>
      </c>
      <c r="H280" t="s" s="131">
        <v>97</v>
      </c>
      <c r="I280" s="137">
        <v>45960</v>
      </c>
      <c r="J280" s="149">
        <f>G280</f>
        <v>4260</v>
      </c>
      <c r="K280" s="136">
        <f>J280-G280</f>
        <v>0</v>
      </c>
      <c r="L280" t="s" s="139">
        <v>2295</v>
      </c>
    </row>
    <row r="281" ht="27.7" customHeight="1">
      <c r="A281" t="s" s="130">
        <v>39</v>
      </c>
      <c r="B281" t="s" s="131">
        <v>30</v>
      </c>
      <c r="C281" t="s" s="132">
        <v>666</v>
      </c>
      <c r="D281" t="s" s="133">
        <v>539</v>
      </c>
      <c r="E281" s="147">
        <v>45911</v>
      </c>
      <c r="F281" s="144">
        <v>45969</v>
      </c>
      <c r="G281" s="136">
        <v>4260</v>
      </c>
      <c r="H281" t="s" s="131">
        <v>97</v>
      </c>
      <c r="I281" s="137">
        <v>45971</v>
      </c>
      <c r="J281" s="149">
        <f>G281</f>
        <v>4260</v>
      </c>
      <c r="K281" s="136">
        <f>J281-G281</f>
        <v>0</v>
      </c>
      <c r="L281" t="s" s="139">
        <v>2296</v>
      </c>
    </row>
    <row r="282" ht="27.7" customHeight="1">
      <c r="A282" t="s" s="130">
        <v>39</v>
      </c>
      <c r="B282" t="s" s="131">
        <v>30</v>
      </c>
      <c r="C282" t="s" s="132">
        <v>666</v>
      </c>
      <c r="D282" t="s" s="133">
        <v>539</v>
      </c>
      <c r="E282" s="147">
        <v>45911</v>
      </c>
      <c r="F282" s="144">
        <v>45978</v>
      </c>
      <c r="G282" s="136">
        <v>4260</v>
      </c>
      <c r="H282" t="s" s="131">
        <v>97</v>
      </c>
      <c r="I282" s="137">
        <v>45978</v>
      </c>
      <c r="J282" s="149">
        <f>G282</f>
        <v>4260</v>
      </c>
      <c r="K282" s="136">
        <f>J282-G282</f>
        <v>0</v>
      </c>
      <c r="L282" t="s" s="139">
        <v>2297</v>
      </c>
    </row>
    <row r="283" ht="27.7" customHeight="1">
      <c r="A283" t="s" s="130">
        <v>39</v>
      </c>
      <c r="B283" t="s" s="131">
        <v>30</v>
      </c>
      <c r="C283" t="s" s="132">
        <v>666</v>
      </c>
      <c r="D283" t="s" s="133">
        <v>539</v>
      </c>
      <c r="E283" s="147">
        <v>45911</v>
      </c>
      <c r="F283" s="144">
        <v>45987</v>
      </c>
      <c r="G283" s="136">
        <v>4260</v>
      </c>
      <c r="H283" t="s" s="131">
        <v>97</v>
      </c>
      <c r="I283" s="137">
        <v>45987</v>
      </c>
      <c r="J283" s="149">
        <f>G283</f>
        <v>4260</v>
      </c>
      <c r="K283" s="136">
        <f>J283-G283</f>
        <v>0</v>
      </c>
      <c r="L283" t="s" s="139">
        <v>2298</v>
      </c>
    </row>
    <row r="284" ht="27.7" customHeight="1">
      <c r="A284" t="s" s="130">
        <v>39</v>
      </c>
      <c r="B284" t="s" s="131">
        <v>30</v>
      </c>
      <c r="C284" t="s" s="132">
        <v>666</v>
      </c>
      <c r="D284" t="s" s="133">
        <v>539</v>
      </c>
      <c r="E284" s="147">
        <v>45911</v>
      </c>
      <c r="F284" s="144">
        <v>45996</v>
      </c>
      <c r="G284" s="136">
        <v>4260</v>
      </c>
      <c r="H284" t="s" s="131">
        <v>97</v>
      </c>
      <c r="I284" s="137">
        <v>45999</v>
      </c>
      <c r="J284" s="149">
        <f>G284</f>
        <v>4260</v>
      </c>
      <c r="K284" s="136">
        <f>J284-G284</f>
        <v>0</v>
      </c>
      <c r="L284" t="s" s="139">
        <v>2299</v>
      </c>
    </row>
    <row r="285" ht="27.7" customHeight="1">
      <c r="A285" t="s" s="130">
        <v>39</v>
      </c>
      <c r="B285" t="s" s="131">
        <v>30</v>
      </c>
      <c r="C285" t="s" s="132">
        <v>666</v>
      </c>
      <c r="D285" t="s" s="133">
        <v>539</v>
      </c>
      <c r="E285" s="147">
        <v>45911</v>
      </c>
      <c r="F285" s="144">
        <v>46005</v>
      </c>
      <c r="G285" s="136">
        <v>4260</v>
      </c>
      <c r="H285" t="s" s="131">
        <v>97</v>
      </c>
      <c r="I285" s="137">
        <v>46007</v>
      </c>
      <c r="J285" s="149">
        <f>G285</f>
        <v>4260</v>
      </c>
      <c r="K285" s="136">
        <f>J285-G285</f>
        <v>0</v>
      </c>
      <c r="L285" t="s" s="139">
        <v>2300</v>
      </c>
    </row>
    <row r="286" ht="27.7" customHeight="1">
      <c r="A286" t="s" s="130">
        <v>39</v>
      </c>
      <c r="B286" t="s" s="131">
        <v>633</v>
      </c>
      <c r="C286" t="s" s="132">
        <v>1535</v>
      </c>
      <c r="D286" t="s" s="133">
        <v>1533</v>
      </c>
      <c r="E286" s="147">
        <v>45916</v>
      </c>
      <c r="F286" s="144">
        <v>45946</v>
      </c>
      <c r="G286" s="136">
        <v>17441.37</v>
      </c>
      <c r="H286" t="s" s="131">
        <v>40</v>
      </c>
      <c r="I286" s="137">
        <v>45946</v>
      </c>
      <c r="J286" s="149">
        <v>17441.37</v>
      </c>
      <c r="K286" s="136">
        <f>J286-G286</f>
        <v>0</v>
      </c>
      <c r="L286" t="s" s="139">
        <v>2301</v>
      </c>
    </row>
    <row r="287" ht="27.7" customHeight="1">
      <c r="A287" t="s" s="130">
        <v>39</v>
      </c>
      <c r="B287" t="s" s="131">
        <v>633</v>
      </c>
      <c r="C287" t="s" s="132">
        <v>1535</v>
      </c>
      <c r="D287" t="s" s="133">
        <v>1533</v>
      </c>
      <c r="E287" s="147">
        <v>45916</v>
      </c>
      <c r="F287" s="144">
        <v>45976</v>
      </c>
      <c r="G287" s="136">
        <v>16158.01</v>
      </c>
      <c r="H287" t="s" s="131">
        <v>30</v>
      </c>
      <c r="I287" s="137">
        <v>45972</v>
      </c>
      <c r="J287" s="149">
        <v>16158</v>
      </c>
      <c r="K287" s="136">
        <f>J287-G287</f>
        <v>-0.01</v>
      </c>
      <c r="L287" t="s" s="139">
        <v>2109</v>
      </c>
    </row>
    <row r="288" ht="27.7" customHeight="1">
      <c r="A288" t="s" s="130">
        <v>39</v>
      </c>
      <c r="B288" t="s" s="131">
        <v>633</v>
      </c>
      <c r="C288" t="s" s="132">
        <v>1535</v>
      </c>
      <c r="D288" t="s" s="133">
        <v>1533</v>
      </c>
      <c r="E288" s="147">
        <v>45916</v>
      </c>
      <c r="F288" s="144">
        <v>46006</v>
      </c>
      <c r="G288" s="136">
        <v>16158.01</v>
      </c>
      <c r="H288" t="s" s="131">
        <v>21</v>
      </c>
      <c r="I288" s="137">
        <v>46003</v>
      </c>
      <c r="J288" s="149">
        <v>16158</v>
      </c>
      <c r="K288" s="136">
        <f>J288-G288</f>
        <v>-0.01</v>
      </c>
      <c r="L288" t="s" s="139">
        <v>2302</v>
      </c>
    </row>
    <row r="289" ht="27.7" customHeight="1">
      <c r="A289" t="s" s="130">
        <v>39</v>
      </c>
      <c r="B289" t="s" s="131">
        <v>40</v>
      </c>
      <c r="C289" t="s" s="132">
        <v>1535</v>
      </c>
      <c r="D289" t="s" s="133">
        <v>1533</v>
      </c>
      <c r="E289" s="147">
        <v>45924</v>
      </c>
      <c r="F289" s="144">
        <v>45954</v>
      </c>
      <c r="G289" s="136">
        <v>8736.219999999999</v>
      </c>
      <c r="H289" t="s" s="131">
        <v>36</v>
      </c>
      <c r="I289" s="137">
        <v>45951</v>
      </c>
      <c r="J289" s="149">
        <f>G289</f>
        <v>8736.219999999999</v>
      </c>
      <c r="K289" s="136">
        <f>J289-G289</f>
        <v>0</v>
      </c>
      <c r="L289" t="s" s="139">
        <v>2303</v>
      </c>
    </row>
    <row r="290" ht="27.7" customHeight="1">
      <c r="A290" t="s" s="130">
        <v>39</v>
      </c>
      <c r="B290" t="s" s="131">
        <v>40</v>
      </c>
      <c r="C290" t="s" s="132">
        <v>1535</v>
      </c>
      <c r="D290" t="s" s="133">
        <v>1533</v>
      </c>
      <c r="E290" s="147">
        <v>45924</v>
      </c>
      <c r="F290" s="144">
        <v>45984</v>
      </c>
      <c r="G290" s="136">
        <v>8611</v>
      </c>
      <c r="H290" t="s" s="131">
        <v>40</v>
      </c>
      <c r="I290" s="137">
        <v>45982</v>
      </c>
      <c r="J290" s="142">
        <f>G290</f>
        <v>8611</v>
      </c>
      <c r="K290" s="136">
        <f>J290-G290</f>
        <v>0</v>
      </c>
      <c r="L290" t="s" s="139">
        <v>2289</v>
      </c>
    </row>
    <row r="291" ht="27.7" customHeight="1">
      <c r="A291" t="s" s="130">
        <v>39</v>
      </c>
      <c r="B291" t="s" s="131">
        <v>40</v>
      </c>
      <c r="C291" t="s" s="132">
        <v>1535</v>
      </c>
      <c r="D291" t="s" s="133">
        <v>1533</v>
      </c>
      <c r="E291" s="147">
        <v>45924</v>
      </c>
      <c r="F291" s="144">
        <v>46014</v>
      </c>
      <c r="G291" s="136">
        <v>8611</v>
      </c>
      <c r="H291" t="s" s="131">
        <v>30</v>
      </c>
      <c r="I291" s="137">
        <v>46010</v>
      </c>
      <c r="J291" s="149">
        <f>G291</f>
        <v>8611</v>
      </c>
      <c r="K291" s="136">
        <f>J291-G291</f>
        <v>0</v>
      </c>
      <c r="L291" t="s" s="139">
        <v>2225</v>
      </c>
    </row>
    <row r="292" ht="27.7" customHeight="1">
      <c r="A292" t="s" s="130">
        <v>39</v>
      </c>
      <c r="B292" t="s" s="131">
        <v>68</v>
      </c>
      <c r="C292" t="s" s="132">
        <v>988</v>
      </c>
      <c r="D292" t="s" s="133">
        <v>90</v>
      </c>
      <c r="E292" s="147">
        <v>45901</v>
      </c>
      <c r="F292" s="144">
        <v>45931</v>
      </c>
      <c r="G292" s="136">
        <v>8756</v>
      </c>
      <c r="H292" t="s" s="131">
        <v>13</v>
      </c>
      <c r="I292" s="137">
        <v>45994</v>
      </c>
      <c r="J292" s="138">
        <f>G292</f>
        <v>8756</v>
      </c>
      <c r="K292" s="136">
        <f>J292-G292</f>
        <v>0</v>
      </c>
      <c r="L292" t="s" s="139">
        <v>2304</v>
      </c>
    </row>
    <row r="293" ht="27.7" customHeight="1">
      <c r="A293" t="s" s="130">
        <v>39</v>
      </c>
      <c r="B293" t="s" s="131">
        <v>633</v>
      </c>
      <c r="C293" t="s" s="132">
        <v>2021</v>
      </c>
      <c r="D293" t="s" s="133">
        <v>194</v>
      </c>
      <c r="E293" s="147">
        <v>45916</v>
      </c>
      <c r="F293" s="144">
        <v>45961</v>
      </c>
      <c r="G293" s="136">
        <v>3564.83</v>
      </c>
      <c r="H293" t="s" s="131">
        <v>2150</v>
      </c>
      <c r="I293" s="144"/>
      <c r="J293" s="145"/>
      <c r="K293" s="136">
        <f>J293-G293</f>
        <v>-3564.83</v>
      </c>
      <c r="L293" t="s" s="139">
        <v>2305</v>
      </c>
    </row>
    <row r="294" ht="27.7" customHeight="1">
      <c r="A294" t="s" s="130">
        <v>39</v>
      </c>
      <c r="B294" t="s" s="131">
        <v>633</v>
      </c>
      <c r="C294" t="s" s="132">
        <v>2021</v>
      </c>
      <c r="D294" t="s" s="133">
        <v>194</v>
      </c>
      <c r="E294" s="147">
        <v>45916</v>
      </c>
      <c r="F294" s="144">
        <v>45991</v>
      </c>
      <c r="G294" s="136">
        <v>3564.83</v>
      </c>
      <c r="H294" t="s" s="131">
        <v>2150</v>
      </c>
      <c r="I294" s="144"/>
      <c r="J294" s="145"/>
      <c r="K294" s="136">
        <f>J294-G294</f>
        <v>-3564.83</v>
      </c>
      <c r="L294" t="s" s="139">
        <v>2306</v>
      </c>
    </row>
    <row r="295" ht="27.7" customHeight="1">
      <c r="A295" t="s" s="130">
        <v>39</v>
      </c>
      <c r="B295" t="s" s="131">
        <v>97</v>
      </c>
      <c r="C295" t="s" s="132">
        <v>1495</v>
      </c>
      <c r="D295" t="s" s="133">
        <v>15</v>
      </c>
      <c r="E295" s="147">
        <v>45898</v>
      </c>
      <c r="F295" s="144">
        <v>45929</v>
      </c>
      <c r="G295" s="136">
        <v>10772</v>
      </c>
      <c r="H295" t="s" s="131">
        <v>97</v>
      </c>
      <c r="I295" s="137">
        <v>45938</v>
      </c>
      <c r="J295" s="142">
        <f>G295</f>
        <v>10772</v>
      </c>
      <c r="K295" s="136">
        <f>J295-G295</f>
        <v>0</v>
      </c>
      <c r="L295" t="s" s="139">
        <v>2146</v>
      </c>
    </row>
    <row r="296" ht="27.7" customHeight="1">
      <c r="A296" t="s" s="130">
        <v>39</v>
      </c>
      <c r="B296" t="s" s="131">
        <v>97</v>
      </c>
      <c r="C296" t="s" s="132">
        <v>1495</v>
      </c>
      <c r="D296" t="s" s="133">
        <v>15</v>
      </c>
      <c r="E296" s="147">
        <v>45898</v>
      </c>
      <c r="F296" s="144">
        <v>45959</v>
      </c>
      <c r="G296" s="136">
        <v>10772</v>
      </c>
      <c r="H296" t="s" s="131">
        <v>97</v>
      </c>
      <c r="I296" s="137">
        <v>45959</v>
      </c>
      <c r="J296" s="142">
        <f>G296</f>
        <v>10772</v>
      </c>
      <c r="K296" s="136">
        <f>J296-G296</f>
        <v>0</v>
      </c>
      <c r="L296" t="s" s="139">
        <v>2238</v>
      </c>
    </row>
    <row r="297" ht="27.7" customHeight="1">
      <c r="A297" t="s" s="130">
        <v>39</v>
      </c>
      <c r="B297" t="s" s="131">
        <v>97</v>
      </c>
      <c r="C297" t="s" s="132">
        <v>1495</v>
      </c>
      <c r="D297" t="s" s="133">
        <v>15</v>
      </c>
      <c r="E297" s="147">
        <v>45898</v>
      </c>
      <c r="F297" s="144">
        <v>45990</v>
      </c>
      <c r="G297" s="136">
        <v>10771.7</v>
      </c>
      <c r="H297" t="s" s="131">
        <v>97</v>
      </c>
      <c r="I297" s="137">
        <v>45999</v>
      </c>
      <c r="J297" s="142">
        <f>G297</f>
        <v>10771.7</v>
      </c>
      <c r="K297" s="136">
        <f>J297-G297</f>
        <v>0</v>
      </c>
      <c r="L297" t="s" s="139">
        <v>2148</v>
      </c>
    </row>
    <row r="298" ht="27.7" customHeight="1">
      <c r="A298" t="s" s="130">
        <v>39</v>
      </c>
      <c r="B298" t="s" s="131">
        <v>420</v>
      </c>
      <c r="C298" t="s" s="132">
        <v>988</v>
      </c>
      <c r="D298" t="s" s="133">
        <v>90</v>
      </c>
      <c r="E298" s="147">
        <v>45925</v>
      </c>
      <c r="F298" s="144">
        <v>45961</v>
      </c>
      <c r="G298" s="136">
        <v>13200</v>
      </c>
      <c r="H298" t="s" s="131">
        <v>40</v>
      </c>
      <c r="I298" s="137">
        <v>45961</v>
      </c>
      <c r="J298" s="149">
        <v>13200</v>
      </c>
      <c r="K298" s="136">
        <f>J298-G298</f>
        <v>0</v>
      </c>
      <c r="L298" t="s" s="139">
        <v>2204</v>
      </c>
    </row>
    <row r="299" ht="27.7" customHeight="1">
      <c r="A299" t="s" s="130">
        <v>39</v>
      </c>
      <c r="B299" t="s" s="131">
        <v>68</v>
      </c>
      <c r="C299" t="s" s="132">
        <v>988</v>
      </c>
      <c r="D299" t="s" s="133">
        <v>90</v>
      </c>
      <c r="E299" s="147">
        <v>45957</v>
      </c>
      <c r="F299" s="144">
        <v>45961</v>
      </c>
      <c r="G299" s="136">
        <v>11728.64</v>
      </c>
      <c r="H299" t="s" s="131">
        <v>40</v>
      </c>
      <c r="I299" s="137">
        <v>45961</v>
      </c>
      <c r="J299" s="149">
        <v>3040</v>
      </c>
      <c r="K299" s="136">
        <f>J299-G299</f>
        <v>-8688.639999999999</v>
      </c>
      <c r="L299" t="s" s="139">
        <v>2307</v>
      </c>
    </row>
    <row r="300" ht="27.7" customHeight="1">
      <c r="A300" t="s" s="130">
        <v>39</v>
      </c>
      <c r="B300" t="s" s="131">
        <v>68</v>
      </c>
      <c r="C300" t="s" s="132">
        <v>988</v>
      </c>
      <c r="D300" t="s" s="133">
        <v>90</v>
      </c>
      <c r="E300" s="147">
        <v>45957</v>
      </c>
      <c r="F300" s="144">
        <v>45961</v>
      </c>
      <c r="G300" s="136">
        <v>0</v>
      </c>
      <c r="H300" t="s" s="131">
        <v>40</v>
      </c>
      <c r="I300" s="137">
        <v>45979</v>
      </c>
      <c r="J300" s="149">
        <v>8688.639999999999</v>
      </c>
      <c r="K300" s="136">
        <f>J300-G300</f>
        <v>8688.639999999999</v>
      </c>
      <c r="L300" t="s" s="139">
        <v>2308</v>
      </c>
    </row>
    <row r="301" ht="27.7" customHeight="1">
      <c r="A301" t="s" s="130">
        <v>39</v>
      </c>
      <c r="B301" t="s" s="131">
        <v>68</v>
      </c>
      <c r="C301" t="s" s="132">
        <v>1403</v>
      </c>
      <c r="D301" t="s" s="133">
        <v>206</v>
      </c>
      <c r="E301" s="147">
        <v>45964</v>
      </c>
      <c r="F301" s="144">
        <v>45996</v>
      </c>
      <c r="G301" s="136">
        <v>4000</v>
      </c>
      <c r="H301" t="s" s="131">
        <v>68</v>
      </c>
      <c r="I301" t="s" s="187">
        <v>2309</v>
      </c>
      <c r="J301" s="142">
        <f>G301</f>
        <v>4000</v>
      </c>
      <c r="K301" s="136">
        <f>J301-G301</f>
        <v>0</v>
      </c>
      <c r="L301" t="s" s="139">
        <v>2310</v>
      </c>
    </row>
    <row r="302" ht="27.7" customHeight="1">
      <c r="A302" t="s" s="130">
        <v>39</v>
      </c>
      <c r="B302" t="s" s="131">
        <v>68</v>
      </c>
      <c r="C302" t="s" s="132">
        <v>1403</v>
      </c>
      <c r="D302" t="s" s="133">
        <v>206</v>
      </c>
      <c r="E302" s="147">
        <v>45964</v>
      </c>
      <c r="F302" s="144">
        <v>46011</v>
      </c>
      <c r="G302" s="136">
        <v>1250</v>
      </c>
      <c r="H302" t="s" s="131">
        <v>68</v>
      </c>
      <c r="I302" t="s" s="187">
        <v>2309</v>
      </c>
      <c r="J302" s="142">
        <f>G302</f>
        <v>1250</v>
      </c>
      <c r="K302" s="136">
        <f>J302-G302</f>
        <v>0</v>
      </c>
      <c r="L302" t="s" s="139">
        <v>2310</v>
      </c>
    </row>
    <row r="303" ht="27.7" customHeight="1">
      <c r="A303" t="s" s="130">
        <v>39</v>
      </c>
      <c r="B303" t="s" s="131">
        <v>68</v>
      </c>
      <c r="C303" t="s" s="132">
        <v>1403</v>
      </c>
      <c r="D303" t="s" s="133">
        <v>206</v>
      </c>
      <c r="E303" s="147">
        <v>45964</v>
      </c>
      <c r="F303" s="144">
        <v>46011</v>
      </c>
      <c r="G303" s="136">
        <v>2750</v>
      </c>
      <c r="H303" t="s" s="131">
        <v>68</v>
      </c>
      <c r="I303" t="s" s="187">
        <v>2309</v>
      </c>
      <c r="J303" s="142">
        <f>G303</f>
        <v>2750</v>
      </c>
      <c r="K303" s="136">
        <f>J303-G303</f>
        <v>0</v>
      </c>
      <c r="L303" t="s" s="139">
        <v>2310</v>
      </c>
    </row>
    <row r="304" ht="27.7" customHeight="1">
      <c r="A304" t="s" s="130">
        <v>39</v>
      </c>
      <c r="B304" t="s" s="131">
        <v>68</v>
      </c>
      <c r="C304" t="s" s="132">
        <v>1403</v>
      </c>
      <c r="D304" t="s" s="133">
        <v>206</v>
      </c>
      <c r="E304" s="147">
        <v>45964</v>
      </c>
      <c r="F304" s="144">
        <v>45999</v>
      </c>
      <c r="G304" s="136">
        <v>4000</v>
      </c>
      <c r="H304" t="s" s="131">
        <v>68</v>
      </c>
      <c r="I304" t="s" s="187">
        <v>2309</v>
      </c>
      <c r="J304" s="142">
        <f>G304</f>
        <v>4000</v>
      </c>
      <c r="K304" s="136">
        <f>J304-G304</f>
        <v>0</v>
      </c>
      <c r="L304" t="s" s="139">
        <v>2310</v>
      </c>
    </row>
    <row r="305" ht="27.7" customHeight="1">
      <c r="A305" t="s" s="130">
        <v>39</v>
      </c>
      <c r="B305" t="s" s="131">
        <v>40</v>
      </c>
      <c r="C305" t="s" s="132">
        <v>1523</v>
      </c>
      <c r="D305" t="s" s="133">
        <v>1500</v>
      </c>
      <c r="E305" s="147">
        <v>45946</v>
      </c>
      <c r="F305" s="144">
        <v>45977</v>
      </c>
      <c r="G305" s="136">
        <v>3592.73</v>
      </c>
      <c r="H305" t="s" s="131">
        <v>40</v>
      </c>
      <c r="I305" s="137">
        <v>45978</v>
      </c>
      <c r="J305" s="142">
        <f>G305</f>
        <v>3592.73</v>
      </c>
      <c r="K305" s="136">
        <f>J305-G305</f>
        <v>0</v>
      </c>
      <c r="L305" t="s" s="139">
        <v>2311</v>
      </c>
    </row>
    <row r="306" ht="27.7" customHeight="1">
      <c r="A306" t="s" s="130">
        <v>39</v>
      </c>
      <c r="B306" t="s" s="131">
        <v>40</v>
      </c>
      <c r="C306" t="s" s="132">
        <v>1523</v>
      </c>
      <c r="D306" t="s" s="133">
        <v>1500</v>
      </c>
      <c r="E306" s="147">
        <v>45946</v>
      </c>
      <c r="F306" s="144">
        <v>46007</v>
      </c>
      <c r="G306" s="136">
        <v>3527.5</v>
      </c>
      <c r="H306" t="s" s="131">
        <v>40</v>
      </c>
      <c r="I306" s="137">
        <v>46007</v>
      </c>
      <c r="J306" s="142">
        <v>3477</v>
      </c>
      <c r="K306" s="136">
        <f>J306-G306</f>
        <v>-50.5</v>
      </c>
      <c r="L306" t="s" s="139">
        <v>2312</v>
      </c>
    </row>
    <row r="307" ht="27.7" customHeight="1">
      <c r="A307" t="s" s="130">
        <v>39</v>
      </c>
      <c r="B307" t="s" s="131">
        <v>40</v>
      </c>
      <c r="C307" t="s" s="132">
        <v>1523</v>
      </c>
      <c r="D307" t="s" s="133">
        <v>1500</v>
      </c>
      <c r="E307" s="147">
        <v>45946</v>
      </c>
      <c r="F307" s="144">
        <v>46037</v>
      </c>
      <c r="G307" s="136">
        <v>3527.5</v>
      </c>
      <c r="H307" t="s" s="131">
        <v>30</v>
      </c>
      <c r="I307" s="137">
        <v>46039</v>
      </c>
      <c r="J307" s="149">
        <v>3578</v>
      </c>
      <c r="K307" s="136">
        <f>J307-G307</f>
        <v>50.5</v>
      </c>
      <c r="L307" t="s" s="139">
        <v>2225</v>
      </c>
    </row>
    <row r="308" ht="27.7" customHeight="1">
      <c r="A308" t="s" s="130">
        <v>39</v>
      </c>
      <c r="B308" t="s" s="131">
        <v>40</v>
      </c>
      <c r="C308" t="s" s="132">
        <v>1349</v>
      </c>
      <c r="D308" t="s" s="133">
        <v>539</v>
      </c>
      <c r="E308" s="147">
        <v>45924</v>
      </c>
      <c r="F308" s="144">
        <v>45954</v>
      </c>
      <c r="G308" s="136">
        <v>6537.746666666670</v>
      </c>
      <c r="H308" t="s" s="131">
        <v>40</v>
      </c>
      <c r="I308" s="137">
        <v>45979</v>
      </c>
      <c r="J308" s="142">
        <f>G308</f>
        <v>6537.746666666670</v>
      </c>
      <c r="K308" s="136">
        <f>J308-G308</f>
        <v>0</v>
      </c>
      <c r="L308" t="s" s="139">
        <v>2313</v>
      </c>
    </row>
    <row r="309" ht="27.7" customHeight="1">
      <c r="A309" t="s" s="130">
        <v>39</v>
      </c>
      <c r="B309" t="s" s="131">
        <v>40</v>
      </c>
      <c r="C309" t="s" s="132">
        <v>1349</v>
      </c>
      <c r="D309" t="s" s="133">
        <v>539</v>
      </c>
      <c r="E309" s="147">
        <v>45924</v>
      </c>
      <c r="F309" s="144">
        <v>45984</v>
      </c>
      <c r="G309" s="136">
        <v>12859.7333333333</v>
      </c>
      <c r="H309" t="s" s="131">
        <v>40</v>
      </c>
      <c r="I309" s="137">
        <v>46014</v>
      </c>
      <c r="J309" s="142">
        <v>12859.7333333333</v>
      </c>
      <c r="K309" s="136">
        <f>J309-G309</f>
        <v>0</v>
      </c>
      <c r="L309" t="s" s="139">
        <v>2314</v>
      </c>
    </row>
    <row r="310" ht="27.7" customHeight="1">
      <c r="A310" t="s" s="130">
        <v>39</v>
      </c>
      <c r="B310" t="s" s="131">
        <v>30</v>
      </c>
      <c r="C310" t="s" s="132">
        <v>2067</v>
      </c>
      <c r="D310" t="s" s="133">
        <v>539</v>
      </c>
      <c r="E310" s="147">
        <v>45958</v>
      </c>
      <c r="F310" s="144">
        <v>45989</v>
      </c>
      <c r="G310" s="136">
        <v>2850</v>
      </c>
      <c r="H310" t="s" s="131">
        <v>30</v>
      </c>
      <c r="I310" s="137">
        <v>45994</v>
      </c>
      <c r="J310" s="142">
        <v>2850</v>
      </c>
      <c r="K310" s="136">
        <f>J310-G310</f>
        <v>0</v>
      </c>
      <c r="L310" t="s" s="139">
        <v>2315</v>
      </c>
    </row>
    <row r="311" ht="27.7" customHeight="1">
      <c r="A311" t="s" s="130">
        <v>39</v>
      </c>
      <c r="B311" t="s" s="131">
        <v>30</v>
      </c>
      <c r="C311" t="s" s="132">
        <v>2067</v>
      </c>
      <c r="D311" t="s" s="133">
        <v>539</v>
      </c>
      <c r="E311" s="147">
        <v>45958</v>
      </c>
      <c r="F311" s="144">
        <v>46004</v>
      </c>
      <c r="G311" s="136">
        <v>2740</v>
      </c>
      <c r="H311" t="s" s="131">
        <v>30</v>
      </c>
      <c r="I311" s="137">
        <v>46013</v>
      </c>
      <c r="J311" s="142">
        <f>G311</f>
        <v>2740</v>
      </c>
      <c r="K311" s="136">
        <f>J311-G311</f>
        <v>0</v>
      </c>
      <c r="L311" t="s" s="139">
        <v>2316</v>
      </c>
    </row>
    <row r="312" ht="27.7" customHeight="1">
      <c r="A312" t="s" s="130">
        <v>39</v>
      </c>
      <c r="B312" t="s" s="131">
        <v>30</v>
      </c>
      <c r="C312" t="s" s="132">
        <v>2067</v>
      </c>
      <c r="D312" t="s" s="133">
        <v>539</v>
      </c>
      <c r="E312" s="147">
        <v>45958</v>
      </c>
      <c r="F312" s="144">
        <v>46019</v>
      </c>
      <c r="G312" s="136">
        <v>2740</v>
      </c>
      <c r="H312" t="s" s="131">
        <v>30</v>
      </c>
      <c r="I312" s="137">
        <v>46028</v>
      </c>
      <c r="J312" s="142">
        <f>G312</f>
        <v>2740</v>
      </c>
      <c r="K312" s="136">
        <f>J312-G312</f>
        <v>0</v>
      </c>
      <c r="L312" t="s" s="139">
        <v>2317</v>
      </c>
    </row>
    <row r="313" ht="27.7" customHeight="1">
      <c r="A313" t="s" s="130">
        <v>39</v>
      </c>
      <c r="B313" t="s" s="131">
        <v>97</v>
      </c>
      <c r="C313" t="s" s="132">
        <v>1118</v>
      </c>
      <c r="D313" t="s" s="133">
        <v>90</v>
      </c>
      <c r="E313" s="147">
        <v>45995</v>
      </c>
      <c r="F313" s="144">
        <v>46032</v>
      </c>
      <c r="G313" s="136">
        <v>6217.14</v>
      </c>
      <c r="H313" t="s" s="131">
        <v>30</v>
      </c>
      <c r="I313" s="137">
        <v>46037</v>
      </c>
      <c r="J313" s="149">
        <f>G313</f>
        <v>6217.14</v>
      </c>
      <c r="K313" s="136">
        <f>J313-G313</f>
        <v>0</v>
      </c>
      <c r="L313" t="s" s="139">
        <v>2228</v>
      </c>
    </row>
    <row r="314" ht="27.7" customHeight="1">
      <c r="A314" t="s" s="130">
        <v>39</v>
      </c>
      <c r="B314" t="s" s="131">
        <v>97</v>
      </c>
      <c r="C314" t="s" s="132">
        <v>1118</v>
      </c>
      <c r="D314" t="s" s="133">
        <v>90</v>
      </c>
      <c r="E314" s="147">
        <v>45995</v>
      </c>
      <c r="F314" s="144">
        <v>46047</v>
      </c>
      <c r="G314" s="136">
        <v>6217.14</v>
      </c>
      <c r="H314" t="s" s="131">
        <v>21</v>
      </c>
      <c r="I314" s="137">
        <v>46048</v>
      </c>
      <c r="J314" s="149">
        <f>G314</f>
        <v>6217.14</v>
      </c>
      <c r="K314" s="136">
        <f>J314-G314</f>
        <v>0</v>
      </c>
      <c r="L314" t="s" s="139">
        <v>2229</v>
      </c>
    </row>
    <row r="315" ht="27.7" customHeight="1">
      <c r="A315" t="s" s="130">
        <v>39</v>
      </c>
      <c r="B315" t="s" s="131">
        <v>97</v>
      </c>
      <c r="C315" t="s" s="132">
        <v>1118</v>
      </c>
      <c r="D315" t="s" s="133">
        <v>90</v>
      </c>
      <c r="E315" s="147">
        <v>45995</v>
      </c>
      <c r="F315" s="144">
        <v>46062</v>
      </c>
      <c r="G315" s="136">
        <v>6217.14</v>
      </c>
      <c r="H315" t="s" s="131">
        <v>97</v>
      </c>
      <c r="I315" s="137">
        <v>46128</v>
      </c>
      <c r="J315" s="149">
        <v>11000</v>
      </c>
      <c r="K315" s="136">
        <f>J315-G315</f>
        <v>4782.86</v>
      </c>
      <c r="L315" t="s" s="139">
        <v>2318</v>
      </c>
    </row>
    <row r="316" ht="27.7" customHeight="1">
      <c r="A316" t="s" s="130">
        <v>1936</v>
      </c>
      <c r="B316" t="s" s="131">
        <v>97</v>
      </c>
      <c r="C316" t="s" s="182">
        <v>1118</v>
      </c>
      <c r="D316" t="s" s="133">
        <v>90</v>
      </c>
      <c r="E316" s="147">
        <v>45995</v>
      </c>
      <c r="F316" s="144">
        <v>46077</v>
      </c>
      <c r="G316" s="136">
        <v>6217.14</v>
      </c>
      <c r="H316" s="158"/>
      <c r="I316" s="144"/>
      <c r="J316" s="145"/>
      <c r="K316" s="136">
        <f>J316-G316</f>
        <v>-6217.14</v>
      </c>
      <c r="L316" t="s" s="139">
        <v>2166</v>
      </c>
    </row>
    <row r="317" ht="27.7" customHeight="1">
      <c r="A317" t="s" s="130">
        <v>1936</v>
      </c>
      <c r="B317" t="s" s="131">
        <v>97</v>
      </c>
      <c r="C317" t="s" s="182">
        <v>1118</v>
      </c>
      <c r="D317" t="s" s="133">
        <v>90</v>
      </c>
      <c r="E317" s="147">
        <v>45995</v>
      </c>
      <c r="F317" s="144">
        <v>46092</v>
      </c>
      <c r="G317" s="136">
        <v>6217.14</v>
      </c>
      <c r="H317" s="158"/>
      <c r="I317" s="144"/>
      <c r="J317" s="145"/>
      <c r="K317" s="136">
        <f>J317-G317</f>
        <v>-6217.14</v>
      </c>
      <c r="L317" t="s" s="139">
        <v>2168</v>
      </c>
    </row>
    <row r="318" ht="27.7" customHeight="1">
      <c r="A318" t="s" s="130">
        <v>39</v>
      </c>
      <c r="B318" t="s" s="131">
        <v>97</v>
      </c>
      <c r="C318" t="s" s="132">
        <v>1535</v>
      </c>
      <c r="D318" t="s" s="133">
        <v>1533</v>
      </c>
      <c r="E318" s="147">
        <v>45996</v>
      </c>
      <c r="F318" s="144">
        <v>46027</v>
      </c>
      <c r="G318" s="136">
        <v>8795.68</v>
      </c>
      <c r="H318" t="s" s="131">
        <v>30</v>
      </c>
      <c r="I318" s="137">
        <v>46028</v>
      </c>
      <c r="J318" s="149">
        <f>G318</f>
        <v>8795.68</v>
      </c>
      <c r="K318" s="136">
        <f>J318-G318</f>
        <v>0</v>
      </c>
      <c r="L318" t="s" s="139">
        <v>2228</v>
      </c>
    </row>
    <row r="319" ht="27.7" customHeight="1">
      <c r="A319" t="s" s="130">
        <v>39</v>
      </c>
      <c r="B319" t="s" s="131">
        <v>97</v>
      </c>
      <c r="C319" t="s" s="132">
        <v>1535</v>
      </c>
      <c r="D319" t="s" s="133">
        <v>1533</v>
      </c>
      <c r="E319" s="147">
        <v>45996</v>
      </c>
      <c r="F319" s="144">
        <v>46042</v>
      </c>
      <c r="G319" s="136">
        <v>8795.68</v>
      </c>
      <c r="H319" t="s" s="131">
        <v>30</v>
      </c>
      <c r="I319" s="137">
        <f>F319</f>
        <v>46042</v>
      </c>
      <c r="J319" s="149">
        <f>G319</f>
        <v>8795.68</v>
      </c>
      <c r="K319" s="136">
        <f>J319-G319</f>
        <v>0</v>
      </c>
      <c r="L319" t="s" s="139">
        <v>2281</v>
      </c>
    </row>
    <row r="320" ht="27.7" customHeight="1">
      <c r="A320" t="s" s="130">
        <v>39</v>
      </c>
      <c r="B320" t="s" s="131">
        <v>97</v>
      </c>
      <c r="C320" t="s" s="132">
        <v>1535</v>
      </c>
      <c r="D320" t="s" s="133">
        <v>1533</v>
      </c>
      <c r="E320" s="147">
        <v>45996</v>
      </c>
      <c r="F320" s="144">
        <v>46057</v>
      </c>
      <c r="G320" s="136">
        <v>8795.68</v>
      </c>
      <c r="H320" t="s" s="131">
        <v>97</v>
      </c>
      <c r="I320" s="137">
        <v>46056</v>
      </c>
      <c r="J320" s="142">
        <f>G320</f>
        <v>8795.68</v>
      </c>
      <c r="K320" s="136">
        <f>J320-G320</f>
        <v>0</v>
      </c>
      <c r="L320" t="s" s="139">
        <v>2282</v>
      </c>
    </row>
    <row r="321" ht="27.7" customHeight="1">
      <c r="A321" t="s" s="130">
        <v>39</v>
      </c>
      <c r="B321" t="s" s="131">
        <v>97</v>
      </c>
      <c r="C321" t="s" s="132">
        <v>1535</v>
      </c>
      <c r="D321" t="s" s="133">
        <v>1533</v>
      </c>
      <c r="E321" s="147">
        <v>45996</v>
      </c>
      <c r="F321" s="144">
        <v>46072</v>
      </c>
      <c r="G321" s="136">
        <v>8795.68</v>
      </c>
      <c r="H321" t="s" s="131">
        <v>21</v>
      </c>
      <c r="I321" s="137">
        <v>46071</v>
      </c>
      <c r="J321" s="149">
        <f>G321</f>
        <v>8795.68</v>
      </c>
      <c r="K321" s="136">
        <f>J321-G321</f>
        <v>0</v>
      </c>
      <c r="L321" t="s" s="139">
        <v>2160</v>
      </c>
    </row>
    <row r="322" ht="27.7" customHeight="1">
      <c r="A322" t="s" s="130">
        <v>39</v>
      </c>
      <c r="B322" t="s" s="131">
        <v>97</v>
      </c>
      <c r="C322" t="s" s="132">
        <v>1535</v>
      </c>
      <c r="D322" t="s" s="133">
        <v>1533</v>
      </c>
      <c r="E322" s="147">
        <v>45996</v>
      </c>
      <c r="F322" s="144">
        <v>46087</v>
      </c>
      <c r="G322" s="136">
        <v>8795.68</v>
      </c>
      <c r="H322" t="s" s="131">
        <v>13</v>
      </c>
      <c r="I322" s="137">
        <v>46087</v>
      </c>
      <c r="J322" s="138">
        <f>G322</f>
        <v>8795.68</v>
      </c>
      <c r="K322" s="136">
        <f>J322-G322</f>
        <v>0</v>
      </c>
      <c r="L322" t="s" s="139">
        <v>2131</v>
      </c>
    </row>
    <row r="323" ht="27.7" customHeight="1">
      <c r="A323" t="s" s="130">
        <v>39</v>
      </c>
      <c r="B323" t="s" s="131">
        <v>420</v>
      </c>
      <c r="C323" t="s" s="132">
        <v>988</v>
      </c>
      <c r="D323" t="s" s="133">
        <v>90</v>
      </c>
      <c r="E323" s="147">
        <v>46003</v>
      </c>
      <c r="F323" s="144">
        <v>45669</v>
      </c>
      <c r="G323" s="136">
        <v>14300</v>
      </c>
      <c r="H323" t="s" s="131">
        <v>13</v>
      </c>
      <c r="I323" s="137">
        <v>46059</v>
      </c>
      <c r="J323" s="138">
        <f>G323</f>
        <v>14300</v>
      </c>
      <c r="K323" s="136">
        <f>J323-G323</f>
        <v>0</v>
      </c>
      <c r="L323" t="s" s="139">
        <v>2176</v>
      </c>
    </row>
    <row r="324" ht="27.7" customHeight="1">
      <c r="A324" t="s" s="130">
        <v>39</v>
      </c>
      <c r="B324" t="s" s="131">
        <v>68</v>
      </c>
      <c r="C324" t="s" s="132">
        <v>988</v>
      </c>
      <c r="D324" t="s" s="133">
        <v>379</v>
      </c>
      <c r="E324" s="147">
        <v>46048</v>
      </c>
      <c r="F324" s="144">
        <v>45714</v>
      </c>
      <c r="G324" s="136">
        <v>9614</v>
      </c>
      <c r="H324" t="s" s="131">
        <v>40</v>
      </c>
      <c r="I324" s="137">
        <v>46092</v>
      </c>
      <c r="J324" s="149">
        <f>G324</f>
        <v>9614</v>
      </c>
      <c r="K324" s="136">
        <f>J324-G324</f>
        <v>0</v>
      </c>
      <c r="L324" t="s" s="139">
        <v>2288</v>
      </c>
    </row>
    <row r="325" ht="27.7" customHeight="1">
      <c r="A325" t="s" s="130">
        <v>39</v>
      </c>
      <c r="B325" t="s" s="131">
        <v>68</v>
      </c>
      <c r="C325" t="s" s="132">
        <v>1403</v>
      </c>
      <c r="D325" t="s" s="133">
        <v>206</v>
      </c>
      <c r="E325" s="147">
        <v>46000</v>
      </c>
      <c r="F325" s="144">
        <v>46034</v>
      </c>
      <c r="G325" s="136">
        <v>7200</v>
      </c>
      <c r="H325" t="s" s="131">
        <v>68</v>
      </c>
      <c r="I325" t="s" s="187">
        <v>2309</v>
      </c>
      <c r="J325" s="142">
        <f>G325</f>
        <v>7200</v>
      </c>
      <c r="K325" s="136">
        <f>J325-G325</f>
        <v>0</v>
      </c>
      <c r="L325" t="s" s="139">
        <v>2310</v>
      </c>
    </row>
    <row r="326" ht="27.7" customHeight="1">
      <c r="A326" t="s" s="130">
        <v>39</v>
      </c>
      <c r="B326" t="s" s="131">
        <v>68</v>
      </c>
      <c r="C326" t="s" s="132">
        <v>1403</v>
      </c>
      <c r="D326" t="s" s="133">
        <v>206</v>
      </c>
      <c r="E326" s="147">
        <v>46000</v>
      </c>
      <c r="F326" s="144">
        <v>45684</v>
      </c>
      <c r="G326" s="136">
        <v>3643</v>
      </c>
      <c r="H326" t="s" s="131">
        <v>68</v>
      </c>
      <c r="I326" t="s" s="187">
        <v>2309</v>
      </c>
      <c r="J326" s="142">
        <f>G326</f>
        <v>3643</v>
      </c>
      <c r="K326" s="136">
        <f>J326-G326</f>
        <v>0</v>
      </c>
      <c r="L326" t="s" s="139">
        <v>2310</v>
      </c>
    </row>
    <row r="327" ht="27.7" customHeight="1">
      <c r="A327" t="s" s="130">
        <v>39</v>
      </c>
      <c r="B327" t="s" s="131">
        <v>68</v>
      </c>
      <c r="C327" t="s" s="132">
        <v>1403</v>
      </c>
      <c r="D327" t="s" s="133">
        <v>206</v>
      </c>
      <c r="E327" s="147">
        <v>46000</v>
      </c>
      <c r="F327" s="144">
        <v>45684</v>
      </c>
      <c r="G327" s="136">
        <v>3557</v>
      </c>
      <c r="H327" t="s" s="131">
        <v>68</v>
      </c>
      <c r="I327" t="s" s="187">
        <v>2309</v>
      </c>
      <c r="J327" s="142">
        <f>G327</f>
        <v>3557</v>
      </c>
      <c r="K327" s="136">
        <f>J327-G327</f>
        <v>0</v>
      </c>
      <c r="L327" t="s" s="139">
        <v>2310</v>
      </c>
    </row>
    <row r="328" ht="27.7" customHeight="1">
      <c r="A328" t="s" s="130">
        <v>39</v>
      </c>
      <c r="B328" t="s" s="131">
        <v>68</v>
      </c>
      <c r="C328" t="s" s="132">
        <v>1403</v>
      </c>
      <c r="D328" t="s" s="133">
        <v>206</v>
      </c>
      <c r="E328" s="147">
        <v>46000</v>
      </c>
      <c r="F328" s="144">
        <v>46064</v>
      </c>
      <c r="G328" s="136">
        <v>7200</v>
      </c>
      <c r="H328" t="s" s="131">
        <v>68</v>
      </c>
      <c r="I328" t="s" s="187">
        <v>2309</v>
      </c>
      <c r="J328" s="142">
        <f>G328</f>
        <v>7200</v>
      </c>
      <c r="K328" s="136">
        <f>J328-G328</f>
        <v>0</v>
      </c>
      <c r="L328" t="s" s="139">
        <v>2310</v>
      </c>
    </row>
    <row r="329" ht="27.7" customHeight="1">
      <c r="A329" t="s" s="130">
        <v>39</v>
      </c>
      <c r="B329" t="s" s="131">
        <v>40</v>
      </c>
      <c r="C329" t="s" s="132">
        <v>392</v>
      </c>
      <c r="D329" t="s" s="133">
        <v>393</v>
      </c>
      <c r="E329" s="147">
        <v>45995</v>
      </c>
      <c r="F329" s="144">
        <v>46026</v>
      </c>
      <c r="G329" s="136">
        <v>6428.71</v>
      </c>
      <c r="H329" t="s" s="131">
        <v>40</v>
      </c>
      <c r="I329" s="137">
        <v>46035</v>
      </c>
      <c r="J329" s="142">
        <f>G329</f>
        <v>6428.71</v>
      </c>
      <c r="K329" s="136">
        <f>J329-G329</f>
        <v>0</v>
      </c>
      <c r="L329" t="s" s="139">
        <v>2280</v>
      </c>
    </row>
    <row r="330" ht="27.7" customHeight="1">
      <c r="A330" t="s" s="130">
        <v>39</v>
      </c>
      <c r="B330" t="s" s="131">
        <v>40</v>
      </c>
      <c r="C330" t="s" s="132">
        <v>392</v>
      </c>
      <c r="D330" t="s" s="133">
        <v>393</v>
      </c>
      <c r="E330" s="147">
        <v>45995</v>
      </c>
      <c r="F330" s="144">
        <v>46041</v>
      </c>
      <c r="G330" s="136">
        <v>6276</v>
      </c>
      <c r="H330" t="s" s="131">
        <v>21</v>
      </c>
      <c r="I330" s="137">
        <v>46048</v>
      </c>
      <c r="J330" s="149">
        <f>G330</f>
        <v>6276</v>
      </c>
      <c r="K330" s="136">
        <f>J330-G330</f>
        <v>0</v>
      </c>
      <c r="L330" t="s" s="139">
        <v>2229</v>
      </c>
    </row>
    <row r="331" ht="27.7" customHeight="1">
      <c r="A331" t="s" s="130">
        <v>39</v>
      </c>
      <c r="B331" t="s" s="131">
        <v>40</v>
      </c>
      <c r="C331" t="s" s="132">
        <v>392</v>
      </c>
      <c r="D331" t="s" s="133">
        <v>393</v>
      </c>
      <c r="E331" s="147">
        <v>45995</v>
      </c>
      <c r="F331" s="144">
        <v>46056</v>
      </c>
      <c r="G331" s="136">
        <v>6276</v>
      </c>
      <c r="H331" t="s" s="131">
        <v>13</v>
      </c>
      <c r="I331" s="137">
        <v>46083</v>
      </c>
      <c r="J331" s="138">
        <f>G331</f>
        <v>6276</v>
      </c>
      <c r="K331" s="136">
        <f>J331-G331</f>
        <v>0</v>
      </c>
      <c r="L331" t="s" s="139">
        <v>2319</v>
      </c>
    </row>
    <row r="332" ht="27.7" customHeight="1">
      <c r="A332" t="s" s="130">
        <v>39</v>
      </c>
      <c r="B332" t="s" s="131">
        <v>40</v>
      </c>
      <c r="C332" t="s" s="132">
        <v>392</v>
      </c>
      <c r="D332" t="s" s="133">
        <v>393</v>
      </c>
      <c r="E332" s="147">
        <v>45995</v>
      </c>
      <c r="F332" s="144">
        <v>46086</v>
      </c>
      <c r="G332" s="136">
        <v>12552</v>
      </c>
      <c r="H332" t="s" s="131">
        <v>40</v>
      </c>
      <c r="I332" s="137">
        <v>46104</v>
      </c>
      <c r="J332" s="142">
        <v>12550</v>
      </c>
      <c r="K332" s="136">
        <f>J332-G332</f>
        <v>-2</v>
      </c>
      <c r="L332" t="s" s="139">
        <v>2320</v>
      </c>
    </row>
    <row r="333" ht="27.7" customHeight="1">
      <c r="A333" t="s" s="130">
        <v>39</v>
      </c>
      <c r="B333" t="s" s="131">
        <v>30</v>
      </c>
      <c r="C333" t="s" s="132">
        <v>666</v>
      </c>
      <c r="D333" t="s" s="133">
        <v>539</v>
      </c>
      <c r="E333" s="147">
        <v>46023</v>
      </c>
      <c r="F333" s="144">
        <v>46059</v>
      </c>
      <c r="G333" s="136">
        <v>3401.5</v>
      </c>
      <c r="H333" t="s" s="131">
        <v>13</v>
      </c>
      <c r="I333" s="137">
        <v>46065</v>
      </c>
      <c r="J333" s="138">
        <f>G333</f>
        <v>3401.5</v>
      </c>
      <c r="K333" s="136">
        <f>J333-G333</f>
        <v>0</v>
      </c>
      <c r="L333" t="s" s="139">
        <v>2321</v>
      </c>
    </row>
    <row r="334" ht="27.7" customHeight="1">
      <c r="A334" t="s" s="130">
        <v>39</v>
      </c>
      <c r="B334" t="s" s="131">
        <v>30</v>
      </c>
      <c r="C334" t="s" s="132">
        <v>666</v>
      </c>
      <c r="D334" t="s" s="133">
        <v>539</v>
      </c>
      <c r="E334" s="147">
        <v>46023</v>
      </c>
      <c r="F334" s="144">
        <v>46062</v>
      </c>
      <c r="G334" s="136">
        <v>3401.5</v>
      </c>
      <c r="H334" t="s" s="131">
        <v>13</v>
      </c>
      <c r="I334" s="137">
        <v>46079</v>
      </c>
      <c r="J334" s="138">
        <f>G334</f>
        <v>3401.5</v>
      </c>
      <c r="K334" s="136">
        <f>J334-G334</f>
        <v>0</v>
      </c>
      <c r="L334" t="s" s="139">
        <v>2322</v>
      </c>
    </row>
    <row r="335" ht="27.7" customHeight="1">
      <c r="A335" t="s" s="130">
        <v>39</v>
      </c>
      <c r="B335" t="s" s="131">
        <v>30</v>
      </c>
      <c r="C335" t="s" s="132">
        <v>666</v>
      </c>
      <c r="D335" t="s" s="133">
        <v>539</v>
      </c>
      <c r="E335" s="147">
        <v>46023</v>
      </c>
      <c r="F335" s="144">
        <v>46071</v>
      </c>
      <c r="G335" s="136">
        <v>3222.5</v>
      </c>
      <c r="H335" t="s" s="131">
        <v>13</v>
      </c>
      <c r="I335" s="137">
        <v>46090</v>
      </c>
      <c r="J335" s="138">
        <f>G335</f>
        <v>3222.5</v>
      </c>
      <c r="K335" s="136">
        <f>J335-G335</f>
        <v>0</v>
      </c>
      <c r="L335" t="s" s="139">
        <v>2323</v>
      </c>
    </row>
    <row r="336" ht="27.7" customHeight="1">
      <c r="A336" t="s" s="130">
        <v>39</v>
      </c>
      <c r="B336" t="s" s="131">
        <v>30</v>
      </c>
      <c r="C336" t="s" s="132">
        <v>666</v>
      </c>
      <c r="D336" t="s" s="133">
        <v>539</v>
      </c>
      <c r="E336" s="147">
        <v>46023</v>
      </c>
      <c r="F336" s="144">
        <v>46076</v>
      </c>
      <c r="G336" s="136">
        <v>3222.5</v>
      </c>
      <c r="H336" t="s" s="131">
        <v>13</v>
      </c>
      <c r="I336" s="137">
        <v>46097</v>
      </c>
      <c r="J336" s="138">
        <f>G336</f>
        <v>3222.5</v>
      </c>
      <c r="K336" s="136">
        <f>J336-G336</f>
        <v>0</v>
      </c>
      <c r="L336" t="s" s="139">
        <v>2324</v>
      </c>
    </row>
    <row r="337" ht="27.7" customHeight="1">
      <c r="A337" t="s" s="130">
        <v>39</v>
      </c>
      <c r="B337" t="s" s="131">
        <v>30</v>
      </c>
      <c r="C337" t="s" s="132">
        <v>666</v>
      </c>
      <c r="D337" t="s" s="133">
        <v>539</v>
      </c>
      <c r="E337" s="147">
        <v>46023</v>
      </c>
      <c r="F337" s="144">
        <v>46090</v>
      </c>
      <c r="G337" s="136">
        <v>3222.5</v>
      </c>
      <c r="H337" t="s" s="131">
        <v>13</v>
      </c>
      <c r="I337" s="137">
        <v>46100</v>
      </c>
      <c r="J337" s="138">
        <f>G337</f>
        <v>3222.5</v>
      </c>
      <c r="K337" s="136">
        <f>J337-G337</f>
        <v>0</v>
      </c>
      <c r="L337" t="s" s="139">
        <v>2325</v>
      </c>
    </row>
    <row r="338" ht="27.7" customHeight="1">
      <c r="A338" t="s" s="130">
        <v>39</v>
      </c>
      <c r="B338" t="s" s="131">
        <v>30</v>
      </c>
      <c r="C338" t="s" s="132">
        <v>666</v>
      </c>
      <c r="D338" t="s" s="133">
        <v>539</v>
      </c>
      <c r="E338" s="147">
        <v>46023</v>
      </c>
      <c r="F338" s="144">
        <v>46093</v>
      </c>
      <c r="G338" s="136">
        <v>3222.5</v>
      </c>
      <c r="H338" t="s" s="131">
        <v>13</v>
      </c>
      <c r="I338" s="137">
        <v>46111</v>
      </c>
      <c r="J338" s="138">
        <f>G338</f>
        <v>3222.5</v>
      </c>
      <c r="K338" s="136">
        <f>J338-G338</f>
        <v>0</v>
      </c>
      <c r="L338" t="s" s="139">
        <v>2326</v>
      </c>
    </row>
    <row r="339" ht="27.7" customHeight="1">
      <c r="A339" t="s" s="130">
        <v>39</v>
      </c>
      <c r="B339" t="s" s="131">
        <v>30</v>
      </c>
      <c r="C339" t="s" s="132">
        <v>666</v>
      </c>
      <c r="D339" t="s" s="133">
        <v>539</v>
      </c>
      <c r="E339" s="147">
        <v>46023</v>
      </c>
      <c r="F339" s="144">
        <v>46105</v>
      </c>
      <c r="G339" s="136">
        <v>3222.5</v>
      </c>
      <c r="H339" t="s" s="131">
        <v>13</v>
      </c>
      <c r="I339" s="137">
        <v>46122</v>
      </c>
      <c r="J339" s="138">
        <f>G339</f>
        <v>3222.5</v>
      </c>
      <c r="K339" s="136">
        <f>J339-G339</f>
        <v>0</v>
      </c>
      <c r="L339" t="s" s="139">
        <v>2327</v>
      </c>
    </row>
    <row r="340" ht="27.7" customHeight="1">
      <c r="A340" t="s" s="130">
        <v>39</v>
      </c>
      <c r="B340" t="s" s="131">
        <v>30</v>
      </c>
      <c r="C340" t="s" s="132">
        <v>666</v>
      </c>
      <c r="D340" t="s" s="133">
        <v>539</v>
      </c>
      <c r="E340" s="147">
        <v>46023</v>
      </c>
      <c r="F340" s="144">
        <v>46108</v>
      </c>
      <c r="G340" s="136">
        <v>3222.5</v>
      </c>
      <c r="H340" t="s" s="131">
        <v>13</v>
      </c>
      <c r="I340" s="137">
        <v>46122</v>
      </c>
      <c r="J340" s="138">
        <f>G340</f>
        <v>3222.5</v>
      </c>
      <c r="K340" s="136">
        <f>J340-G340</f>
        <v>0</v>
      </c>
      <c r="L340" t="s" s="139">
        <v>2328</v>
      </c>
    </row>
    <row r="341" ht="27.7" customHeight="1">
      <c r="A341" t="s" s="130">
        <v>39</v>
      </c>
      <c r="B341" t="s" s="131">
        <v>30</v>
      </c>
      <c r="C341" t="s" s="132">
        <v>666</v>
      </c>
      <c r="D341" t="s" s="133">
        <v>539</v>
      </c>
      <c r="E341" s="147">
        <v>46023</v>
      </c>
      <c r="F341" s="144">
        <v>46120</v>
      </c>
      <c r="G341" s="136">
        <v>3222.5</v>
      </c>
      <c r="H341" t="s" s="131">
        <v>13</v>
      </c>
      <c r="I341" s="137">
        <v>46127</v>
      </c>
      <c r="J341" s="138">
        <f>G341</f>
        <v>3222.5</v>
      </c>
      <c r="K341" s="136">
        <f>J341-G341</f>
        <v>0</v>
      </c>
      <c r="L341" t="s" s="139">
        <v>2329</v>
      </c>
    </row>
    <row r="342" ht="27.7" customHeight="1">
      <c r="A342" t="s" s="130">
        <v>39</v>
      </c>
      <c r="B342" t="s" s="131">
        <v>30</v>
      </c>
      <c r="C342" t="s" s="132">
        <v>666</v>
      </c>
      <c r="D342" t="s" s="133">
        <v>539</v>
      </c>
      <c r="E342" s="147">
        <v>46023</v>
      </c>
      <c r="F342" s="144">
        <v>46125</v>
      </c>
      <c r="G342" s="136">
        <v>3222.5</v>
      </c>
      <c r="H342" t="s" s="131">
        <v>13</v>
      </c>
      <c r="I342" s="137">
        <v>46135</v>
      </c>
      <c r="J342" s="138">
        <f>G342</f>
        <v>3222.5</v>
      </c>
      <c r="K342" s="136">
        <f>J342-G342</f>
        <v>0</v>
      </c>
      <c r="L342" t="s" s="139">
        <v>2330</v>
      </c>
    </row>
    <row r="343" ht="27.7" customHeight="1">
      <c r="A343" t="s" s="130">
        <v>39</v>
      </c>
      <c r="B343" t="s" s="131">
        <v>30</v>
      </c>
      <c r="C343" t="s" s="132">
        <v>666</v>
      </c>
      <c r="D343" t="s" s="133">
        <v>539</v>
      </c>
      <c r="E343" s="147">
        <v>46023</v>
      </c>
      <c r="F343" s="144">
        <v>46134</v>
      </c>
      <c r="G343" s="136">
        <v>3222.5</v>
      </c>
      <c r="H343" t="s" s="131">
        <v>13</v>
      </c>
      <c r="I343" s="137">
        <v>46154</v>
      </c>
      <c r="J343" s="138">
        <f>G343</f>
        <v>3222.5</v>
      </c>
      <c r="K343" s="136">
        <f>J343-G343</f>
        <v>0</v>
      </c>
      <c r="L343" t="s" s="139">
        <v>2331</v>
      </c>
    </row>
    <row r="344" ht="27.7" customHeight="1">
      <c r="A344" t="s" s="130">
        <v>39</v>
      </c>
      <c r="B344" t="s" s="131">
        <v>30</v>
      </c>
      <c r="C344" t="s" s="132">
        <v>666</v>
      </c>
      <c r="D344" t="s" s="133">
        <v>539</v>
      </c>
      <c r="E344" s="147">
        <v>46023</v>
      </c>
      <c r="F344" s="144">
        <v>46136</v>
      </c>
      <c r="G344" s="136">
        <v>3222.5</v>
      </c>
      <c r="H344" t="s" s="131">
        <v>13</v>
      </c>
      <c r="I344" s="137">
        <v>46170</v>
      </c>
      <c r="J344" s="138">
        <f>G344</f>
        <v>3222.5</v>
      </c>
      <c r="K344" s="136">
        <f>J344-G344</f>
        <v>0</v>
      </c>
      <c r="L344" t="s" s="139">
        <v>2332</v>
      </c>
    </row>
    <row r="345" ht="27.7" customHeight="1">
      <c r="A345" t="s" s="130">
        <v>39</v>
      </c>
      <c r="B345" t="s" s="131">
        <v>36</v>
      </c>
      <c r="C345" t="s" s="132">
        <v>1768</v>
      </c>
      <c r="D345" t="s" s="133">
        <v>465</v>
      </c>
      <c r="E345" s="147">
        <v>45999</v>
      </c>
      <c r="F345" s="144">
        <v>46030</v>
      </c>
      <c r="G345" s="136">
        <v>4477.95</v>
      </c>
      <c r="H345" t="s" s="131">
        <v>97</v>
      </c>
      <c r="I345" s="137">
        <v>46039</v>
      </c>
      <c r="J345" s="149">
        <v>4478</v>
      </c>
      <c r="K345" s="136">
        <f>J345-G345</f>
        <v>0.05</v>
      </c>
      <c r="L345" t="s" s="139">
        <v>2333</v>
      </c>
    </row>
    <row r="346" ht="27.7" customHeight="1">
      <c r="A346" t="s" s="130">
        <v>39</v>
      </c>
      <c r="B346" t="s" s="131">
        <v>36</v>
      </c>
      <c r="C346" t="s" s="132">
        <v>1768</v>
      </c>
      <c r="D346" t="s" s="133">
        <v>465</v>
      </c>
      <c r="E346" s="147">
        <v>45999</v>
      </c>
      <c r="F346" s="144">
        <v>46045</v>
      </c>
      <c r="G346" s="136">
        <v>4583.45</v>
      </c>
      <c r="H346" t="s" s="131">
        <v>97</v>
      </c>
      <c r="I346" s="137">
        <v>46046</v>
      </c>
      <c r="J346" s="149">
        <v>4478</v>
      </c>
      <c r="K346" s="136">
        <f>J346-G346</f>
        <v>-105.45</v>
      </c>
      <c r="L346" t="s" s="139">
        <v>2334</v>
      </c>
    </row>
    <row r="347" ht="27.7" customHeight="1">
      <c r="A347" t="s" s="130">
        <v>39</v>
      </c>
      <c r="B347" t="s" s="131">
        <v>36</v>
      </c>
      <c r="C347" t="s" s="132">
        <v>1768</v>
      </c>
      <c r="D347" t="s" s="133">
        <v>465</v>
      </c>
      <c r="E347" s="147">
        <v>45999</v>
      </c>
      <c r="F347" s="144">
        <v>46060</v>
      </c>
      <c r="G347" s="136">
        <v>4583.45</v>
      </c>
      <c r="H347" t="s" s="131">
        <v>13</v>
      </c>
      <c r="I347" s="137">
        <v>46061</v>
      </c>
      <c r="J347" s="138">
        <f>G347</f>
        <v>4583.45</v>
      </c>
      <c r="K347" s="136">
        <f>J347-G347</f>
        <v>0</v>
      </c>
      <c r="L347" t="s" s="139">
        <v>2335</v>
      </c>
    </row>
    <row r="348" ht="27.7" customHeight="1">
      <c r="A348" t="s" s="130">
        <v>39</v>
      </c>
      <c r="B348" t="s" s="131">
        <v>36</v>
      </c>
      <c r="C348" t="s" s="132">
        <v>1768</v>
      </c>
      <c r="D348" t="s" s="133">
        <v>465</v>
      </c>
      <c r="E348" s="147">
        <v>45999</v>
      </c>
      <c r="F348" s="144">
        <v>46075</v>
      </c>
      <c r="G348" s="136">
        <v>4583.45</v>
      </c>
      <c r="H348" t="s" s="131">
        <v>13</v>
      </c>
      <c r="I348" s="137">
        <v>46075</v>
      </c>
      <c r="J348" s="138">
        <f>G348</f>
        <v>4583.45</v>
      </c>
      <c r="K348" s="136">
        <f>J348-G348</f>
        <v>0</v>
      </c>
      <c r="L348" t="s" s="139">
        <v>2336</v>
      </c>
    </row>
    <row r="349" ht="27.7" customHeight="1">
      <c r="A349" t="s" s="130">
        <v>39</v>
      </c>
      <c r="B349" t="s" s="131">
        <v>36</v>
      </c>
      <c r="C349" t="s" s="132">
        <v>1768</v>
      </c>
      <c r="D349" t="s" s="133">
        <v>465</v>
      </c>
      <c r="E349" s="147">
        <v>45999</v>
      </c>
      <c r="F349" s="144">
        <v>46090</v>
      </c>
      <c r="G349" s="136">
        <v>4583.45</v>
      </c>
      <c r="H349" t="s" s="131">
        <v>13</v>
      </c>
      <c r="I349" s="137">
        <v>46089</v>
      </c>
      <c r="J349" s="138">
        <f>G349</f>
        <v>4583.45</v>
      </c>
      <c r="K349" s="136">
        <f>J349-G349</f>
        <v>0</v>
      </c>
      <c r="L349" t="s" s="139">
        <v>2337</v>
      </c>
    </row>
    <row r="350" ht="27.7" customHeight="1">
      <c r="A350" t="s" s="130">
        <v>39</v>
      </c>
      <c r="B350" t="s" s="131">
        <v>30</v>
      </c>
      <c r="C350" t="s" s="132">
        <v>1768</v>
      </c>
      <c r="D350" t="s" s="133">
        <v>465</v>
      </c>
      <c r="E350" s="147">
        <v>46023</v>
      </c>
      <c r="F350" s="144">
        <v>46054</v>
      </c>
      <c r="G350" s="136">
        <v>4730</v>
      </c>
      <c r="H350" t="s" s="131">
        <v>13</v>
      </c>
      <c r="I350" s="137">
        <v>46054</v>
      </c>
      <c r="J350" s="138">
        <f>G350</f>
        <v>4730</v>
      </c>
      <c r="K350" s="136">
        <f>J350-G350</f>
        <v>0</v>
      </c>
      <c r="L350" t="s" s="139">
        <v>2338</v>
      </c>
    </row>
    <row r="351" ht="27.7" customHeight="1">
      <c r="A351" t="s" s="130">
        <v>39</v>
      </c>
      <c r="B351" t="s" s="131">
        <v>30</v>
      </c>
      <c r="C351" t="s" s="132">
        <v>1768</v>
      </c>
      <c r="D351" t="s" s="133">
        <v>465</v>
      </c>
      <c r="E351" s="147">
        <v>46023</v>
      </c>
      <c r="F351" s="144">
        <v>46084</v>
      </c>
      <c r="G351" s="136">
        <v>4580</v>
      </c>
      <c r="H351" t="s" s="131">
        <v>13</v>
      </c>
      <c r="I351" s="137">
        <v>46082</v>
      </c>
      <c r="J351" s="138">
        <f>G351</f>
        <v>4580</v>
      </c>
      <c r="K351" s="136">
        <f>J351-G351</f>
        <v>0</v>
      </c>
      <c r="L351" t="s" s="139">
        <v>2339</v>
      </c>
    </row>
    <row r="352" ht="27.7" customHeight="1">
      <c r="A352" t="s" s="130">
        <v>39</v>
      </c>
      <c r="B352" t="s" s="131">
        <v>30</v>
      </c>
      <c r="C352" t="s" s="132">
        <v>1768</v>
      </c>
      <c r="D352" t="s" s="133">
        <v>465</v>
      </c>
      <c r="E352" s="147">
        <v>46023</v>
      </c>
      <c r="F352" s="144">
        <v>46114</v>
      </c>
      <c r="G352" s="136">
        <v>4580</v>
      </c>
      <c r="H352" t="s" s="131">
        <v>13</v>
      </c>
      <c r="I352" s="137">
        <v>46110</v>
      </c>
      <c r="J352" s="138">
        <f>G352</f>
        <v>4580</v>
      </c>
      <c r="K352" s="136">
        <f>J352-G352</f>
        <v>0</v>
      </c>
      <c r="L352" t="s" s="139">
        <v>2340</v>
      </c>
    </row>
    <row r="353" ht="27.7" customHeight="1">
      <c r="A353" t="s" s="130">
        <v>39</v>
      </c>
      <c r="B353" t="s" s="131">
        <v>79</v>
      </c>
      <c r="C353" t="s" s="132">
        <v>1768</v>
      </c>
      <c r="D353" t="s" s="133">
        <v>465</v>
      </c>
      <c r="E353" s="147">
        <v>46031</v>
      </c>
      <c r="F353" s="144">
        <v>46062</v>
      </c>
      <c r="G353" s="136">
        <v>3121</v>
      </c>
      <c r="H353" t="s" s="131">
        <v>13</v>
      </c>
      <c r="I353" s="137">
        <v>46061</v>
      </c>
      <c r="J353" s="138">
        <f>G353</f>
        <v>3121</v>
      </c>
      <c r="K353" s="136">
        <f>J353-G353</f>
        <v>0</v>
      </c>
      <c r="L353" t="s" s="139">
        <v>2341</v>
      </c>
    </row>
    <row r="354" ht="27.7" customHeight="1">
      <c r="A354" t="s" s="130">
        <v>39</v>
      </c>
      <c r="B354" t="s" s="131">
        <v>79</v>
      </c>
      <c r="C354" t="s" s="132">
        <v>1768</v>
      </c>
      <c r="D354" t="s" s="133">
        <v>465</v>
      </c>
      <c r="E354" s="147">
        <v>46031</v>
      </c>
      <c r="F354" s="144">
        <v>46077</v>
      </c>
      <c r="G354" s="136">
        <v>3121</v>
      </c>
      <c r="H354" t="s" s="131">
        <v>13</v>
      </c>
      <c r="I354" s="137">
        <v>46075</v>
      </c>
      <c r="J354" s="138">
        <f>G354</f>
        <v>3121</v>
      </c>
      <c r="K354" s="136">
        <f>J354-G354</f>
        <v>0</v>
      </c>
      <c r="L354" t="s" s="139">
        <v>2342</v>
      </c>
    </row>
    <row r="355" ht="27.7" customHeight="1">
      <c r="A355" t="s" s="130">
        <v>39</v>
      </c>
      <c r="B355" t="s" s="131">
        <v>79</v>
      </c>
      <c r="C355" t="s" s="132">
        <v>1768</v>
      </c>
      <c r="D355" t="s" s="133">
        <v>465</v>
      </c>
      <c r="E355" s="147">
        <v>46031</v>
      </c>
      <c r="F355" s="144">
        <v>46092</v>
      </c>
      <c r="G355" s="136">
        <v>3121</v>
      </c>
      <c r="H355" t="s" s="131">
        <v>13</v>
      </c>
      <c r="I355" s="137">
        <v>46089</v>
      </c>
      <c r="J355" s="138">
        <f>G355</f>
        <v>3121</v>
      </c>
      <c r="K355" s="136">
        <f>J355-G355</f>
        <v>0</v>
      </c>
      <c r="L355" t="s" s="139">
        <v>2335</v>
      </c>
    </row>
    <row r="356" ht="27.7" customHeight="1">
      <c r="A356" t="s" s="130">
        <v>39</v>
      </c>
      <c r="B356" t="s" s="131">
        <v>79</v>
      </c>
      <c r="C356" t="s" s="132">
        <v>1768</v>
      </c>
      <c r="D356" t="s" s="133">
        <v>465</v>
      </c>
      <c r="E356" s="147">
        <v>46031</v>
      </c>
      <c r="F356" s="144">
        <v>46107</v>
      </c>
      <c r="G356" s="136">
        <v>3121</v>
      </c>
      <c r="H356" t="s" s="131">
        <v>13</v>
      </c>
      <c r="I356" s="137">
        <v>46110</v>
      </c>
      <c r="J356" s="138">
        <f>G356</f>
        <v>3121</v>
      </c>
      <c r="K356" s="136">
        <f>J356-G356</f>
        <v>0</v>
      </c>
      <c r="L356" t="s" s="139">
        <v>2343</v>
      </c>
    </row>
    <row r="357" ht="27.7" customHeight="1">
      <c r="A357" t="s" s="130">
        <v>39</v>
      </c>
      <c r="B357" t="s" s="131">
        <v>79</v>
      </c>
      <c r="C357" t="s" s="132">
        <v>1768</v>
      </c>
      <c r="D357" t="s" s="133">
        <v>465</v>
      </c>
      <c r="E357" s="147">
        <v>46031</v>
      </c>
      <c r="F357" s="144">
        <v>46122</v>
      </c>
      <c r="G357" s="136">
        <v>3121</v>
      </c>
      <c r="H357" t="s" s="131">
        <v>13</v>
      </c>
      <c r="I357" s="137">
        <v>46126</v>
      </c>
      <c r="J357" s="138">
        <f>G357</f>
        <v>3121</v>
      </c>
      <c r="K357" s="136">
        <f>J357-G357</f>
        <v>0</v>
      </c>
      <c r="L357" t="s" s="139">
        <v>2344</v>
      </c>
    </row>
    <row r="358" ht="27.7" customHeight="1">
      <c r="A358" t="s" s="130">
        <v>39</v>
      </c>
      <c r="B358" t="s" s="131">
        <v>488</v>
      </c>
      <c r="C358" t="s" s="132">
        <v>1768</v>
      </c>
      <c r="D358" t="s" s="133">
        <v>465</v>
      </c>
      <c r="E358" s="147">
        <v>46064</v>
      </c>
      <c r="F358" s="144">
        <v>46094</v>
      </c>
      <c r="G358" s="136">
        <v>3007.2</v>
      </c>
      <c r="H358" t="s" s="131">
        <v>13</v>
      </c>
      <c r="I358" s="137">
        <v>46096</v>
      </c>
      <c r="J358" s="138">
        <f>G358</f>
        <v>3007.2</v>
      </c>
      <c r="K358" s="136">
        <f>J358-G358</f>
        <v>0</v>
      </c>
      <c r="L358" t="s" s="139">
        <v>2338</v>
      </c>
    </row>
    <row r="359" ht="27.7" customHeight="1">
      <c r="A359" t="s" s="130">
        <v>39</v>
      </c>
      <c r="B359" t="s" s="131">
        <v>488</v>
      </c>
      <c r="C359" t="s" s="132">
        <v>1768</v>
      </c>
      <c r="D359" t="s" s="133">
        <v>465</v>
      </c>
      <c r="E359" t="s" s="188">
        <v>2345</v>
      </c>
      <c r="F359" s="144">
        <v>46109</v>
      </c>
      <c r="G359" s="136">
        <v>3007.2</v>
      </c>
      <c r="H359" t="s" s="131">
        <v>13</v>
      </c>
      <c r="I359" s="137">
        <v>46110</v>
      </c>
      <c r="J359" s="138">
        <f t="shared" si="398" ref="J359:J360">3007</f>
        <v>3007</v>
      </c>
      <c r="K359" s="136">
        <f>J359-G359</f>
        <v>-0.2</v>
      </c>
      <c r="L359" t="s" s="139">
        <v>2346</v>
      </c>
    </row>
    <row r="360" ht="27.7" customHeight="1">
      <c r="A360" t="s" s="130">
        <v>39</v>
      </c>
      <c r="B360" t="s" s="131">
        <v>488</v>
      </c>
      <c r="C360" t="s" s="132">
        <v>1768</v>
      </c>
      <c r="D360" t="s" s="133">
        <v>465</v>
      </c>
      <c r="E360" t="s" s="188">
        <v>2345</v>
      </c>
      <c r="F360" s="144">
        <v>46124</v>
      </c>
      <c r="G360" s="136">
        <v>3007.2</v>
      </c>
      <c r="H360" t="s" s="131">
        <v>13</v>
      </c>
      <c r="I360" s="137">
        <v>46126</v>
      </c>
      <c r="J360" s="138">
        <f t="shared" si="398"/>
        <v>3007</v>
      </c>
      <c r="K360" s="136">
        <f>J360-G360</f>
        <v>-0.2</v>
      </c>
      <c r="L360" t="s" s="139">
        <v>2347</v>
      </c>
    </row>
    <row r="361" ht="27.7" customHeight="1">
      <c r="A361" t="s" s="130">
        <v>39</v>
      </c>
      <c r="B361" t="s" s="131">
        <v>21</v>
      </c>
      <c r="C361" t="s" s="132">
        <v>1705</v>
      </c>
      <c r="D361" t="s" s="133">
        <v>545</v>
      </c>
      <c r="E361" s="147">
        <v>46046</v>
      </c>
      <c r="F361" s="144">
        <v>46077</v>
      </c>
      <c r="G361" s="136">
        <v>3876.056666666670</v>
      </c>
      <c r="H361" t="s" s="131">
        <v>40</v>
      </c>
      <c r="I361" s="137">
        <v>46095</v>
      </c>
      <c r="J361" s="149">
        <v>3877</v>
      </c>
      <c r="K361" s="136">
        <f>J361-G361</f>
        <v>0.943333333330</v>
      </c>
      <c r="L361" t="s" s="139">
        <v>2348</v>
      </c>
    </row>
    <row r="362" ht="27.7" customHeight="1">
      <c r="A362" t="s" s="130">
        <v>39</v>
      </c>
      <c r="B362" t="s" s="131">
        <v>21</v>
      </c>
      <c r="C362" t="s" s="132">
        <v>1705</v>
      </c>
      <c r="D362" t="s" s="133">
        <v>545</v>
      </c>
      <c r="E362" s="147">
        <v>46046</v>
      </c>
      <c r="F362" s="144">
        <v>46107</v>
      </c>
      <c r="G362" s="136">
        <v>3876.056666666670</v>
      </c>
      <c r="H362" t="s" s="131">
        <v>40</v>
      </c>
      <c r="I362" s="137">
        <v>46113</v>
      </c>
      <c r="J362" s="149">
        <v>4330</v>
      </c>
      <c r="K362" s="136">
        <f>J362-G362</f>
        <v>453.943333333330</v>
      </c>
      <c r="L362" t="s" s="139">
        <v>2289</v>
      </c>
    </row>
    <row r="363" ht="27.7" customHeight="1">
      <c r="A363" t="s" s="130">
        <v>39</v>
      </c>
      <c r="B363" t="s" s="131">
        <v>21</v>
      </c>
      <c r="C363" t="s" s="132">
        <v>1705</v>
      </c>
      <c r="D363" t="s" s="133">
        <v>545</v>
      </c>
      <c r="E363" s="147">
        <v>46046</v>
      </c>
      <c r="F363" s="144">
        <v>46137</v>
      </c>
      <c r="G363" s="136">
        <v>3876.056666666670</v>
      </c>
      <c r="H363" t="s" s="131">
        <v>36</v>
      </c>
      <c r="I363" s="137">
        <v>46147</v>
      </c>
      <c r="J363" s="149">
        <v>3421.17</v>
      </c>
      <c r="K363" s="136">
        <f>J363-G363</f>
        <v>-454.886666666670</v>
      </c>
      <c r="L363" t="s" s="139">
        <v>2349</v>
      </c>
    </row>
    <row r="364" ht="27.7" customHeight="1">
      <c r="A364" t="s" s="130">
        <v>39</v>
      </c>
      <c r="B364" t="s" s="131">
        <v>88</v>
      </c>
      <c r="C364" t="s" s="132">
        <v>735</v>
      </c>
      <c r="D364" t="s" s="133">
        <v>194</v>
      </c>
      <c r="E364" s="147">
        <v>46095</v>
      </c>
      <c r="F364" s="144">
        <v>46111</v>
      </c>
      <c r="G364" s="136">
        <v>32411.968</v>
      </c>
      <c r="H364" t="s" s="131">
        <v>30</v>
      </c>
      <c r="I364" s="137">
        <v>46113</v>
      </c>
      <c r="J364" s="149">
        <f>G364</f>
        <v>32411.968</v>
      </c>
      <c r="K364" s="136">
        <f>J364-G364</f>
        <v>0</v>
      </c>
      <c r="L364" t="s" s="139">
        <v>2350</v>
      </c>
    </row>
    <row r="365" ht="27.7" customHeight="1">
      <c r="A365" t="s" s="130">
        <v>39</v>
      </c>
      <c r="B365" t="s" s="131">
        <v>79</v>
      </c>
      <c r="C365" t="s" s="132">
        <v>2351</v>
      </c>
      <c r="D365" t="s" s="133">
        <v>129</v>
      </c>
      <c r="E365" s="147">
        <v>46029</v>
      </c>
      <c r="F365" s="144">
        <v>46060</v>
      </c>
      <c r="G365" s="136">
        <v>14315</v>
      </c>
      <c r="H365" t="s" s="131">
        <v>97</v>
      </c>
      <c r="I365" s="137">
        <v>46130</v>
      </c>
      <c r="J365" s="149">
        <v>15000</v>
      </c>
      <c r="K365" s="136">
        <f>J365-G365</f>
        <v>685</v>
      </c>
      <c r="L365" t="s" s="139">
        <v>2352</v>
      </c>
    </row>
    <row r="366" ht="27.7" customHeight="1">
      <c r="A366" t="s" s="130">
        <v>39</v>
      </c>
      <c r="B366" t="s" s="131">
        <v>79</v>
      </c>
      <c r="C366" t="s" s="132">
        <v>2351</v>
      </c>
      <c r="D366" t="s" s="133">
        <v>129</v>
      </c>
      <c r="E366" s="147">
        <v>46029</v>
      </c>
      <c r="F366" s="144">
        <v>46120</v>
      </c>
      <c r="G366" s="136">
        <v>7157</v>
      </c>
      <c r="H366" t="s" s="131">
        <v>40</v>
      </c>
      <c r="I366" s="137">
        <v>46154</v>
      </c>
      <c r="J366" s="149">
        <v>6472</v>
      </c>
      <c r="K366" s="136">
        <f>J366-G366</f>
        <v>-685</v>
      </c>
      <c r="L366" t="s" s="139">
        <v>2211</v>
      </c>
    </row>
    <row r="367" ht="27.7" customHeight="1">
      <c r="A367" t="s" s="130">
        <v>39</v>
      </c>
      <c r="B367" t="s" s="131">
        <v>30</v>
      </c>
      <c r="C367" t="s" s="132">
        <v>499</v>
      </c>
      <c r="D367" t="s" s="133">
        <v>246</v>
      </c>
      <c r="E367" s="147">
        <v>46101</v>
      </c>
      <c r="F367" s="144">
        <v>46132</v>
      </c>
      <c r="G367" s="136">
        <v>4845</v>
      </c>
      <c r="H367" t="s" s="131">
        <v>97</v>
      </c>
      <c r="I367" s="137">
        <v>46132</v>
      </c>
      <c r="J367" s="149">
        <f>G367</f>
        <v>4845</v>
      </c>
      <c r="K367" s="136">
        <f>J367-G367</f>
        <v>0</v>
      </c>
      <c r="L367" t="s" s="139">
        <v>2353</v>
      </c>
    </row>
    <row r="368" ht="27.7" customHeight="1">
      <c r="A368" t="s" s="130">
        <v>39</v>
      </c>
      <c r="B368" t="s" s="131">
        <v>30</v>
      </c>
      <c r="C368" t="s" s="132">
        <v>499</v>
      </c>
      <c r="D368" t="s" s="133">
        <v>246</v>
      </c>
      <c r="E368" s="147">
        <v>46101</v>
      </c>
      <c r="F368" s="144">
        <v>46142</v>
      </c>
      <c r="G368" s="136">
        <v>4845</v>
      </c>
      <c r="H368" t="s" s="131">
        <v>97</v>
      </c>
      <c r="I368" s="137">
        <v>46136</v>
      </c>
      <c r="J368" s="149">
        <f>G368</f>
        <v>4845</v>
      </c>
      <c r="K368" s="136">
        <f>J368-G368</f>
        <v>0</v>
      </c>
      <c r="L368" t="s" s="139">
        <v>2354</v>
      </c>
    </row>
    <row r="369" ht="27.7" customHeight="1">
      <c r="A369" t="s" s="130">
        <v>39</v>
      </c>
      <c r="B369" t="s" s="131">
        <v>30</v>
      </c>
      <c r="C369" t="s" s="132">
        <v>499</v>
      </c>
      <c r="D369" t="s" s="133">
        <v>246</v>
      </c>
      <c r="E369" s="147">
        <v>46101</v>
      </c>
      <c r="F369" s="144">
        <v>46152</v>
      </c>
      <c r="G369" s="136">
        <v>4845</v>
      </c>
      <c r="H369" t="s" s="131">
        <v>97</v>
      </c>
      <c r="I369" s="137">
        <v>46142</v>
      </c>
      <c r="J369" s="149">
        <f>G369</f>
        <v>4845</v>
      </c>
      <c r="K369" s="136">
        <f>J369-G369</f>
        <v>0</v>
      </c>
      <c r="L369" t="s" s="139">
        <v>2355</v>
      </c>
    </row>
    <row r="370" ht="27.7" customHeight="1">
      <c r="A370" t="s" s="130">
        <v>39</v>
      </c>
      <c r="B370" t="s" s="131">
        <v>30</v>
      </c>
      <c r="C370" t="s" s="132">
        <v>499</v>
      </c>
      <c r="D370" t="s" s="133">
        <v>246</v>
      </c>
      <c r="E370" s="147">
        <v>46101</v>
      </c>
      <c r="F370" s="144">
        <v>46162</v>
      </c>
      <c r="G370" s="136">
        <v>4845</v>
      </c>
      <c r="H370" t="s" s="131">
        <v>97</v>
      </c>
      <c r="I370" s="137">
        <v>46153</v>
      </c>
      <c r="J370" s="149">
        <f>G370</f>
        <v>4845</v>
      </c>
      <c r="K370" s="136">
        <f>J370-G370</f>
        <v>0</v>
      </c>
      <c r="L370" t="s" s="139">
        <v>2356</v>
      </c>
    </row>
    <row r="371" ht="27.7" customHeight="1">
      <c r="A371" t="s" s="130">
        <v>39</v>
      </c>
      <c r="B371" t="s" s="131">
        <v>30</v>
      </c>
      <c r="C371" t="s" s="132">
        <v>499</v>
      </c>
      <c r="D371" t="s" s="133">
        <v>246</v>
      </c>
      <c r="E371" s="147">
        <v>46101</v>
      </c>
      <c r="F371" s="144">
        <v>46172</v>
      </c>
      <c r="G371" s="136">
        <v>4845</v>
      </c>
      <c r="H371" t="s" s="131">
        <v>97</v>
      </c>
      <c r="I371" s="137">
        <v>46160</v>
      </c>
      <c r="J371" s="149">
        <f>G371</f>
        <v>4845</v>
      </c>
      <c r="K371" s="136">
        <f>J371-G371</f>
        <v>0</v>
      </c>
      <c r="L371" t="s" s="139">
        <v>2357</v>
      </c>
    </row>
    <row r="372" ht="27.7" customHeight="1">
      <c r="A372" t="s" s="130">
        <v>39</v>
      </c>
      <c r="B372" t="s" s="131">
        <v>30</v>
      </c>
      <c r="C372" t="s" s="132">
        <v>499</v>
      </c>
      <c r="D372" t="s" s="133">
        <v>246</v>
      </c>
      <c r="E372" s="147">
        <v>46101</v>
      </c>
      <c r="F372" s="144">
        <v>46182</v>
      </c>
      <c r="G372" s="136">
        <v>4845</v>
      </c>
      <c r="H372" t="s" s="131">
        <v>97</v>
      </c>
      <c r="I372" s="137">
        <v>46167</v>
      </c>
      <c r="J372" s="149">
        <f>G372</f>
        <v>4845</v>
      </c>
      <c r="K372" s="136">
        <f>J372-G372</f>
        <v>0</v>
      </c>
      <c r="L372" t="s" s="139">
        <v>2358</v>
      </c>
    </row>
    <row r="373" ht="27.7" customHeight="1">
      <c r="A373" t="s" s="130">
        <v>39</v>
      </c>
      <c r="B373" t="s" s="131">
        <v>30</v>
      </c>
      <c r="C373" t="s" s="132">
        <v>499</v>
      </c>
      <c r="D373" t="s" s="133">
        <v>246</v>
      </c>
      <c r="E373" s="147">
        <v>46101</v>
      </c>
      <c r="F373" s="144">
        <v>46192</v>
      </c>
      <c r="G373" s="136">
        <v>4846</v>
      </c>
      <c r="H373" t="s" s="131">
        <v>97</v>
      </c>
      <c r="I373" s="137">
        <v>46174</v>
      </c>
      <c r="J373" s="149">
        <v>4845</v>
      </c>
      <c r="K373" s="136">
        <f>J373-G373</f>
        <v>-1</v>
      </c>
      <c r="L373" t="s" s="139">
        <v>2359</v>
      </c>
    </row>
    <row r="374" ht="27.7" customHeight="1">
      <c r="A374" t="s" s="130">
        <v>39</v>
      </c>
      <c r="B374" t="s" s="131">
        <v>40</v>
      </c>
      <c r="C374" t="s" s="132">
        <v>1768</v>
      </c>
      <c r="D374" t="s" s="133">
        <v>465</v>
      </c>
      <c r="E374" s="147">
        <v>46083</v>
      </c>
      <c r="F374" s="144">
        <v>46114</v>
      </c>
      <c r="G374" s="136">
        <v>3882.97</v>
      </c>
      <c r="H374" t="s" s="131">
        <v>13</v>
      </c>
      <c r="I374" s="137">
        <v>46117</v>
      </c>
      <c r="J374" s="138">
        <f>G374</f>
        <v>3882.97</v>
      </c>
      <c r="K374" s="136">
        <f>J374-G374</f>
        <v>0</v>
      </c>
      <c r="L374" t="s" s="139">
        <v>2338</v>
      </c>
    </row>
    <row r="375" ht="27.7" customHeight="1">
      <c r="A375" t="s" s="130">
        <v>39</v>
      </c>
      <c r="B375" t="s" s="131">
        <v>40</v>
      </c>
      <c r="C375" t="s" s="132">
        <v>1768</v>
      </c>
      <c r="D375" t="s" s="133">
        <v>465</v>
      </c>
      <c r="E375" s="147">
        <v>46083</v>
      </c>
      <c r="F375" s="144">
        <v>46144</v>
      </c>
      <c r="G375" s="136">
        <v>3826.93</v>
      </c>
      <c r="H375" t="s" s="131">
        <v>13</v>
      </c>
      <c r="I375" s="137">
        <v>46145</v>
      </c>
      <c r="J375" s="138">
        <f>G375</f>
        <v>3826.93</v>
      </c>
      <c r="K375" s="136">
        <f>J375-G375</f>
        <v>0</v>
      </c>
      <c r="L375" t="s" s="139">
        <v>2360</v>
      </c>
    </row>
    <row r="376" ht="27.7" customHeight="1">
      <c r="A376" t="s" s="130">
        <v>39</v>
      </c>
      <c r="B376" t="s" s="131">
        <v>40</v>
      </c>
      <c r="C376" t="s" s="132">
        <v>1768</v>
      </c>
      <c r="D376" t="s" s="133">
        <v>465</v>
      </c>
      <c r="E376" s="147">
        <v>46083</v>
      </c>
      <c r="F376" s="144">
        <v>46174</v>
      </c>
      <c r="G376" s="136">
        <v>3826.93</v>
      </c>
      <c r="H376" t="s" s="131">
        <v>13</v>
      </c>
      <c r="I376" s="137">
        <v>46162</v>
      </c>
      <c r="J376" s="138">
        <f>G376</f>
        <v>3826.93</v>
      </c>
      <c r="K376" s="136">
        <f>J376-G376</f>
        <v>0</v>
      </c>
      <c r="L376" t="s" s="139">
        <v>2361</v>
      </c>
    </row>
    <row r="377" ht="27.7" customHeight="1">
      <c r="A377" t="s" s="130">
        <v>39</v>
      </c>
      <c r="B377" t="s" s="131">
        <v>40</v>
      </c>
      <c r="C377" t="s" s="132">
        <v>1535</v>
      </c>
      <c r="D377" t="s" s="133">
        <v>1533</v>
      </c>
      <c r="E377" s="147">
        <v>46083</v>
      </c>
      <c r="F377" s="144">
        <v>46114</v>
      </c>
      <c r="G377" s="136">
        <v>7856.65</v>
      </c>
      <c r="H377" t="s" s="131">
        <v>40</v>
      </c>
      <c r="I377" s="137">
        <v>46113</v>
      </c>
      <c r="J377" s="142">
        <f>G377</f>
        <v>7856.65</v>
      </c>
      <c r="K377" s="136">
        <f>J377-G377</f>
        <v>0</v>
      </c>
      <c r="L377" t="s" s="139">
        <v>2362</v>
      </c>
    </row>
    <row r="378" ht="27.7" customHeight="1">
      <c r="A378" t="s" s="130">
        <v>39</v>
      </c>
      <c r="B378" t="s" s="131">
        <v>40</v>
      </c>
      <c r="C378" t="s" s="132">
        <v>1535</v>
      </c>
      <c r="D378" t="s" s="133">
        <v>1533</v>
      </c>
      <c r="E378" s="147">
        <v>46083</v>
      </c>
      <c r="F378" s="144">
        <v>46144</v>
      </c>
      <c r="G378" s="136">
        <v>7761.17</v>
      </c>
      <c r="H378" t="s" s="131">
        <v>40</v>
      </c>
      <c r="I378" s="137">
        <v>46148</v>
      </c>
      <c r="J378" s="142">
        <f>G378</f>
        <v>7761.17</v>
      </c>
      <c r="K378" s="136">
        <f>J378-G378</f>
        <v>0</v>
      </c>
      <c r="L378" t="s" s="139">
        <v>2289</v>
      </c>
    </row>
    <row r="379" ht="27.7" customHeight="1">
      <c r="A379" t="s" s="130">
        <v>39</v>
      </c>
      <c r="B379" t="s" s="131">
        <v>40</v>
      </c>
      <c r="C379" t="s" s="132">
        <v>1535</v>
      </c>
      <c r="D379" t="s" s="133">
        <v>1533</v>
      </c>
      <c r="E379" s="147">
        <v>46083</v>
      </c>
      <c r="F379" s="144">
        <v>46174</v>
      </c>
      <c r="G379" s="136">
        <v>7761.17</v>
      </c>
      <c r="H379" t="s" s="131">
        <v>13</v>
      </c>
      <c r="I379" s="137">
        <v>46183</v>
      </c>
      <c r="J379" s="138">
        <f>G379</f>
        <v>7761.17</v>
      </c>
      <c r="K379" s="136">
        <f>J379-G379</f>
        <v>0</v>
      </c>
      <c r="L379" t="s" s="139">
        <v>2287</v>
      </c>
    </row>
    <row r="380" ht="27.7" customHeight="1">
      <c r="A380" t="s" s="130">
        <v>39</v>
      </c>
      <c r="B380" t="s" s="131">
        <v>61</v>
      </c>
      <c r="C380" t="s" s="132">
        <v>1535</v>
      </c>
      <c r="D380" t="s" s="133">
        <v>1533</v>
      </c>
      <c r="E380" s="147">
        <v>46108</v>
      </c>
      <c r="F380" s="144">
        <v>46139</v>
      </c>
      <c r="G380" s="136">
        <v>13125.75</v>
      </c>
      <c r="H380" t="s" s="131">
        <v>40</v>
      </c>
      <c r="I380" s="137">
        <v>46151</v>
      </c>
      <c r="J380" s="149">
        <v>13125.75</v>
      </c>
      <c r="K380" s="136">
        <f>J380-G380</f>
        <v>0</v>
      </c>
      <c r="L380" t="s" s="139">
        <v>2363</v>
      </c>
    </row>
    <row r="381" ht="27.7" customHeight="1">
      <c r="A381" t="s" s="130">
        <v>39</v>
      </c>
      <c r="B381" t="s" s="131">
        <v>61</v>
      </c>
      <c r="C381" t="s" s="132">
        <v>1535</v>
      </c>
      <c r="D381" t="s" s="133">
        <v>1533</v>
      </c>
      <c r="E381" s="147">
        <v>46108</v>
      </c>
      <c r="F381" s="144">
        <v>46169</v>
      </c>
      <c r="G381" s="136">
        <v>12577.75</v>
      </c>
      <c r="H381" t="s" s="131">
        <v>13</v>
      </c>
      <c r="I381" s="137">
        <v>46183</v>
      </c>
      <c r="J381" s="138">
        <f>G381</f>
        <v>12577.75</v>
      </c>
      <c r="K381" s="136">
        <f>J381-G381</f>
        <v>0</v>
      </c>
      <c r="L381" t="s" s="139">
        <v>2364</v>
      </c>
    </row>
    <row r="382" ht="27.7" customHeight="1">
      <c r="A382" t="s" s="130">
        <v>39</v>
      </c>
      <c r="B382" t="s" s="131">
        <v>61</v>
      </c>
      <c r="C382" t="s" s="132">
        <v>1535</v>
      </c>
      <c r="D382" t="s" s="133">
        <v>1533</v>
      </c>
      <c r="E382" s="147">
        <v>46108</v>
      </c>
      <c r="F382" s="144">
        <v>46199</v>
      </c>
      <c r="G382" s="136">
        <v>12577.75</v>
      </c>
      <c r="H382" t="s" s="131">
        <v>2365</v>
      </c>
      <c r="I382" s="137">
        <v>46205</v>
      </c>
      <c r="J382" s="149">
        <f>G382</f>
        <v>12577.75</v>
      </c>
      <c r="K382" s="136">
        <f>J382-G382</f>
        <v>0</v>
      </c>
      <c r="L382" t="s" s="139">
        <v>2225</v>
      </c>
    </row>
    <row r="383" ht="27.7" customHeight="1">
      <c r="A383" t="s" s="130">
        <v>39</v>
      </c>
      <c r="B383" t="s" s="131">
        <v>30</v>
      </c>
      <c r="C383" t="s" s="132">
        <v>1532</v>
      </c>
      <c r="D383" t="s" s="133">
        <v>1533</v>
      </c>
      <c r="E383" s="147">
        <v>46095</v>
      </c>
      <c r="F383" s="144">
        <v>46126</v>
      </c>
      <c r="G383" s="136">
        <v>9190</v>
      </c>
      <c r="H383" t="s" s="131">
        <v>97</v>
      </c>
      <c r="I383" s="137">
        <v>46126</v>
      </c>
      <c r="J383" s="149">
        <f>G383</f>
        <v>9190</v>
      </c>
      <c r="K383" s="136">
        <f>J383-G383</f>
        <v>0</v>
      </c>
      <c r="L383" t="s" s="139">
        <v>2146</v>
      </c>
    </row>
    <row r="384" ht="27.7" customHeight="1">
      <c r="A384" t="s" s="130">
        <v>39</v>
      </c>
      <c r="B384" t="s" s="131">
        <v>30</v>
      </c>
      <c r="C384" t="s" s="132">
        <v>1532</v>
      </c>
      <c r="D384" t="s" s="133">
        <v>1533</v>
      </c>
      <c r="E384" s="147">
        <v>46095</v>
      </c>
      <c r="F384" s="144">
        <v>46156</v>
      </c>
      <c r="G384" s="136">
        <v>8870</v>
      </c>
      <c r="H384" t="s" s="131">
        <v>40</v>
      </c>
      <c r="I384" s="137">
        <v>46155</v>
      </c>
      <c r="J384" s="149">
        <f>G384</f>
        <v>8870</v>
      </c>
      <c r="K384" s="136">
        <f>J384-G384</f>
        <v>0</v>
      </c>
      <c r="L384" t="s" s="139">
        <v>2289</v>
      </c>
    </row>
    <row r="385" ht="27.7" customHeight="1">
      <c r="A385" t="s" s="130">
        <v>39</v>
      </c>
      <c r="B385" t="s" s="131">
        <v>30</v>
      </c>
      <c r="C385" t="s" s="132">
        <v>1532</v>
      </c>
      <c r="D385" t="s" s="133">
        <v>1533</v>
      </c>
      <c r="E385" s="147">
        <v>46095</v>
      </c>
      <c r="F385" s="144">
        <v>46186</v>
      </c>
      <c r="G385" s="136">
        <v>8870</v>
      </c>
      <c r="H385" t="s" s="131">
        <v>13</v>
      </c>
      <c r="I385" s="137">
        <v>46183</v>
      </c>
      <c r="J385" s="138">
        <f>G385</f>
        <v>8870</v>
      </c>
      <c r="K385" s="136">
        <f>J385-G385</f>
        <v>0</v>
      </c>
      <c r="L385" t="s" s="139">
        <v>2366</v>
      </c>
    </row>
    <row r="386" ht="27.7" customHeight="1">
      <c r="A386" t="s" s="130">
        <v>39</v>
      </c>
      <c r="B386" t="s" s="131">
        <v>488</v>
      </c>
      <c r="C386" t="s" s="132">
        <v>1712</v>
      </c>
      <c r="D386" t="s" s="133">
        <v>465</v>
      </c>
      <c r="E386" s="147">
        <v>46097</v>
      </c>
      <c r="F386" s="144">
        <v>46127</v>
      </c>
      <c r="G386" s="136">
        <v>14080.32</v>
      </c>
      <c r="H386" t="s" s="131">
        <v>2150</v>
      </c>
      <c r="I386" s="137">
        <v>46111</v>
      </c>
      <c r="J386" s="138">
        <v>6516.82</v>
      </c>
      <c r="K386" s="136">
        <f>J386-G386</f>
        <v>-7563.5</v>
      </c>
      <c r="L386" t="s" s="139">
        <v>2367</v>
      </c>
    </row>
    <row r="387" ht="27.7" customHeight="1">
      <c r="A387" t="s" s="130">
        <v>1121</v>
      </c>
      <c r="B387" t="s" s="131">
        <v>488</v>
      </c>
      <c r="C387" t="s" s="182">
        <v>1712</v>
      </c>
      <c r="D387" t="s" s="133">
        <v>465</v>
      </c>
      <c r="E387" s="147">
        <v>46097</v>
      </c>
      <c r="F387" s="144">
        <v>46157</v>
      </c>
      <c r="G387" s="136"/>
      <c r="H387" t="s" s="189">
        <v>13</v>
      </c>
      <c r="I387" s="144"/>
      <c r="J387" s="145"/>
      <c r="K387" s="136">
        <f>J387-G387</f>
        <v>0</v>
      </c>
      <c r="L387" t="s" s="139">
        <v>2368</v>
      </c>
    </row>
    <row r="388" ht="27.7" customHeight="1">
      <c r="A388" t="s" s="130">
        <v>599</v>
      </c>
      <c r="B388" t="s" s="131">
        <v>68</v>
      </c>
      <c r="C388" t="s" s="190">
        <v>1403</v>
      </c>
      <c r="D388" t="s" s="133">
        <v>206</v>
      </c>
      <c r="E388" s="147">
        <v>46108</v>
      </c>
      <c r="F388" s="144">
        <v>46142</v>
      </c>
      <c r="G388" s="136">
        <v>4022.13</v>
      </c>
      <c r="H388" t="s" s="189">
        <v>68</v>
      </c>
      <c r="I388" t="s" s="139">
        <v>2309</v>
      </c>
      <c r="J388" s="145"/>
      <c r="K388" s="136">
        <f>J388-G388</f>
        <v>-4022.13</v>
      </c>
      <c r="L388" t="s" s="139">
        <v>2310</v>
      </c>
    </row>
    <row r="389" ht="27.7" customHeight="1">
      <c r="A389" t="s" s="130">
        <v>599</v>
      </c>
      <c r="B389" t="s" s="131">
        <v>68</v>
      </c>
      <c r="C389" t="s" s="190">
        <v>1403</v>
      </c>
      <c r="D389" t="s" s="133">
        <v>206</v>
      </c>
      <c r="E389" s="147">
        <v>46108</v>
      </c>
      <c r="F389" s="144">
        <v>46157</v>
      </c>
      <c r="G389" s="136">
        <v>2277.87</v>
      </c>
      <c r="H389" t="s" s="189">
        <v>68</v>
      </c>
      <c r="I389" t="s" s="139">
        <v>2309</v>
      </c>
      <c r="J389" s="145"/>
      <c r="K389" s="136">
        <f>J389-G389</f>
        <v>-2277.87</v>
      </c>
      <c r="L389" t="s" s="139">
        <v>2310</v>
      </c>
    </row>
    <row r="390" ht="27.7" customHeight="1">
      <c r="A390" t="s" s="130">
        <v>599</v>
      </c>
      <c r="B390" t="s" s="131">
        <v>68</v>
      </c>
      <c r="C390" t="s" s="190">
        <v>1403</v>
      </c>
      <c r="D390" t="s" s="133">
        <v>206</v>
      </c>
      <c r="E390" s="147">
        <v>46108</v>
      </c>
      <c r="F390" s="144">
        <v>46157</v>
      </c>
      <c r="G390" s="136">
        <v>1744.26</v>
      </c>
      <c r="H390" t="s" s="189">
        <v>68</v>
      </c>
      <c r="I390" t="s" s="139">
        <v>2309</v>
      </c>
      <c r="J390" s="145"/>
      <c r="K390" s="136">
        <f>J390-G390</f>
        <v>-1744.26</v>
      </c>
      <c r="L390" t="s" s="139">
        <v>2310</v>
      </c>
    </row>
    <row r="391" ht="27.7" customHeight="1">
      <c r="A391" t="s" s="130">
        <v>599</v>
      </c>
      <c r="B391" t="s" s="131">
        <v>68</v>
      </c>
      <c r="C391" t="s" s="190">
        <v>1403</v>
      </c>
      <c r="D391" t="s" s="133">
        <v>206</v>
      </c>
      <c r="E391" s="147">
        <v>46108</v>
      </c>
      <c r="F391" s="144">
        <v>46174</v>
      </c>
      <c r="G391" s="136">
        <v>4022.14</v>
      </c>
      <c r="H391" t="s" s="189">
        <v>68</v>
      </c>
      <c r="I391" t="s" s="139">
        <v>2309</v>
      </c>
      <c r="J391" s="145"/>
      <c r="K391" s="136">
        <f>J391-G391</f>
        <v>-4022.14</v>
      </c>
      <c r="L391" t="s" s="139">
        <v>2310</v>
      </c>
    </row>
    <row r="392" ht="27.7" customHeight="1">
      <c r="A392" t="s" s="130">
        <v>39</v>
      </c>
      <c r="B392" t="s" s="131">
        <v>68</v>
      </c>
      <c r="C392" t="s" s="132">
        <v>1810</v>
      </c>
      <c r="D392" t="s" s="133">
        <v>151</v>
      </c>
      <c r="E392" s="147">
        <v>46108</v>
      </c>
      <c r="F392" s="144">
        <v>46139</v>
      </c>
      <c r="G392" s="136">
        <v>3966.666666666670</v>
      </c>
      <c r="H392" t="s" s="131">
        <v>68</v>
      </c>
      <c r="I392" s="137">
        <v>46105</v>
      </c>
      <c r="J392" s="142">
        <v>3000</v>
      </c>
      <c r="K392" s="136">
        <f>J392-G392</f>
        <v>-966.666666666670</v>
      </c>
      <c r="L392" t="s" s="139">
        <v>2149</v>
      </c>
    </row>
    <row r="393" ht="27.7" customHeight="1">
      <c r="A393" t="s" s="130">
        <v>1121</v>
      </c>
      <c r="B393" t="s" s="131">
        <v>68</v>
      </c>
      <c r="C393" t="s" s="182">
        <v>1810</v>
      </c>
      <c r="D393" t="s" s="133">
        <v>151</v>
      </c>
      <c r="E393" s="147">
        <v>46108</v>
      </c>
      <c r="F393" s="144">
        <v>46154</v>
      </c>
      <c r="G393" s="136">
        <v>3966.666666666670</v>
      </c>
      <c r="H393" s="158"/>
      <c r="I393" s="144"/>
      <c r="J393" s="145"/>
      <c r="K393" s="136">
        <f>J393-G393</f>
        <v>-3966.666666666670</v>
      </c>
      <c r="L393" t="s" s="139">
        <v>2369</v>
      </c>
    </row>
    <row r="394" ht="27.7" customHeight="1">
      <c r="A394" t="s" s="130">
        <v>1936</v>
      </c>
      <c r="B394" t="s" s="131">
        <v>68</v>
      </c>
      <c r="C394" t="s" s="191">
        <v>1810</v>
      </c>
      <c r="D394" t="s" s="133">
        <v>151</v>
      </c>
      <c r="E394" s="147">
        <v>46108</v>
      </c>
      <c r="F394" s="144">
        <v>46169</v>
      </c>
      <c r="G394" s="136">
        <v>3966.666666666670</v>
      </c>
      <c r="H394" s="158"/>
      <c r="I394" s="144"/>
      <c r="J394" s="145"/>
      <c r="K394" s="136">
        <f>J394-G394</f>
        <v>-3966.666666666670</v>
      </c>
      <c r="L394" t="s" s="139">
        <v>2099</v>
      </c>
    </row>
    <row r="395" ht="27.7" customHeight="1">
      <c r="A395" t="s" s="130">
        <v>39</v>
      </c>
      <c r="B395" t="s" s="131">
        <v>420</v>
      </c>
      <c r="C395" t="s" s="132">
        <v>988</v>
      </c>
      <c r="D395" t="s" s="133">
        <v>90</v>
      </c>
      <c r="E395" s="147">
        <v>46122</v>
      </c>
      <c r="F395" s="144">
        <v>46152</v>
      </c>
      <c r="G395" s="136">
        <v>13200</v>
      </c>
      <c r="H395" t="s" s="131">
        <v>13</v>
      </c>
      <c r="I395" s="137">
        <v>46161</v>
      </c>
      <c r="J395" s="138">
        <f>G395</f>
        <v>13200</v>
      </c>
      <c r="K395" s="136">
        <f>J395-G395</f>
        <v>0</v>
      </c>
      <c r="L395" t="s" s="139">
        <v>2176</v>
      </c>
    </row>
    <row r="396" ht="27.7" customHeight="1">
      <c r="A396" t="s" s="130">
        <v>39</v>
      </c>
      <c r="B396" t="s" s="131">
        <v>30</v>
      </c>
      <c r="C396" t="s" s="132">
        <v>499</v>
      </c>
      <c r="D396" t="s" s="133">
        <v>246</v>
      </c>
      <c r="E396" s="147">
        <v>46132</v>
      </c>
      <c r="F396" s="144">
        <v>46162</v>
      </c>
      <c r="G396" s="136">
        <v>2623.333333333330</v>
      </c>
      <c r="H396" t="s" s="131">
        <v>97</v>
      </c>
      <c r="I396" s="137">
        <v>46168</v>
      </c>
      <c r="J396" s="149">
        <f>G396</f>
        <v>2623.333333333330</v>
      </c>
      <c r="K396" s="136">
        <f>J396-G396</f>
        <v>0</v>
      </c>
      <c r="L396" t="s" s="139">
        <v>2370</v>
      </c>
    </row>
    <row r="397" ht="27.7" customHeight="1">
      <c r="A397" t="s" s="130">
        <v>39</v>
      </c>
      <c r="B397" t="s" s="131">
        <v>30</v>
      </c>
      <c r="C397" t="s" s="132">
        <v>499</v>
      </c>
      <c r="D397" t="s" s="133">
        <v>246</v>
      </c>
      <c r="E397" s="147">
        <v>46132</v>
      </c>
      <c r="F397" s="144">
        <v>46192</v>
      </c>
      <c r="G397" s="136">
        <v>2473.333333333330</v>
      </c>
      <c r="H397" t="s" s="131">
        <v>97</v>
      </c>
      <c r="I397" s="137">
        <v>46188</v>
      </c>
      <c r="J397" s="149">
        <f>G397</f>
        <v>2473.333333333330</v>
      </c>
      <c r="K397" s="136">
        <f>J397-G397</f>
        <v>0</v>
      </c>
      <c r="L397" t="s" s="139">
        <v>2369</v>
      </c>
    </row>
    <row r="398" ht="27.7" customHeight="1">
      <c r="A398" t="s" s="130">
        <v>1936</v>
      </c>
      <c r="B398" t="s" s="131">
        <v>30</v>
      </c>
      <c r="C398" t="s" s="183">
        <v>499</v>
      </c>
      <c r="D398" t="s" s="133">
        <v>246</v>
      </c>
      <c r="E398" s="147">
        <v>46132</v>
      </c>
      <c r="F398" s="144">
        <v>46222</v>
      </c>
      <c r="G398" s="136">
        <v>2473.333333333330</v>
      </c>
      <c r="H398" s="158"/>
      <c r="I398" s="144"/>
      <c r="J398" s="145"/>
      <c r="K398" s="136">
        <f>J398-G398</f>
        <v>-2473.333333333330</v>
      </c>
      <c r="L398" t="s" s="139">
        <v>2099</v>
      </c>
    </row>
    <row r="399" ht="27.7" customHeight="1">
      <c r="A399" t="s" s="130">
        <v>39</v>
      </c>
      <c r="B399" t="s" s="131">
        <v>349</v>
      </c>
      <c r="C399" t="s" s="132">
        <v>1768</v>
      </c>
      <c r="D399" t="s" s="133">
        <v>465</v>
      </c>
      <c r="E399" s="147">
        <v>46118</v>
      </c>
      <c r="F399" s="144">
        <v>46148</v>
      </c>
      <c r="G399" s="136">
        <v>2196.76</v>
      </c>
      <c r="H399" t="s" s="131">
        <v>13</v>
      </c>
      <c r="I399" s="137">
        <v>46145</v>
      </c>
      <c r="J399" s="138">
        <v>2658.07</v>
      </c>
      <c r="K399" s="136">
        <f>J399-G399</f>
        <v>461.31</v>
      </c>
      <c r="L399" t="s" s="139">
        <v>2371</v>
      </c>
    </row>
    <row r="400" ht="27.7" customHeight="1">
      <c r="A400" t="s" s="130">
        <v>39</v>
      </c>
      <c r="B400" t="s" s="131">
        <v>349</v>
      </c>
      <c r="C400" t="s" s="132">
        <v>1768</v>
      </c>
      <c r="D400" t="s" s="133">
        <v>465</v>
      </c>
      <c r="E400" s="147">
        <v>46118</v>
      </c>
      <c r="F400" s="144">
        <v>46162</v>
      </c>
      <c r="G400" s="136">
        <v>2196.77</v>
      </c>
      <c r="H400" t="s" s="131">
        <v>13</v>
      </c>
      <c r="I400" s="137">
        <v>46162</v>
      </c>
      <c r="J400" s="138">
        <f>G400</f>
        <v>2196.77</v>
      </c>
      <c r="K400" s="136">
        <f>J400-G400</f>
        <v>0</v>
      </c>
      <c r="L400" t="s" s="139">
        <v>2361</v>
      </c>
    </row>
    <row r="401" ht="27.7" customHeight="1">
      <c r="A401" t="s" s="130">
        <v>39</v>
      </c>
      <c r="B401" t="s" s="131">
        <v>349</v>
      </c>
      <c r="C401" t="s" s="132">
        <v>1768</v>
      </c>
      <c r="D401" t="s" s="133">
        <v>465</v>
      </c>
      <c r="E401" s="147">
        <v>46118</v>
      </c>
      <c r="F401" s="144">
        <v>46177</v>
      </c>
      <c r="G401" s="136">
        <v>2196.77</v>
      </c>
      <c r="H401" t="s" s="131">
        <v>13</v>
      </c>
      <c r="I401" s="137">
        <v>46166</v>
      </c>
      <c r="J401" s="138">
        <f>G401</f>
        <v>2196.77</v>
      </c>
      <c r="K401" s="136">
        <f>J401-G401</f>
        <v>0</v>
      </c>
      <c r="L401" t="s" s="139">
        <v>2372</v>
      </c>
    </row>
    <row r="402" ht="27.7" customHeight="1">
      <c r="A402" t="s" s="130">
        <v>39</v>
      </c>
      <c r="B402" t="s" s="131">
        <v>40</v>
      </c>
      <c r="C402" t="s" s="132">
        <v>2276</v>
      </c>
      <c r="D402" t="s" s="133">
        <v>1500</v>
      </c>
      <c r="E402" s="147">
        <v>46142</v>
      </c>
      <c r="F402" s="144">
        <v>46172</v>
      </c>
      <c r="G402" s="136">
        <v>2718.866666666670</v>
      </c>
      <c r="H402" t="s" s="131">
        <v>40</v>
      </c>
      <c r="I402" s="137">
        <v>46174</v>
      </c>
      <c r="J402" s="142">
        <f>G402</f>
        <v>2718.866666666670</v>
      </c>
      <c r="K402" s="136">
        <f>J402-G402</f>
        <v>0</v>
      </c>
      <c r="L402" t="s" s="139">
        <v>2274</v>
      </c>
    </row>
    <row r="403" ht="27.7" customHeight="1">
      <c r="A403" t="s" s="130">
        <v>39</v>
      </c>
      <c r="B403" t="s" s="131">
        <v>40</v>
      </c>
      <c r="C403" t="s" s="132">
        <v>2276</v>
      </c>
      <c r="D403" t="s" s="133">
        <v>1500</v>
      </c>
      <c r="E403" s="147">
        <v>46142</v>
      </c>
      <c r="F403" s="144">
        <v>46202</v>
      </c>
      <c r="G403" s="136">
        <v>2670.646666666670</v>
      </c>
      <c r="H403" t="s" s="131">
        <v>40</v>
      </c>
      <c r="I403" s="137">
        <v>46204</v>
      </c>
      <c r="J403" s="142">
        <f>G403</f>
        <v>2670.646666666670</v>
      </c>
      <c r="K403" s="136">
        <f>J403-G403</f>
        <v>0</v>
      </c>
      <c r="L403" t="s" s="139">
        <v>2373</v>
      </c>
    </row>
    <row r="404" ht="27.7" customHeight="1">
      <c r="A404" t="s" s="130">
        <v>1936</v>
      </c>
      <c r="B404" t="s" s="131">
        <v>40</v>
      </c>
      <c r="C404" t="s" s="183">
        <v>2276</v>
      </c>
      <c r="D404" t="s" s="133">
        <v>1500</v>
      </c>
      <c r="E404" s="147">
        <v>46142</v>
      </c>
      <c r="F404" s="144">
        <v>46232</v>
      </c>
      <c r="G404" s="136">
        <v>2670.646666666670</v>
      </c>
      <c r="H404" s="158"/>
      <c r="I404" s="144"/>
      <c r="J404" s="145"/>
      <c r="K404" s="136">
        <f>J404-G404</f>
        <v>-2670.646666666670</v>
      </c>
      <c r="L404" t="s" s="139">
        <v>2099</v>
      </c>
    </row>
    <row r="405" ht="27.7" customHeight="1">
      <c r="A405" t="s" s="130">
        <v>39</v>
      </c>
      <c r="B405" t="s" s="131">
        <v>420</v>
      </c>
      <c r="C405" t="s" s="132">
        <v>1402</v>
      </c>
      <c r="D405" t="s" s="133">
        <v>15</v>
      </c>
      <c r="E405" s="147">
        <v>46108</v>
      </c>
      <c r="F405" s="144">
        <v>46139</v>
      </c>
      <c r="G405" s="136">
        <v>3200</v>
      </c>
      <c r="H405" t="s" s="131">
        <v>13</v>
      </c>
      <c r="I405" s="137">
        <v>46164</v>
      </c>
      <c r="J405" s="138">
        <f>G405</f>
        <v>3200</v>
      </c>
      <c r="K405" s="136">
        <f>J405-G405</f>
        <v>0</v>
      </c>
      <c r="L405" t="s" s="139">
        <v>2374</v>
      </c>
    </row>
    <row r="406" ht="27.7" customHeight="1">
      <c r="A406" t="s" s="130">
        <v>39</v>
      </c>
      <c r="B406" t="s" s="131">
        <v>420</v>
      </c>
      <c r="C406" t="s" s="132">
        <v>1402</v>
      </c>
      <c r="D406" t="s" s="133">
        <v>15</v>
      </c>
      <c r="E406" s="147">
        <v>46108</v>
      </c>
      <c r="F406" s="144">
        <v>46169</v>
      </c>
      <c r="G406" s="136">
        <v>6400</v>
      </c>
      <c r="H406" t="s" s="131">
        <v>13</v>
      </c>
      <c r="I406" s="137">
        <v>46188</v>
      </c>
      <c r="J406" s="138">
        <f>G406</f>
        <v>6400</v>
      </c>
      <c r="K406" s="136">
        <f>J406-G406</f>
        <v>0</v>
      </c>
      <c r="L406" t="s" s="139">
        <v>2375</v>
      </c>
    </row>
    <row r="407" ht="27.7" customHeight="1">
      <c r="A407" t="s" s="130">
        <v>39</v>
      </c>
      <c r="B407" t="s" s="131">
        <v>79</v>
      </c>
      <c r="C407" t="s" s="132">
        <v>1249</v>
      </c>
      <c r="D407" t="s" s="133">
        <v>129</v>
      </c>
      <c r="E407" s="147">
        <v>46148</v>
      </c>
      <c r="F407" s="144">
        <v>46179</v>
      </c>
      <c r="G407" s="136">
        <v>1653</v>
      </c>
      <c r="H407" t="s" s="131">
        <v>13</v>
      </c>
      <c r="I407" s="137">
        <v>46191</v>
      </c>
      <c r="J407" s="138">
        <f>G407</f>
        <v>1653</v>
      </c>
      <c r="K407" s="136">
        <f>J407-G407</f>
        <v>0</v>
      </c>
      <c r="L407" t="s" s="139">
        <v>2374</v>
      </c>
    </row>
    <row r="408" ht="27.7" customHeight="1">
      <c r="A408" t="s" s="130">
        <v>39</v>
      </c>
      <c r="B408" t="s" s="131">
        <v>79</v>
      </c>
      <c r="C408" t="s" s="132">
        <v>1249</v>
      </c>
      <c r="D408" t="s" s="133">
        <v>129</v>
      </c>
      <c r="E408" s="147">
        <v>46148</v>
      </c>
      <c r="F408" s="144">
        <v>46194</v>
      </c>
      <c r="G408" s="136">
        <v>1653</v>
      </c>
      <c r="H408" t="s" s="131">
        <v>13</v>
      </c>
      <c r="I408" s="137">
        <v>46206</v>
      </c>
      <c r="J408" s="138">
        <f>G408</f>
        <v>1653</v>
      </c>
      <c r="K408" s="136">
        <f>J408-G408</f>
        <v>0</v>
      </c>
      <c r="L408" t="s" s="139">
        <v>2364</v>
      </c>
    </row>
    <row r="409" ht="27.7" customHeight="1">
      <c r="A409" t="s" s="130">
        <v>1936</v>
      </c>
      <c r="B409" t="s" s="131">
        <v>79</v>
      </c>
      <c r="C409" t="s" s="183">
        <v>1249</v>
      </c>
      <c r="D409" t="s" s="133">
        <v>129</v>
      </c>
      <c r="E409" s="147">
        <v>46148</v>
      </c>
      <c r="F409" s="144">
        <v>46209</v>
      </c>
      <c r="G409" s="136">
        <v>1653</v>
      </c>
      <c r="H409" t="s" s="189">
        <v>13</v>
      </c>
      <c r="I409" s="144"/>
      <c r="J409" s="145"/>
      <c r="K409" s="136">
        <f>J409-G409</f>
        <v>-1653</v>
      </c>
      <c r="L409" t="s" s="139">
        <v>2099</v>
      </c>
    </row>
    <row r="410" ht="27.7" customHeight="1">
      <c r="A410" t="s" s="130">
        <v>39</v>
      </c>
      <c r="B410" t="s" s="131">
        <v>40</v>
      </c>
      <c r="C410" t="s" s="132">
        <v>847</v>
      </c>
      <c r="D410" t="s" s="133">
        <v>151</v>
      </c>
      <c r="E410" s="147">
        <v>46142</v>
      </c>
      <c r="F410" s="144">
        <v>46172</v>
      </c>
      <c r="G410" s="136">
        <v>3268.77</v>
      </c>
      <c r="H410" t="s" s="131">
        <v>13</v>
      </c>
      <c r="I410" s="137">
        <v>46185</v>
      </c>
      <c r="J410" s="138">
        <v>3500</v>
      </c>
      <c r="K410" s="136">
        <f>J410-G410</f>
        <v>231.23</v>
      </c>
      <c r="L410" t="s" s="139">
        <v>2374</v>
      </c>
    </row>
    <row r="411" ht="27.7" customHeight="1">
      <c r="A411" t="s" s="130">
        <v>39</v>
      </c>
      <c r="B411" t="s" s="131">
        <v>40</v>
      </c>
      <c r="C411" t="s" s="132">
        <v>847</v>
      </c>
      <c r="D411" t="s" s="133">
        <v>151</v>
      </c>
      <c r="E411" s="147">
        <v>46142</v>
      </c>
      <c r="F411" s="144">
        <v>46202</v>
      </c>
      <c r="G411" s="136">
        <v>3152</v>
      </c>
      <c r="H411" t="s" s="131">
        <v>40</v>
      </c>
      <c r="I411" s="137">
        <v>46210</v>
      </c>
      <c r="J411" s="142">
        <v>3500</v>
      </c>
      <c r="K411" s="136">
        <f>J411-G411</f>
        <v>348</v>
      </c>
      <c r="L411" t="s" s="139">
        <v>2289</v>
      </c>
    </row>
    <row r="412" ht="27.7" customHeight="1">
      <c r="A412" t="s" s="130">
        <v>1936</v>
      </c>
      <c r="B412" t="s" s="131">
        <v>40</v>
      </c>
      <c r="C412" t="s" s="183">
        <v>847</v>
      </c>
      <c r="D412" t="s" s="133">
        <v>151</v>
      </c>
      <c r="E412" s="147">
        <v>46142</v>
      </c>
      <c r="F412" s="144">
        <v>46232</v>
      </c>
      <c r="G412" s="136">
        <v>3152</v>
      </c>
      <c r="H412" s="158"/>
      <c r="I412" s="144"/>
      <c r="J412" s="145"/>
      <c r="K412" s="136">
        <f>J412-G412</f>
        <v>-3152</v>
      </c>
      <c r="L412" t="s" s="139">
        <v>2099</v>
      </c>
    </row>
    <row r="413" ht="27.7" customHeight="1">
      <c r="A413" t="s" s="130">
        <v>39</v>
      </c>
      <c r="B413" t="s" s="131">
        <v>68</v>
      </c>
      <c r="C413" t="s" s="132">
        <v>847</v>
      </c>
      <c r="D413" t="s" s="133">
        <v>151</v>
      </c>
      <c r="E413" s="147">
        <v>46125</v>
      </c>
      <c r="F413" s="144">
        <v>46155</v>
      </c>
      <c r="G413" s="136">
        <v>4050</v>
      </c>
      <c r="H413" t="s" s="131">
        <v>13</v>
      </c>
      <c r="I413" s="137">
        <v>46185</v>
      </c>
      <c r="J413" s="138">
        <v>6000</v>
      </c>
      <c r="K413" s="136">
        <f>J413-G413</f>
        <v>1950</v>
      </c>
      <c r="L413" t="s" s="139">
        <v>2374</v>
      </c>
    </row>
    <row r="414" ht="27.7" customHeight="1">
      <c r="A414" t="s" s="130">
        <v>39</v>
      </c>
      <c r="B414" t="s" s="131">
        <v>68</v>
      </c>
      <c r="C414" t="s" s="132">
        <v>847</v>
      </c>
      <c r="D414" t="s" s="133">
        <v>151</v>
      </c>
      <c r="E414" s="147">
        <v>46125</v>
      </c>
      <c r="F414" s="144">
        <v>46170</v>
      </c>
      <c r="G414" s="136">
        <v>4050</v>
      </c>
      <c r="H414" t="s" s="131">
        <v>13</v>
      </c>
      <c r="I414" s="137">
        <v>46210</v>
      </c>
      <c r="J414" s="138">
        <v>3000</v>
      </c>
      <c r="K414" s="136">
        <f>J414-G414</f>
        <v>-1050</v>
      </c>
      <c r="L414" t="s" s="139">
        <v>2364</v>
      </c>
    </row>
    <row r="415" ht="27.7" customHeight="1">
      <c r="A415" t="s" s="130">
        <v>1121</v>
      </c>
      <c r="B415" t="s" s="131">
        <v>68</v>
      </c>
      <c r="C415" t="s" s="191">
        <v>847</v>
      </c>
      <c r="D415" t="s" s="133">
        <v>151</v>
      </c>
      <c r="E415" s="147">
        <v>46125</v>
      </c>
      <c r="F415" s="153">
        <v>46185</v>
      </c>
      <c r="G415" s="136">
        <v>4050</v>
      </c>
      <c r="H415" s="158"/>
      <c r="I415" s="144"/>
      <c r="J415" s="145"/>
      <c r="K415" s="136">
        <f>J415-G415</f>
        <v>-4050</v>
      </c>
      <c r="L415" t="s" s="139">
        <v>2099</v>
      </c>
    </row>
    <row r="416" ht="27.7" customHeight="1">
      <c r="A416" t="s" s="130">
        <v>39</v>
      </c>
      <c r="B416" t="s" s="131">
        <v>420</v>
      </c>
      <c r="C416" t="s" s="132">
        <v>1225</v>
      </c>
      <c r="D416" t="s" s="133">
        <v>451</v>
      </c>
      <c r="E416" s="147">
        <v>46122</v>
      </c>
      <c r="F416" s="144">
        <v>46152</v>
      </c>
      <c r="G416" s="136">
        <v>8400</v>
      </c>
      <c r="H416" t="s" s="131">
        <v>13</v>
      </c>
      <c r="I416" s="137">
        <v>46188</v>
      </c>
      <c r="J416" s="138">
        <v>9300</v>
      </c>
      <c r="K416" s="136">
        <f>J416-G416</f>
        <v>900</v>
      </c>
      <c r="L416" t="s" s="139">
        <v>2376</v>
      </c>
    </row>
    <row r="417" ht="27.7" customHeight="1">
      <c r="A417" t="s" s="130">
        <v>39</v>
      </c>
      <c r="B417" t="s" s="131">
        <v>420</v>
      </c>
      <c r="C417" t="s" s="132">
        <v>1225</v>
      </c>
      <c r="D417" t="s" s="133">
        <v>451</v>
      </c>
      <c r="E417" s="147">
        <v>46122</v>
      </c>
      <c r="F417" s="144">
        <v>46182</v>
      </c>
      <c r="G417" s="136">
        <v>8400</v>
      </c>
      <c r="H417" t="s" s="131">
        <v>13</v>
      </c>
      <c r="I417" s="137">
        <v>46195</v>
      </c>
      <c r="J417" s="138">
        <v>8479</v>
      </c>
      <c r="K417" s="136">
        <f>J417-G417</f>
        <v>79</v>
      </c>
      <c r="L417" t="s" s="139">
        <v>2377</v>
      </c>
    </row>
    <row r="418" ht="27.7" customHeight="1">
      <c r="A418" t="s" s="130">
        <v>39</v>
      </c>
      <c r="B418" t="s" s="131">
        <v>97</v>
      </c>
      <c r="C418" t="s" s="132">
        <v>1438</v>
      </c>
      <c r="D418" t="s" s="133">
        <v>888</v>
      </c>
      <c r="E418" s="147">
        <v>46120</v>
      </c>
      <c r="F418" s="144">
        <v>46183</v>
      </c>
      <c r="G418" s="136">
        <v>25343.64</v>
      </c>
      <c r="H418" t="s" s="131">
        <v>13</v>
      </c>
      <c r="I418" s="137">
        <v>46190</v>
      </c>
      <c r="J418" s="138">
        <v>25343.64</v>
      </c>
      <c r="K418" s="136">
        <f>J418-G418</f>
        <v>0</v>
      </c>
      <c r="L418" t="s" s="139">
        <v>2378</v>
      </c>
    </row>
    <row r="419" ht="27.7" customHeight="1">
      <c r="A419" t="s" s="130">
        <v>1121</v>
      </c>
      <c r="B419" t="s" s="131">
        <v>97</v>
      </c>
      <c r="C419" t="s" s="191">
        <v>1438</v>
      </c>
      <c r="D419" t="s" s="133">
        <v>888</v>
      </c>
      <c r="E419" s="147">
        <v>46120</v>
      </c>
      <c r="F419" s="153">
        <v>46195</v>
      </c>
      <c r="G419" s="136">
        <v>8447.879999999999</v>
      </c>
      <c r="H419" t="s" s="189">
        <v>13</v>
      </c>
      <c r="I419" s="144"/>
      <c r="J419" s="145"/>
      <c r="K419" s="136">
        <f>J419-G419</f>
        <v>-8447.879999999999</v>
      </c>
      <c r="L419" t="s" s="139">
        <v>2379</v>
      </c>
    </row>
    <row r="420" ht="27.7" customHeight="1">
      <c r="A420" t="s" s="130">
        <v>1936</v>
      </c>
      <c r="B420" t="s" s="131">
        <v>97</v>
      </c>
      <c r="C420" t="s" s="183">
        <v>1438</v>
      </c>
      <c r="D420" t="s" s="133">
        <v>888</v>
      </c>
      <c r="E420" s="147">
        <v>46120</v>
      </c>
      <c r="F420" s="144">
        <v>46210</v>
      </c>
      <c r="G420" s="136">
        <v>8447.879999999999</v>
      </c>
      <c r="H420" t="s" s="189">
        <v>13</v>
      </c>
      <c r="I420" s="144"/>
      <c r="J420" s="145"/>
      <c r="K420" s="136">
        <f>J420-G420</f>
        <v>-8447.879999999999</v>
      </c>
      <c r="L420" t="s" s="139">
        <v>2380</v>
      </c>
    </row>
    <row r="421" ht="27.7" customHeight="1">
      <c r="A421" t="s" s="130">
        <v>39</v>
      </c>
      <c r="B421" t="s" s="131">
        <v>47</v>
      </c>
      <c r="C421" t="s" s="132">
        <v>1768</v>
      </c>
      <c r="D421" t="s" s="133">
        <v>468</v>
      </c>
      <c r="E421" s="147">
        <v>46157</v>
      </c>
      <c r="F421" s="144">
        <v>46187</v>
      </c>
      <c r="G421" s="136">
        <v>5513.73</v>
      </c>
      <c r="H421" t="s" s="131">
        <v>13</v>
      </c>
      <c r="I421" s="137">
        <v>46187</v>
      </c>
      <c r="J421" s="138">
        <f>G421</f>
        <v>5513.73</v>
      </c>
      <c r="K421" s="136">
        <f>J421-G421</f>
        <v>0</v>
      </c>
      <c r="L421" t="s" s="139">
        <v>2381</v>
      </c>
    </row>
    <row r="422" ht="27.7" customHeight="1">
      <c r="A422" t="s" s="130">
        <v>1936</v>
      </c>
      <c r="B422" t="s" s="131">
        <v>47</v>
      </c>
      <c r="C422" t="s" s="183">
        <v>1768</v>
      </c>
      <c r="D422" t="s" s="133">
        <v>468</v>
      </c>
      <c r="E422" s="147">
        <v>46157</v>
      </c>
      <c r="F422" s="144">
        <v>46217</v>
      </c>
      <c r="G422" s="136">
        <v>5513.71</v>
      </c>
      <c r="H422" t="s" s="189">
        <v>13</v>
      </c>
      <c r="I422" s="144"/>
      <c r="J422" s="145"/>
      <c r="K422" s="136">
        <f>J422-G422</f>
        <v>-5513.71</v>
      </c>
      <c r="L422" t="s" s="139">
        <v>2369</v>
      </c>
    </row>
    <row r="423" ht="27.7" customHeight="1">
      <c r="A423" t="s" s="130">
        <v>1936</v>
      </c>
      <c r="B423" t="s" s="131">
        <v>47</v>
      </c>
      <c r="C423" t="s" s="183">
        <v>1768</v>
      </c>
      <c r="D423" t="s" s="133">
        <v>468</v>
      </c>
      <c r="E423" s="147">
        <v>46157</v>
      </c>
      <c r="F423" s="144">
        <v>46247</v>
      </c>
      <c r="G423" s="136">
        <v>5513.71</v>
      </c>
      <c r="H423" t="s" s="189">
        <v>13</v>
      </c>
      <c r="I423" s="144"/>
      <c r="J423" s="145"/>
      <c r="K423" s="136">
        <f>J423-G423</f>
        <v>-5513.71</v>
      </c>
      <c r="L423" t="s" s="139">
        <v>2099</v>
      </c>
    </row>
    <row r="424" ht="27.7" customHeight="1">
      <c r="A424" t="s" s="130">
        <v>39</v>
      </c>
      <c r="B424" t="s" s="131">
        <v>33</v>
      </c>
      <c r="C424" t="s" s="132">
        <v>1404</v>
      </c>
      <c r="D424" t="s" s="133">
        <v>468</v>
      </c>
      <c r="E424" s="147">
        <v>46164</v>
      </c>
      <c r="F424" s="144">
        <v>46195</v>
      </c>
      <c r="G424" s="136">
        <v>2666.67</v>
      </c>
      <c r="H424" t="s" s="131">
        <v>13</v>
      </c>
      <c r="I424" s="137">
        <v>46212</v>
      </c>
      <c r="J424" s="138">
        <f>G424</f>
        <v>2666.67</v>
      </c>
      <c r="K424" s="136">
        <f>J424-G424</f>
        <v>0</v>
      </c>
      <c r="L424" t="s" s="139">
        <v>2286</v>
      </c>
    </row>
    <row r="425" ht="27.7" customHeight="1">
      <c r="A425" t="s" s="130">
        <v>39</v>
      </c>
      <c r="B425" t="s" s="131">
        <v>33</v>
      </c>
      <c r="C425" t="s" s="132">
        <v>1404</v>
      </c>
      <c r="D425" t="s" s="133">
        <v>468</v>
      </c>
      <c r="E425" s="147">
        <v>46164</v>
      </c>
      <c r="F425" s="144">
        <v>46209</v>
      </c>
      <c r="G425" s="136">
        <v>2666.67</v>
      </c>
      <c r="H425" t="s" s="131">
        <v>13</v>
      </c>
      <c r="I425" s="137">
        <v>46213</v>
      </c>
      <c r="J425" s="138">
        <f>G425</f>
        <v>2666.67</v>
      </c>
      <c r="K425" s="136">
        <f>J425-G425</f>
        <v>0</v>
      </c>
      <c r="L425" t="s" s="139">
        <v>2364</v>
      </c>
    </row>
    <row r="426" ht="27.7" customHeight="1">
      <c r="A426" t="s" s="130">
        <v>1936</v>
      </c>
      <c r="B426" t="s" s="131">
        <v>33</v>
      </c>
      <c r="C426" t="s" s="183">
        <v>1404</v>
      </c>
      <c r="D426" t="s" s="133">
        <v>468</v>
      </c>
      <c r="E426" s="147">
        <v>46164</v>
      </c>
      <c r="F426" s="144">
        <v>46224</v>
      </c>
      <c r="G426" s="136">
        <v>2666.66</v>
      </c>
      <c r="H426" t="s" s="189">
        <v>13</v>
      </c>
      <c r="I426" s="144"/>
      <c r="J426" s="145"/>
      <c r="K426" s="136">
        <f>J426-G426</f>
        <v>-2666.66</v>
      </c>
      <c r="L426" t="s" s="139">
        <v>2099</v>
      </c>
    </row>
    <row r="427" ht="27.7" customHeight="1">
      <c r="A427" t="s" s="130">
        <v>1936</v>
      </c>
      <c r="B427" t="s" s="131">
        <v>33</v>
      </c>
      <c r="C427" t="s" s="183">
        <v>2276</v>
      </c>
      <c r="D427" t="s" s="133">
        <v>1500</v>
      </c>
      <c r="E427" s="147">
        <v>46193</v>
      </c>
      <c r="F427" s="144">
        <v>46223</v>
      </c>
      <c r="G427" s="136">
        <v>1260</v>
      </c>
      <c r="H427" t="s" s="189">
        <v>13</v>
      </c>
      <c r="I427" s="144"/>
      <c r="J427" s="145"/>
      <c r="K427" s="136">
        <f>J427-G427</f>
        <v>-1260</v>
      </c>
      <c r="L427" t="s" s="139">
        <v>2381</v>
      </c>
    </row>
    <row r="428" ht="27.7" customHeight="1">
      <c r="A428" t="s" s="130">
        <v>1936</v>
      </c>
      <c r="B428" t="s" s="131">
        <v>33</v>
      </c>
      <c r="C428" t="s" s="183">
        <v>2276</v>
      </c>
      <c r="D428" t="s" s="133">
        <v>1500</v>
      </c>
      <c r="E428" s="147">
        <v>46193</v>
      </c>
      <c r="F428" s="144">
        <v>46238</v>
      </c>
      <c r="G428" s="136">
        <v>1260</v>
      </c>
      <c r="H428" t="s" s="189">
        <v>13</v>
      </c>
      <c r="I428" s="144"/>
      <c r="J428" s="145"/>
      <c r="K428" s="136">
        <f>J428-G428</f>
        <v>-1260</v>
      </c>
      <c r="L428" t="s" s="139">
        <v>2369</v>
      </c>
    </row>
    <row r="429" ht="27.7" customHeight="1">
      <c r="A429" t="s" s="130">
        <v>1936</v>
      </c>
      <c r="B429" t="s" s="131">
        <v>33</v>
      </c>
      <c r="C429" t="s" s="183">
        <v>2276</v>
      </c>
      <c r="D429" t="s" s="133">
        <v>1500</v>
      </c>
      <c r="E429" s="147">
        <v>46193</v>
      </c>
      <c r="F429" s="144">
        <v>46253</v>
      </c>
      <c r="G429" s="136">
        <v>1260</v>
      </c>
      <c r="H429" t="s" s="189">
        <v>13</v>
      </c>
      <c r="I429" s="144"/>
      <c r="J429" s="145"/>
      <c r="K429" s="136">
        <f>J429-G429</f>
        <v>-1260</v>
      </c>
      <c r="L429" t="s" s="139">
        <v>2099</v>
      </c>
    </row>
    <row r="430" ht="27.7" customHeight="1">
      <c r="A430" s="163"/>
      <c r="B430" s="158"/>
      <c r="C430" s="183"/>
      <c r="D430" s="133"/>
      <c r="E430" s="147"/>
      <c r="F430" s="144"/>
      <c r="G430" s="136"/>
      <c r="H430" s="158"/>
      <c r="I430" s="144"/>
      <c r="J430" s="145"/>
      <c r="K430" s="136">
        <f>J430-G430</f>
        <v>0</v>
      </c>
      <c r="L430" s="164"/>
    </row>
    <row r="431" ht="27.7" customHeight="1">
      <c r="A431" s="163"/>
      <c r="B431" s="158"/>
      <c r="C431" s="183"/>
      <c r="D431" s="133"/>
      <c r="E431" s="147"/>
      <c r="F431" s="144"/>
      <c r="G431" s="136"/>
      <c r="H431" s="158"/>
      <c r="I431" s="144"/>
      <c r="J431" s="145"/>
      <c r="K431" s="136">
        <f>J431-G431</f>
        <v>0</v>
      </c>
      <c r="L431" s="164"/>
    </row>
  </sheetData>
  <mergeCells count="1">
    <mergeCell ref="A1:L1"/>
  </mergeCells>
  <dataValidations count="7">
    <dataValidation type="list" allowBlank="1" showInputMessage="1" showErrorMessage="1" sqref="B2">
      <formula1>",Fornecedor,MADEFLONA,GABRIELENSE,MAD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A3:A431">
      <formula1>",-,RECEBER,PAGANDO...,ATRASADO,CONFERIR,Revisar,EM REVISÃO,?,OK,OK (Pastinha),OK (Enviar),OK (Enviado),OK (Envelope),Contato Cliente,Solicitar Envio,Acompanhar,ENVIAR,PEPINO,LUCIANO,REVISAR,REVISÃO,SOLICITAR ENVIO"</formula1>
    </dataValidation>
    <dataValidation type="list" allowBlank="1" showInputMessage="1" showErrorMessage="1" sqref="B3:B84 B86:B90 B92:B126 B138 B140 B142:B143 B184 B201">
      <formula1>",Fornecedor,MADEFLONA,GABRIELENSE,MAD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H3:H431">
      <formula1>",Fornecedor,MADEFLONA,GABRIELENSE,MAD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B85 B91 B127:B132 B139 B141 B144:B156 B164:B170 B188:B190 B198:B200 B208:B216 B224:B230 B237:B239 B424:B431">
      <formula1>",MADEFLONA,GABRIELENSE,MAD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B133:B137 B240:B267 B269:B423">
      <formula1>",MADEFLONA,GABRIELENSE,MAD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B157:B163 B171:B183 B185:B187 B191:B197 B202:B207 B217:B223 B231:B236 B268">
      <formula1>",MADEFLONA,GABRIELENSE,MAD VITORIA,MADEPOL / PANDA,MADERAZI,BRASIL FLORA,IMPERIO WOODS,KL ART. DE MADEIRAS,SERRARIA BROCADO,MAD TAMARINO,CICHELERO,PORTERIT,TREVISO,NORTE SUL,WD NEUHAUS,D.S. DE OLIVEIRA,MARINHO / LF SANTOS,EPG / EMERSON,LH PORTAS,HM PORTAS"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8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14.1797" style="192" customWidth="1"/>
    <col min="2" max="2" width="16.6719" style="192" customWidth="1"/>
    <col min="3" max="3" width="23.3828" style="192" customWidth="1"/>
    <col min="4" max="4" hidden="1" width="16.3333" style="192" customWidth="1"/>
    <col min="5" max="6" width="13.4844" style="192" customWidth="1"/>
    <col min="7" max="7" width="15" style="192" customWidth="1"/>
    <col min="8" max="8" hidden="1" width="16.3333" style="192" customWidth="1"/>
    <col min="9" max="9" width="13.4844" style="192" customWidth="1"/>
    <col min="10" max="11" width="15" style="192" customWidth="1"/>
    <col min="12" max="12" width="33.4531" style="192" customWidth="1"/>
    <col min="13" max="16384" width="16.3516" style="192" customWidth="1"/>
  </cols>
  <sheetData>
    <row r="1" ht="28.65" customHeight="1">
      <c r="A1" t="s" s="127">
        <v>2085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ht="29.95" customHeight="1">
      <c r="A2" t="s" s="128">
        <v>2086</v>
      </c>
      <c r="B2" t="s" s="128">
        <v>0</v>
      </c>
      <c r="C2" t="s" s="128">
        <v>1</v>
      </c>
      <c r="D2" t="s" s="128">
        <v>2</v>
      </c>
      <c r="E2" t="s" s="128">
        <v>3</v>
      </c>
      <c r="F2" t="s" s="129">
        <v>2087</v>
      </c>
      <c r="G2" t="s" s="129">
        <v>2088</v>
      </c>
      <c r="H2" t="s" s="129">
        <v>2089</v>
      </c>
      <c r="I2" t="s" s="129">
        <v>2090</v>
      </c>
      <c r="J2" t="s" s="129">
        <v>2091</v>
      </c>
      <c r="K2" t="s" s="129">
        <v>2092</v>
      </c>
      <c r="L2" t="s" s="129">
        <v>2093</v>
      </c>
    </row>
    <row r="3" ht="27.7" customHeight="1">
      <c r="A3" t="s" s="130">
        <v>39</v>
      </c>
      <c r="B3" t="s" s="131">
        <v>97</v>
      </c>
      <c r="C3" t="s" s="132">
        <v>1118</v>
      </c>
      <c r="D3" t="s" s="133">
        <v>465</v>
      </c>
      <c r="E3" s="147">
        <v>45995</v>
      </c>
      <c r="F3" s="144">
        <v>46032</v>
      </c>
      <c r="G3" s="136">
        <v>6217.14</v>
      </c>
      <c r="H3" t="s" s="131">
        <v>97</v>
      </c>
      <c r="I3" s="137">
        <v>46037</v>
      </c>
      <c r="J3" s="193">
        <f>G3</f>
        <v>6217.14</v>
      </c>
      <c r="K3" s="136">
        <f>J3-G3</f>
        <v>0</v>
      </c>
      <c r="L3" t="s" s="139">
        <v>2228</v>
      </c>
    </row>
    <row r="4" ht="27.7" customHeight="1">
      <c r="A4" t="s" s="130">
        <v>39</v>
      </c>
      <c r="B4" t="s" s="131">
        <v>97</v>
      </c>
      <c r="C4" t="s" s="132">
        <v>1118</v>
      </c>
      <c r="D4" t="s" s="133">
        <v>465</v>
      </c>
      <c r="E4" s="147">
        <v>45995</v>
      </c>
      <c r="F4" s="144">
        <v>46047</v>
      </c>
      <c r="G4" s="136">
        <v>6217.14</v>
      </c>
      <c r="H4" t="s" s="131">
        <v>97</v>
      </c>
      <c r="I4" s="137">
        <v>46048</v>
      </c>
      <c r="J4" s="193">
        <f>G4</f>
        <v>6217.14</v>
      </c>
      <c r="K4" s="136">
        <f>J4-G4</f>
        <v>0</v>
      </c>
      <c r="L4" t="s" s="139">
        <v>2229</v>
      </c>
    </row>
    <row r="5" ht="27.7" customHeight="1">
      <c r="A5" t="s" s="130">
        <v>39</v>
      </c>
      <c r="B5" t="s" s="131">
        <v>97</v>
      </c>
      <c r="C5" t="s" s="132">
        <v>1118</v>
      </c>
      <c r="D5" t="s" s="133">
        <v>465</v>
      </c>
      <c r="E5" s="147">
        <v>45995</v>
      </c>
      <c r="F5" s="144">
        <v>46062</v>
      </c>
      <c r="G5" s="136">
        <v>6217.14</v>
      </c>
      <c r="H5" t="s" s="131">
        <v>13</v>
      </c>
      <c r="I5" s="137">
        <v>46128</v>
      </c>
      <c r="J5" s="149">
        <v>11000</v>
      </c>
      <c r="K5" s="136">
        <f>J5-G5</f>
        <v>4782.86</v>
      </c>
      <c r="L5" t="s" s="139">
        <v>2382</v>
      </c>
    </row>
    <row r="6" ht="27.7" customHeight="1">
      <c r="A6" t="s" s="130">
        <v>1936</v>
      </c>
      <c r="B6" t="s" s="131">
        <v>97</v>
      </c>
      <c r="C6" t="s" s="191">
        <v>1118</v>
      </c>
      <c r="D6" t="s" s="133">
        <v>465</v>
      </c>
      <c r="E6" s="147">
        <v>45995</v>
      </c>
      <c r="F6" s="144">
        <v>46077</v>
      </c>
      <c r="G6" s="136">
        <v>6217.14</v>
      </c>
      <c r="H6" t="s" s="131">
        <v>13</v>
      </c>
      <c r="I6" s="144"/>
      <c r="J6" s="145"/>
      <c r="K6" s="136">
        <f>J6-G6</f>
        <v>-6217.14</v>
      </c>
      <c r="L6" t="s" s="139">
        <v>2166</v>
      </c>
    </row>
    <row r="7" ht="27.7" customHeight="1">
      <c r="A7" t="s" s="130">
        <v>1936</v>
      </c>
      <c r="B7" t="s" s="131">
        <v>97</v>
      </c>
      <c r="C7" t="s" s="191">
        <v>1118</v>
      </c>
      <c r="D7" t="s" s="133">
        <v>465</v>
      </c>
      <c r="E7" s="147">
        <v>45995</v>
      </c>
      <c r="F7" s="144">
        <v>46092</v>
      </c>
      <c r="G7" s="136">
        <v>6217.14</v>
      </c>
      <c r="H7" s="158"/>
      <c r="I7" s="144"/>
      <c r="J7" s="145"/>
      <c r="K7" s="136">
        <f>J7-G7</f>
        <v>-6217.14</v>
      </c>
      <c r="L7" t="s" s="139">
        <v>2168</v>
      </c>
    </row>
    <row r="8" ht="29.7" customHeight="1">
      <c r="A8" t="s" s="130">
        <v>2383</v>
      </c>
      <c r="B8" s="194"/>
      <c r="C8" s="195"/>
      <c r="D8" s="133"/>
      <c r="E8" s="196"/>
      <c r="F8" s="197"/>
      <c r="G8" s="198">
        <f>SUM(G3:G7)</f>
        <v>31085.7</v>
      </c>
      <c r="H8" s="158"/>
      <c r="I8" s="197"/>
      <c r="J8" s="193">
        <f>SUM(J3:J7)</f>
        <v>23434.28</v>
      </c>
      <c r="K8" s="199">
        <f>SUM(K3:K7)</f>
        <v>-7651.42</v>
      </c>
      <c r="L8" s="200"/>
    </row>
  </sheetData>
  <mergeCells count="2">
    <mergeCell ref="A1:L1"/>
    <mergeCell ref="A8:B8"/>
  </mergeCells>
  <dataValidations count="4">
    <dataValidation type="list" allowBlank="1" showInputMessage="1" showErrorMessage="1" sqref="B2">
      <formula1>",Fornecedor,MADEFLONA,GABRIELENSE,MAD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A3:A7">
      <formula1>",-,RECEBER,PAGANDO...,ATRASADO,CONFERIR,Revisar,EM REVISÃO,?,OK,OK (Pastinha),OK (Enviar),OK (Enviado),OK (Envelope),Contato Cliente,Solicitar Envio,Acompanhar,ENVIAR,PEPINO,LUCIANO,REVISAR,REVISÃO,SOLICITAR ENVIO"</formula1>
    </dataValidation>
    <dataValidation type="list" allowBlank="1" showInputMessage="1" showErrorMessage="1" sqref="B3:B7">
      <formula1>",MADEFLONA,GABRIELENSE,MAD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H3:H8">
      <formula1>",Fornecedor,MADEFLONA,GABRIELENSE,MAD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V390"/>
  <sheetViews>
    <sheetView workbookViewId="0" showGridLines="0" defaultGridColor="1">
      <pane topLeftCell="E6" xSplit="4" ySplit="5" activePane="bottomRight" state="frozen"/>
    </sheetView>
  </sheetViews>
  <sheetFormatPr defaultColWidth="16.3333" defaultRowHeight="19.9" customHeight="1" outlineLevelRow="0" outlineLevelCol="0"/>
  <cols>
    <col min="1" max="1" width="14.1797" style="201" customWidth="1"/>
    <col min="2" max="2" width="16.6719" style="201" customWidth="1"/>
    <col min="3" max="3" width="28.4141" style="201" customWidth="1"/>
    <col min="4" max="4" width="20" style="201" customWidth="1"/>
    <col min="5" max="5" width="13.4844" style="201" customWidth="1"/>
    <col min="6" max="6" width="16.6719" style="201" customWidth="1"/>
    <col min="7" max="7" width="26.8438" style="201" customWidth="1"/>
    <col min="8" max="9" width="16.7344" style="201" customWidth="1"/>
    <col min="10" max="10" width="13.4844" style="201" customWidth="1"/>
    <col min="11" max="13" width="15" style="201" customWidth="1"/>
    <col min="14" max="14" width="33.4531" style="201" customWidth="1"/>
    <col min="15" max="15" width="15" style="201" customWidth="1"/>
    <col min="16" max="18" width="13.4844" style="201" customWidth="1"/>
    <col min="19" max="20" width="15" style="201" customWidth="1"/>
    <col min="21" max="21" width="13.4844" style="201" customWidth="1"/>
    <col min="22" max="22" width="15" style="201" customWidth="1"/>
    <col min="23" max="16384" width="16.3516" style="201" customWidth="1"/>
  </cols>
  <sheetData>
    <row r="1" ht="28.65" customHeight="1">
      <c r="A1" t="s" s="127">
        <v>2384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</row>
    <row r="2" ht="27.95" customHeight="1">
      <c r="A2" s="202">
        <v>24164569</v>
      </c>
      <c r="B2" t="s" s="203">
        <v>0</v>
      </c>
      <c r="C2" t="s" s="204">
        <v>1</v>
      </c>
      <c r="D2" t="s" s="204">
        <v>2</v>
      </c>
      <c r="E2" t="s" s="204">
        <v>3</v>
      </c>
      <c r="F2" t="s" s="205">
        <v>2089</v>
      </c>
      <c r="G2" t="s" s="3">
        <v>2385</v>
      </c>
      <c r="H2" t="s" s="203">
        <v>2386</v>
      </c>
      <c r="I2" t="s" s="204">
        <v>2387</v>
      </c>
      <c r="J2" t="s" s="206">
        <v>2388</v>
      </c>
      <c r="K2" t="s" s="3">
        <v>2093</v>
      </c>
      <c r="L2" t="s" s="207">
        <v>2389</v>
      </c>
      <c r="M2" t="s" s="208">
        <v>2390</v>
      </c>
      <c r="N2" t="s" s="208">
        <v>2391</v>
      </c>
      <c r="O2" t="s" s="208">
        <v>2392</v>
      </c>
      <c r="P2" t="s" s="208">
        <v>2393</v>
      </c>
      <c r="Q2" t="s" s="208">
        <v>2394</v>
      </c>
      <c r="R2" t="s" s="208">
        <v>2087</v>
      </c>
      <c r="S2" t="s" s="208">
        <v>2088</v>
      </c>
      <c r="T2" t="s" s="208">
        <v>2091</v>
      </c>
      <c r="U2" t="s" s="208">
        <v>2395</v>
      </c>
      <c r="V2" t="s" s="208">
        <v>2092</v>
      </c>
    </row>
    <row r="3" ht="27.7" customHeight="1">
      <c r="A3" t="s" s="209">
        <v>2396</v>
      </c>
      <c r="B3" t="s" s="5">
        <v>2397</v>
      </c>
      <c r="C3" t="s" s="210">
        <v>2398</v>
      </c>
      <c r="D3" t="s" s="7">
        <v>24</v>
      </c>
      <c r="E3" t="s" s="211">
        <v>24</v>
      </c>
      <c r="F3" t="s" s="5">
        <v>24</v>
      </c>
      <c r="G3" s="212"/>
      <c r="H3" s="113"/>
      <c r="I3" s="113"/>
      <c r="J3" s="213"/>
      <c r="K3" s="32"/>
      <c r="L3" s="123"/>
      <c r="M3" s="214">
        <v>12.2</v>
      </c>
      <c r="N3" s="211"/>
      <c r="O3" s="215"/>
      <c r="P3" s="216"/>
      <c r="Q3" s="216"/>
      <c r="R3" t="s" s="211">
        <v>24</v>
      </c>
      <c r="S3" t="s" s="211">
        <v>24</v>
      </c>
      <c r="T3" s="217"/>
      <c r="U3" s="216"/>
      <c r="V3" s="215"/>
    </row>
    <row r="4" ht="27.7" customHeight="1">
      <c r="A4" t="s" s="209">
        <v>2396</v>
      </c>
      <c r="B4" t="s" s="5">
        <v>2397</v>
      </c>
      <c r="C4" t="s" s="210">
        <v>2399</v>
      </c>
      <c r="D4" t="s" s="7">
        <v>24</v>
      </c>
      <c r="E4" t="s" s="211">
        <v>24</v>
      </c>
      <c r="F4" t="s" s="5">
        <v>24</v>
      </c>
      <c r="G4" s="212"/>
      <c r="H4" s="113"/>
      <c r="I4" s="113"/>
      <c r="J4" s="213"/>
      <c r="K4" s="32"/>
      <c r="L4" s="123"/>
      <c r="M4" s="218">
        <v>13.77</v>
      </c>
      <c r="N4" s="211"/>
      <c r="O4" s="215"/>
      <c r="P4" s="216"/>
      <c r="Q4" s="216"/>
      <c r="R4" t="s" s="211">
        <v>24</v>
      </c>
      <c r="S4" t="s" s="211">
        <v>24</v>
      </c>
      <c r="T4" s="217"/>
      <c r="U4" s="216"/>
      <c r="V4" s="215"/>
    </row>
    <row r="5" ht="27.7" customHeight="1">
      <c r="A5" t="s" s="209">
        <v>2396</v>
      </c>
      <c r="B5" t="s" s="5">
        <v>2397</v>
      </c>
      <c r="C5" t="s" s="210">
        <v>2400</v>
      </c>
      <c r="D5" t="s" s="7">
        <v>24</v>
      </c>
      <c r="E5" t="s" s="211">
        <v>24</v>
      </c>
      <c r="F5" t="s" s="5">
        <v>24</v>
      </c>
      <c r="G5" s="212"/>
      <c r="H5" s="113"/>
      <c r="I5" s="113"/>
      <c r="J5" s="213"/>
      <c r="K5" s="32"/>
      <c r="L5" s="123"/>
      <c r="M5" s="219">
        <v>13.28</v>
      </c>
      <c r="N5" s="211"/>
      <c r="O5" s="215"/>
      <c r="P5" s="216"/>
      <c r="Q5" s="216"/>
      <c r="R5" t="s" s="211">
        <v>24</v>
      </c>
      <c r="S5" t="s" s="211">
        <v>24</v>
      </c>
      <c r="T5" s="217"/>
      <c r="U5" s="216"/>
      <c r="V5" s="215"/>
    </row>
    <row r="6" ht="27.7" customHeight="1">
      <c r="A6" s="32"/>
      <c r="B6" s="123"/>
      <c r="C6" s="6"/>
      <c r="D6" s="7"/>
      <c r="E6" s="8"/>
      <c r="F6" s="220"/>
      <c r="G6" s="221"/>
      <c r="H6" s="14"/>
      <c r="I6" s="14"/>
      <c r="J6" s="8"/>
      <c r="K6" s="32"/>
      <c r="L6" s="123"/>
      <c r="M6" s="222"/>
      <c r="N6" s="223"/>
      <c r="O6" s="224"/>
      <c r="P6" s="225"/>
      <c r="Q6" s="226"/>
      <c r="R6" s="226"/>
      <c r="S6" s="227"/>
      <c r="T6" s="222"/>
      <c r="U6" s="226"/>
      <c r="V6" s="227"/>
    </row>
    <row r="7" ht="27.7" customHeight="1">
      <c r="A7" t="s" s="228">
        <v>2401</v>
      </c>
      <c r="B7" t="s" s="61">
        <v>2402</v>
      </c>
      <c r="C7" t="s" s="6">
        <v>2403</v>
      </c>
      <c r="D7" t="s" s="7">
        <v>1500</v>
      </c>
      <c r="E7" t="s" s="229">
        <v>24</v>
      </c>
      <c r="F7" t="s" s="230">
        <v>2404</v>
      </c>
      <c r="G7" t="s" s="231">
        <v>2405</v>
      </c>
      <c r="H7" t="s" s="232">
        <v>2406</v>
      </c>
      <c r="I7" t="s" s="233">
        <v>2407</v>
      </c>
      <c r="J7" s="8"/>
      <c r="K7" t="s" s="5">
        <v>13</v>
      </c>
      <c r="L7" t="s" s="5">
        <v>2404</v>
      </c>
      <c r="M7" s="234">
        <v>16.38</v>
      </c>
      <c r="N7" s="235"/>
      <c r="O7" s="236">
        <v>3</v>
      </c>
      <c r="P7" s="144"/>
      <c r="Q7" s="237"/>
      <c r="R7" s="226"/>
      <c r="S7" s="227"/>
      <c r="T7" s="222"/>
      <c r="U7" s="226"/>
      <c r="V7" s="227"/>
    </row>
    <row r="8" ht="27.7" customHeight="1">
      <c r="A8" t="s" s="238">
        <v>2401</v>
      </c>
      <c r="B8" t="s" s="61">
        <v>2402</v>
      </c>
      <c r="C8" t="s" s="6">
        <v>544</v>
      </c>
      <c r="D8" t="s" s="7">
        <v>545</v>
      </c>
      <c r="E8" t="s" s="229">
        <v>24</v>
      </c>
      <c r="F8" t="s" s="230">
        <v>2404</v>
      </c>
      <c r="G8" t="s" s="239">
        <v>2405</v>
      </c>
      <c r="H8" t="s" s="232">
        <v>2406</v>
      </c>
      <c r="I8" t="s" s="233">
        <v>2408</v>
      </c>
      <c r="J8" s="8"/>
      <c r="K8" t="s" s="5">
        <v>13</v>
      </c>
      <c r="L8" t="s" s="5">
        <v>2404</v>
      </c>
      <c r="M8" s="234">
        <v>16.38</v>
      </c>
      <c r="N8" s="235"/>
      <c r="O8" s="236">
        <v>3</v>
      </c>
      <c r="P8" s="144"/>
      <c r="Q8" s="237"/>
      <c r="R8" s="226"/>
      <c r="S8" s="227"/>
      <c r="T8" s="222"/>
      <c r="U8" s="226"/>
      <c r="V8" s="227"/>
    </row>
    <row r="9" ht="27.7" customHeight="1">
      <c r="A9" t="s" s="238">
        <v>2401</v>
      </c>
      <c r="B9" t="s" s="61">
        <v>2402</v>
      </c>
      <c r="C9" t="s" s="6">
        <v>1162</v>
      </c>
      <c r="D9" t="s" s="7">
        <v>319</v>
      </c>
      <c r="E9" t="s" s="229">
        <v>24</v>
      </c>
      <c r="F9" t="s" s="230">
        <v>2404</v>
      </c>
      <c r="G9" t="s" s="239">
        <v>2409</v>
      </c>
      <c r="H9" s="240"/>
      <c r="I9" t="s" s="233">
        <v>2410</v>
      </c>
      <c r="J9" s="8"/>
      <c r="K9" t="s" s="5">
        <v>13</v>
      </c>
      <c r="L9" t="s" s="5">
        <v>2404</v>
      </c>
      <c r="M9" s="241">
        <v>18.93</v>
      </c>
      <c r="N9" t="s" s="235">
        <v>2411</v>
      </c>
      <c r="O9" s="236">
        <v>2</v>
      </c>
      <c r="P9" s="137">
        <v>45467</v>
      </c>
      <c r="Q9" s="237"/>
      <c r="R9" s="226"/>
      <c r="S9" s="227"/>
      <c r="T9" s="222"/>
      <c r="U9" s="226"/>
      <c r="V9" s="227"/>
    </row>
    <row r="10" ht="27.7" customHeight="1">
      <c r="A10" t="s" s="238">
        <v>2401</v>
      </c>
      <c r="B10" t="s" s="61">
        <v>2402</v>
      </c>
      <c r="C10" t="s" s="6">
        <v>1162</v>
      </c>
      <c r="D10" t="s" s="7">
        <v>319</v>
      </c>
      <c r="E10" t="s" s="229">
        <v>24</v>
      </c>
      <c r="F10" t="s" s="230">
        <v>2404</v>
      </c>
      <c r="G10" t="s" s="239">
        <v>2412</v>
      </c>
      <c r="H10" s="232"/>
      <c r="I10" t="s" s="233">
        <v>2413</v>
      </c>
      <c r="J10" s="8"/>
      <c r="K10" t="s" s="5">
        <v>13</v>
      </c>
      <c r="L10" t="s" s="5">
        <v>2404</v>
      </c>
      <c r="M10" s="234">
        <v>29.66</v>
      </c>
      <c r="N10" t="s" s="235">
        <v>2414</v>
      </c>
      <c r="O10" s="236">
        <v>4</v>
      </c>
      <c r="P10" s="144"/>
      <c r="Q10" s="237"/>
      <c r="R10" s="226"/>
      <c r="S10" s="227"/>
      <c r="T10" s="222"/>
      <c r="U10" s="226"/>
      <c r="V10" s="227"/>
    </row>
    <row r="11" ht="27.7" customHeight="1">
      <c r="A11" s="163"/>
      <c r="B11" t="s" s="61">
        <v>2402</v>
      </c>
      <c r="C11" t="s" s="6">
        <v>1922</v>
      </c>
      <c r="D11" t="s" s="7">
        <v>246</v>
      </c>
      <c r="E11" s="224"/>
      <c r="F11" t="s" s="230">
        <v>2404</v>
      </c>
      <c r="G11" t="s" s="239">
        <v>2405</v>
      </c>
      <c r="H11" s="232"/>
      <c r="I11" t="s" s="233">
        <v>2415</v>
      </c>
      <c r="J11" s="8"/>
      <c r="K11" t="s" s="5">
        <v>13</v>
      </c>
      <c r="L11" t="s" s="5">
        <v>2404</v>
      </c>
      <c r="M11" s="234">
        <v>16.38</v>
      </c>
      <c r="N11" s="235"/>
      <c r="O11" s="236">
        <v>6</v>
      </c>
      <c r="P11" s="144"/>
      <c r="Q11" s="237"/>
      <c r="R11" s="226"/>
      <c r="S11" s="227"/>
      <c r="T11" s="222"/>
      <c r="U11" s="226"/>
      <c r="V11" s="227"/>
    </row>
    <row r="12" ht="27.7" customHeight="1">
      <c r="A12" s="163"/>
      <c r="B12" t="s" s="61">
        <v>2402</v>
      </c>
      <c r="C12" t="s" s="6">
        <v>1922</v>
      </c>
      <c r="D12" t="s" s="7">
        <v>246</v>
      </c>
      <c r="E12" s="224"/>
      <c r="F12" s="242"/>
      <c r="G12" s="243"/>
      <c r="H12" s="232"/>
      <c r="I12" s="233"/>
      <c r="J12" s="8"/>
      <c r="K12" t="s" s="5">
        <v>13</v>
      </c>
      <c r="L12" t="s" s="5">
        <v>2404</v>
      </c>
      <c r="M12" s="234"/>
      <c r="N12" s="235"/>
      <c r="O12" s="244"/>
      <c r="P12" s="144"/>
      <c r="Q12" s="237"/>
      <c r="R12" s="226"/>
      <c r="S12" s="227"/>
      <c r="T12" s="222"/>
      <c r="U12" s="226"/>
      <c r="V12" s="227"/>
    </row>
    <row r="13" ht="27.7" customHeight="1">
      <c r="A13" s="163"/>
      <c r="B13" t="s" s="61">
        <v>2402</v>
      </c>
      <c r="C13" t="s" s="6">
        <v>1124</v>
      </c>
      <c r="D13" t="s" s="7">
        <v>393</v>
      </c>
      <c r="E13" s="224"/>
      <c r="F13" t="s" s="230">
        <v>2404</v>
      </c>
      <c r="G13" t="s" s="239">
        <v>2409</v>
      </c>
      <c r="H13" s="232"/>
      <c r="I13" t="s" s="233">
        <v>2416</v>
      </c>
      <c r="J13" s="8"/>
      <c r="K13" t="s" s="5">
        <v>13</v>
      </c>
      <c r="L13" t="s" s="5">
        <v>2404</v>
      </c>
      <c r="M13" s="234">
        <v>18.93</v>
      </c>
      <c r="N13" s="235"/>
      <c r="O13" s="236">
        <v>6</v>
      </c>
      <c r="P13" s="144"/>
      <c r="Q13" s="237"/>
      <c r="R13" s="226"/>
      <c r="S13" s="227"/>
      <c r="T13" s="222"/>
      <c r="U13" s="226"/>
      <c r="V13" s="227"/>
    </row>
    <row r="14" ht="27.7" customHeight="1">
      <c r="A14" s="163"/>
      <c r="B14" t="s" s="61">
        <v>2402</v>
      </c>
      <c r="C14" t="s" s="6">
        <v>2417</v>
      </c>
      <c r="D14" t="s" s="7">
        <v>117</v>
      </c>
      <c r="E14" s="224"/>
      <c r="F14" t="s" s="230">
        <v>2404</v>
      </c>
      <c r="G14" t="s" s="239">
        <v>2409</v>
      </c>
      <c r="H14" s="232"/>
      <c r="I14" t="s" s="233">
        <v>2418</v>
      </c>
      <c r="J14" s="8"/>
      <c r="K14" t="s" s="5">
        <v>13</v>
      </c>
      <c r="L14" t="s" s="5">
        <v>2404</v>
      </c>
      <c r="M14" s="234"/>
      <c r="N14" s="235"/>
      <c r="O14" s="244"/>
      <c r="P14" s="144"/>
      <c r="Q14" s="237"/>
      <c r="R14" s="226"/>
      <c r="S14" s="227"/>
      <c r="T14" s="222"/>
      <c r="U14" s="226"/>
      <c r="V14" s="227"/>
    </row>
    <row r="15" ht="27.7" customHeight="1">
      <c r="A15" s="163"/>
      <c r="B15" s="245"/>
      <c r="C15" s="6"/>
      <c r="D15" s="92"/>
      <c r="E15" s="224"/>
      <c r="F15" s="242"/>
      <c r="G15" s="243"/>
      <c r="H15" s="232"/>
      <c r="I15" s="233"/>
      <c r="J15" s="8"/>
      <c r="K15" s="123"/>
      <c r="L15" s="123"/>
      <c r="M15" s="234"/>
      <c r="N15" s="235"/>
      <c r="O15" s="244"/>
      <c r="P15" s="144"/>
      <c r="Q15" s="237"/>
      <c r="R15" s="226"/>
      <c r="S15" s="227"/>
      <c r="T15" s="222"/>
      <c r="U15" s="226"/>
      <c r="V15" s="227"/>
    </row>
    <row r="16" ht="27.7" customHeight="1">
      <c r="A16" s="163"/>
      <c r="B16" s="245"/>
      <c r="C16" s="6"/>
      <c r="D16" s="92"/>
      <c r="E16" s="224"/>
      <c r="F16" t="s" s="230">
        <v>2404</v>
      </c>
      <c r="G16" t="s" s="239">
        <v>2409</v>
      </c>
      <c r="H16" s="232"/>
      <c r="I16" t="s" s="233">
        <v>2419</v>
      </c>
      <c r="J16" s="8"/>
      <c r="K16" s="123"/>
      <c r="L16" s="123"/>
      <c r="M16" s="234"/>
      <c r="N16" s="235"/>
      <c r="O16" s="244"/>
      <c r="P16" s="144"/>
      <c r="Q16" s="237"/>
      <c r="R16" s="226"/>
      <c r="S16" s="227"/>
      <c r="T16" s="222"/>
      <c r="U16" s="226"/>
      <c r="V16" s="227"/>
    </row>
    <row r="17" ht="27.7" customHeight="1">
      <c r="A17" t="s" s="238">
        <v>2401</v>
      </c>
      <c r="B17" t="s" s="61">
        <v>2402</v>
      </c>
      <c r="C17" t="s" s="6">
        <v>767</v>
      </c>
      <c r="D17" t="s" s="7">
        <v>468</v>
      </c>
      <c r="E17" s="224"/>
      <c r="F17" t="s" s="230">
        <v>2404</v>
      </c>
      <c r="G17" t="s" s="239">
        <v>2405</v>
      </c>
      <c r="H17" s="232"/>
      <c r="I17" t="s" s="233">
        <v>2420</v>
      </c>
      <c r="J17" s="8"/>
      <c r="K17" t="s" s="5">
        <v>13</v>
      </c>
      <c r="L17" t="s" s="5">
        <v>2404</v>
      </c>
      <c r="M17" s="234"/>
      <c r="N17" s="235"/>
      <c r="O17" s="244"/>
      <c r="P17" s="144"/>
      <c r="Q17" s="237"/>
      <c r="R17" s="226"/>
      <c r="S17" s="227"/>
      <c r="T17" s="222"/>
      <c r="U17" s="226"/>
      <c r="V17" s="227"/>
    </row>
    <row r="18" ht="27.7" customHeight="1">
      <c r="A18" t="s" s="238">
        <v>2401</v>
      </c>
      <c r="B18" t="s" s="61">
        <v>2402</v>
      </c>
      <c r="C18" t="s" s="6">
        <v>767</v>
      </c>
      <c r="D18" t="s" s="7">
        <v>468</v>
      </c>
      <c r="E18" s="224"/>
      <c r="F18" t="s" s="230">
        <v>2404</v>
      </c>
      <c r="G18" t="s" s="239">
        <v>2409</v>
      </c>
      <c r="H18" s="232"/>
      <c r="I18" t="s" s="233">
        <v>2421</v>
      </c>
      <c r="J18" s="8"/>
      <c r="K18" t="s" s="5">
        <v>13</v>
      </c>
      <c r="L18" t="s" s="5">
        <v>13</v>
      </c>
      <c r="M18" s="234"/>
      <c r="N18" s="235"/>
      <c r="O18" s="244"/>
      <c r="P18" s="144"/>
      <c r="Q18" s="237"/>
      <c r="R18" s="226"/>
      <c r="S18" s="227"/>
      <c r="T18" s="222"/>
      <c r="U18" s="226"/>
      <c r="V18" s="227"/>
    </row>
    <row r="19" ht="27.7" customHeight="1">
      <c r="A19" s="163"/>
      <c r="B19" t="s" s="61">
        <v>2402</v>
      </c>
      <c r="C19" t="s" s="6">
        <v>1370</v>
      </c>
      <c r="D19" s="92"/>
      <c r="E19" s="224"/>
      <c r="F19" t="s" s="230">
        <v>2404</v>
      </c>
      <c r="G19" t="s" s="239">
        <v>2409</v>
      </c>
      <c r="H19" s="232"/>
      <c r="I19" t="s" s="233">
        <v>2422</v>
      </c>
      <c r="J19" s="8"/>
      <c r="K19" s="123"/>
      <c r="L19" s="123"/>
      <c r="M19" s="234"/>
      <c r="N19" s="235"/>
      <c r="O19" s="244"/>
      <c r="P19" s="144"/>
      <c r="Q19" s="237"/>
      <c r="R19" s="226"/>
      <c r="S19" s="227"/>
      <c r="T19" s="222"/>
      <c r="U19" s="226"/>
      <c r="V19" s="227"/>
    </row>
    <row r="20" ht="27.7" customHeight="1">
      <c r="A20" s="163"/>
      <c r="B20" t="s" s="61">
        <v>2402</v>
      </c>
      <c r="C20" t="s" s="6">
        <v>1459</v>
      </c>
      <c r="D20" s="92"/>
      <c r="E20" s="224"/>
      <c r="F20" s="242"/>
      <c r="G20" s="243"/>
      <c r="H20" s="232"/>
      <c r="I20" t="s" s="233">
        <v>2423</v>
      </c>
      <c r="J20" s="8"/>
      <c r="K20" s="123"/>
      <c r="L20" s="123"/>
      <c r="M20" s="234"/>
      <c r="N20" s="235"/>
      <c r="O20" s="244"/>
      <c r="P20" s="144"/>
      <c r="Q20" s="237"/>
      <c r="R20" s="226"/>
      <c r="S20" s="227"/>
      <c r="T20" s="222"/>
      <c r="U20" s="226"/>
      <c r="V20" s="227"/>
    </row>
    <row r="21" ht="27.7" customHeight="1">
      <c r="A21" s="163"/>
      <c r="B21" t="s" s="61">
        <v>2402</v>
      </c>
      <c r="C21" t="s" s="6">
        <v>623</v>
      </c>
      <c r="D21" s="92"/>
      <c r="E21" s="224"/>
      <c r="F21" s="242"/>
      <c r="G21" s="243"/>
      <c r="H21" s="232"/>
      <c r="I21" t="s" s="233">
        <v>2424</v>
      </c>
      <c r="J21" s="8"/>
      <c r="K21" s="123"/>
      <c r="L21" s="123"/>
      <c r="M21" s="234"/>
      <c r="N21" s="235"/>
      <c r="O21" s="244"/>
      <c r="P21" s="144"/>
      <c r="Q21" s="237"/>
      <c r="R21" s="226"/>
      <c r="S21" s="227"/>
      <c r="T21" s="222"/>
      <c r="U21" s="226"/>
      <c r="V21" s="227"/>
    </row>
    <row r="22" ht="27.7" customHeight="1">
      <c r="A22" s="163"/>
      <c r="B22" s="245"/>
      <c r="C22" s="6"/>
      <c r="D22" s="92"/>
      <c r="E22" s="224"/>
      <c r="F22" s="242"/>
      <c r="G22" s="243"/>
      <c r="H22" s="232"/>
      <c r="I22" s="233"/>
      <c r="J22" s="8"/>
      <c r="K22" s="123"/>
      <c r="L22" s="123"/>
      <c r="M22" s="234"/>
      <c r="N22" s="235"/>
      <c r="O22" s="244"/>
      <c r="P22" s="144"/>
      <c r="Q22" s="237"/>
      <c r="R22" s="226"/>
      <c r="S22" s="227"/>
      <c r="T22" s="222"/>
      <c r="U22" s="226"/>
      <c r="V22" s="227"/>
    </row>
    <row r="23" ht="27.7" customHeight="1">
      <c r="A23" s="163"/>
      <c r="B23" s="245"/>
      <c r="C23" s="6"/>
      <c r="D23" s="92"/>
      <c r="E23" s="224"/>
      <c r="F23" s="242"/>
      <c r="G23" s="243"/>
      <c r="H23" s="232"/>
      <c r="I23" s="233"/>
      <c r="J23" s="8"/>
      <c r="K23" s="123"/>
      <c r="L23" s="123"/>
      <c r="M23" s="234"/>
      <c r="N23" s="235"/>
      <c r="O23" s="244"/>
      <c r="P23" s="144"/>
      <c r="Q23" s="237"/>
      <c r="R23" s="226"/>
      <c r="S23" s="227"/>
      <c r="T23" s="222"/>
      <c r="U23" s="226"/>
      <c r="V23" s="227"/>
    </row>
    <row r="24" ht="27.7" customHeight="1">
      <c r="A24" s="163"/>
      <c r="B24" s="245"/>
      <c r="C24" s="6"/>
      <c r="D24" s="92"/>
      <c r="E24" s="224"/>
      <c r="F24" s="242"/>
      <c r="G24" s="243"/>
      <c r="H24" s="232"/>
      <c r="I24" s="233"/>
      <c r="J24" s="8"/>
      <c r="K24" s="123"/>
      <c r="L24" s="123"/>
      <c r="M24" s="234"/>
      <c r="N24" s="235"/>
      <c r="O24" s="244"/>
      <c r="P24" s="144"/>
      <c r="Q24" s="237"/>
      <c r="R24" s="226"/>
      <c r="S24" s="227"/>
      <c r="T24" s="222"/>
      <c r="U24" s="226"/>
      <c r="V24" s="227"/>
    </row>
    <row r="25" ht="27.7" customHeight="1">
      <c r="A25" s="163"/>
      <c r="B25" s="245"/>
      <c r="C25" s="6"/>
      <c r="D25" s="92"/>
      <c r="E25" s="224"/>
      <c r="F25" s="242"/>
      <c r="G25" s="243"/>
      <c r="H25" s="232"/>
      <c r="I25" s="233"/>
      <c r="J25" s="8"/>
      <c r="K25" s="123"/>
      <c r="L25" s="123"/>
      <c r="M25" s="234"/>
      <c r="N25" s="235"/>
      <c r="O25" s="244"/>
      <c r="P25" s="144"/>
      <c r="Q25" s="237"/>
      <c r="R25" s="226"/>
      <c r="S25" s="227"/>
      <c r="T25" s="222"/>
      <c r="U25" s="226"/>
      <c r="V25" s="227"/>
    </row>
    <row r="26" ht="27.7" customHeight="1">
      <c r="A26" s="246"/>
      <c r="B26" s="245"/>
      <c r="C26" s="6"/>
      <c r="D26" s="92"/>
      <c r="E26" s="224"/>
      <c r="F26" s="242"/>
      <c r="G26" s="247"/>
      <c r="H26" s="232"/>
      <c r="I26" s="233"/>
      <c r="J26" s="8"/>
      <c r="K26" s="123"/>
      <c r="L26" s="123"/>
      <c r="M26" s="234"/>
      <c r="N26" s="235"/>
      <c r="O26" s="244"/>
      <c r="P26" s="248"/>
      <c r="Q26" s="237"/>
      <c r="R26" s="226"/>
      <c r="S26" s="227"/>
      <c r="T26" s="222"/>
      <c r="U26" s="226"/>
      <c r="V26" s="227"/>
    </row>
    <row r="27" ht="27.7" customHeight="1">
      <c r="A27" t="s" s="17">
        <v>2425</v>
      </c>
      <c r="B27" t="s" s="5">
        <v>420</v>
      </c>
      <c r="C27" t="s" s="6">
        <v>2426</v>
      </c>
      <c r="D27" t="s" s="7">
        <v>319</v>
      </c>
      <c r="E27" s="8"/>
      <c r="F27" t="s" s="5">
        <v>13</v>
      </c>
      <c r="G27" t="s" s="249">
        <v>2412</v>
      </c>
      <c r="H27" t="s" s="113">
        <v>2427</v>
      </c>
      <c r="I27" t="s" s="233">
        <v>2428</v>
      </c>
      <c r="J27" s="8"/>
      <c r="K27" t="s" s="5">
        <v>13</v>
      </c>
      <c r="L27" s="123"/>
      <c r="M27" s="222"/>
      <c r="N27" s="223"/>
      <c r="O27" s="224"/>
      <c r="P27" s="226"/>
      <c r="Q27" s="226"/>
      <c r="R27" s="226"/>
      <c r="S27" s="227"/>
      <c r="T27" s="222"/>
      <c r="U27" s="226"/>
      <c r="V27" s="227"/>
    </row>
    <row r="28" ht="27.7" customHeight="1">
      <c r="A28" s="32"/>
      <c r="B28" s="123"/>
      <c r="C28" s="6"/>
      <c r="D28" s="7"/>
      <c r="E28" s="8"/>
      <c r="F28" s="123"/>
      <c r="G28" s="250"/>
      <c r="H28" s="14"/>
      <c r="I28" s="10"/>
      <c r="J28" s="8"/>
      <c r="K28" s="32"/>
      <c r="L28" s="123"/>
      <c r="M28" s="222"/>
      <c r="N28" s="223"/>
      <c r="O28" t="s" s="229">
        <v>24</v>
      </c>
      <c r="P28" s="226"/>
      <c r="Q28" s="226"/>
      <c r="R28" s="226"/>
      <c r="S28" s="227"/>
      <c r="T28" s="222"/>
      <c r="U28" s="226"/>
      <c r="V28" s="227"/>
    </row>
    <row r="29" ht="27.7" customHeight="1">
      <c r="A29" t="s" s="30">
        <v>2401</v>
      </c>
      <c r="B29" t="s" s="5">
        <v>2397</v>
      </c>
      <c r="C29" t="s" s="6">
        <v>2429</v>
      </c>
      <c r="D29" s="92"/>
      <c r="E29" s="8"/>
      <c r="F29" t="s" s="5">
        <v>633</v>
      </c>
      <c r="G29" t="s" s="249">
        <v>2412</v>
      </c>
      <c r="H29" t="s" s="113">
        <v>2430</v>
      </c>
      <c r="I29" t="s" s="30">
        <v>2431</v>
      </c>
      <c r="J29" s="251"/>
      <c r="K29" t="s" s="174">
        <v>13</v>
      </c>
      <c r="L29" t="s" s="61">
        <v>633</v>
      </c>
      <c r="M29" s="241">
        <v>74.15000000000001</v>
      </c>
      <c r="N29" t="s" s="235">
        <v>2432</v>
      </c>
      <c r="O29" s="252">
        <v>3</v>
      </c>
      <c r="P29" s="226"/>
      <c r="Q29" s="226"/>
      <c r="R29" s="226"/>
      <c r="S29" s="227"/>
      <c r="T29" s="222"/>
      <c r="U29" s="226"/>
      <c r="V29" s="227"/>
    </row>
    <row r="30" ht="27.7" customHeight="1">
      <c r="A30" t="s" s="30">
        <v>2401</v>
      </c>
      <c r="B30" t="s" s="5">
        <v>2397</v>
      </c>
      <c r="C30" t="s" s="28">
        <v>2433</v>
      </c>
      <c r="D30" s="7"/>
      <c r="E30" s="8"/>
      <c r="F30" t="s" s="5">
        <v>633</v>
      </c>
      <c r="G30" t="s" s="249">
        <v>2409</v>
      </c>
      <c r="H30" s="14"/>
      <c r="I30" t="s" s="30">
        <v>2434</v>
      </c>
      <c r="J30" s="8"/>
      <c r="K30" t="s" s="253">
        <v>13</v>
      </c>
      <c r="L30" t="s" s="47">
        <v>633</v>
      </c>
      <c r="M30" s="254">
        <v>60.87</v>
      </c>
      <c r="N30" t="s" s="255">
        <v>2435</v>
      </c>
      <c r="O30" s="252">
        <v>6</v>
      </c>
      <c r="P30" s="226"/>
      <c r="Q30" s="226"/>
      <c r="R30" s="226"/>
      <c r="S30" s="227"/>
      <c r="T30" s="222"/>
      <c r="U30" s="226"/>
      <c r="V30" s="227"/>
    </row>
    <row r="31" ht="27.7" customHeight="1">
      <c r="A31" s="32"/>
      <c r="B31" s="123"/>
      <c r="C31" s="6"/>
      <c r="D31" s="7"/>
      <c r="E31" s="8"/>
      <c r="F31" s="123"/>
      <c r="G31" s="250"/>
      <c r="H31" s="14"/>
      <c r="I31" s="10"/>
      <c r="J31" s="8"/>
      <c r="K31" s="32"/>
      <c r="L31" s="123"/>
      <c r="M31" s="222"/>
      <c r="N31" s="223"/>
      <c r="O31" t="s" s="229">
        <v>24</v>
      </c>
      <c r="P31" s="226"/>
      <c r="Q31" s="226"/>
      <c r="R31" s="226"/>
      <c r="S31" s="227"/>
      <c r="T31" s="222"/>
      <c r="U31" s="226"/>
      <c r="V31" s="227"/>
    </row>
    <row r="32" ht="27.7" customHeight="1">
      <c r="A32" t="s" s="30">
        <v>2401</v>
      </c>
      <c r="B32" t="s" s="5">
        <v>2397</v>
      </c>
      <c r="C32" t="s" s="28">
        <v>2436</v>
      </c>
      <c r="D32" s="7"/>
      <c r="E32" s="8"/>
      <c r="F32" t="s" s="5">
        <v>88</v>
      </c>
      <c r="G32" t="s" s="249">
        <v>2409</v>
      </c>
      <c r="H32" s="14"/>
      <c r="I32" t="s" s="256">
        <v>2437</v>
      </c>
      <c r="J32" s="8"/>
      <c r="K32" s="32"/>
      <c r="L32" s="123"/>
      <c r="M32" s="222"/>
      <c r="N32" s="223"/>
      <c r="O32" s="224"/>
      <c r="P32" s="226"/>
      <c r="Q32" s="226"/>
      <c r="R32" s="226"/>
      <c r="S32" s="227"/>
      <c r="T32" s="222"/>
      <c r="U32" s="226"/>
      <c r="V32" s="227"/>
    </row>
    <row r="33" ht="27.7" customHeight="1">
      <c r="A33" s="32"/>
      <c r="B33" s="123"/>
      <c r="C33" s="6"/>
      <c r="D33" s="7"/>
      <c r="E33" s="8"/>
      <c r="F33" s="123"/>
      <c r="G33" s="250"/>
      <c r="H33" s="14"/>
      <c r="I33" s="10"/>
      <c r="J33" s="8"/>
      <c r="K33" s="32"/>
      <c r="L33" s="123"/>
      <c r="M33" s="222"/>
      <c r="N33" s="223"/>
      <c r="O33" t="s" s="229">
        <v>24</v>
      </c>
      <c r="P33" s="226"/>
      <c r="Q33" s="226"/>
      <c r="R33" s="226"/>
      <c r="S33" s="227"/>
      <c r="T33" s="222"/>
      <c r="U33" s="226"/>
      <c r="V33" s="227"/>
    </row>
    <row r="34" ht="27.7" customHeight="1">
      <c r="A34" t="s" s="257">
        <v>2401</v>
      </c>
      <c r="B34" t="s" s="61">
        <v>2397</v>
      </c>
      <c r="C34" t="s" s="6">
        <v>2429</v>
      </c>
      <c r="D34" s="92"/>
      <c r="E34" s="224"/>
      <c r="F34" t="s" s="230">
        <v>40</v>
      </c>
      <c r="G34" t="s" s="231">
        <v>2412</v>
      </c>
      <c r="H34" t="s" s="232">
        <v>2406</v>
      </c>
      <c r="I34" t="s" s="30">
        <v>2438</v>
      </c>
      <c r="J34" s="8"/>
      <c r="K34" t="s" s="5">
        <v>13</v>
      </c>
      <c r="L34" t="s" s="5">
        <v>40</v>
      </c>
      <c r="M34" s="241">
        <v>85.75</v>
      </c>
      <c r="N34" t="s" s="235">
        <v>2439</v>
      </c>
      <c r="O34" s="236">
        <v>3</v>
      </c>
      <c r="P34" s="258"/>
      <c r="Q34" s="237"/>
      <c r="R34" s="226"/>
      <c r="S34" s="227"/>
      <c r="T34" s="222"/>
      <c r="U34" s="226"/>
      <c r="V34" s="227"/>
    </row>
    <row r="35" ht="27.7" customHeight="1">
      <c r="A35" t="s" s="259">
        <v>2401</v>
      </c>
      <c r="B35" t="s" s="61">
        <v>2397</v>
      </c>
      <c r="C35" t="s" s="6">
        <v>2440</v>
      </c>
      <c r="D35" s="92"/>
      <c r="E35" s="224"/>
      <c r="F35" t="s" s="230">
        <v>40</v>
      </c>
      <c r="G35" t="s" s="239">
        <v>2412</v>
      </c>
      <c r="H35" s="232"/>
      <c r="I35" t="s" s="30">
        <v>2441</v>
      </c>
      <c r="J35" s="8"/>
      <c r="K35" t="s" s="5">
        <v>13</v>
      </c>
      <c r="L35" t="s" s="5">
        <v>40</v>
      </c>
      <c r="M35" s="241">
        <v>85.75</v>
      </c>
      <c r="N35" t="s" s="235">
        <v>2439</v>
      </c>
      <c r="O35" s="236">
        <v>4</v>
      </c>
      <c r="P35" s="137"/>
      <c r="Q35" s="237"/>
      <c r="R35" s="226"/>
      <c r="S35" s="227"/>
      <c r="T35" s="222"/>
      <c r="U35" s="226"/>
      <c r="V35" s="227"/>
    </row>
    <row r="36" ht="27.7" customHeight="1">
      <c r="A36" t="s" s="260">
        <v>2401</v>
      </c>
      <c r="B36" t="s" s="5">
        <v>2397</v>
      </c>
      <c r="C36" t="s" s="28">
        <v>2433</v>
      </c>
      <c r="D36" s="7"/>
      <c r="E36" s="8"/>
      <c r="F36" t="s" s="5">
        <v>40</v>
      </c>
      <c r="G36" t="s" s="261">
        <v>2409</v>
      </c>
      <c r="H36" s="14"/>
      <c r="I36" t="s" s="30">
        <v>2442</v>
      </c>
      <c r="J36" s="8"/>
      <c r="K36" t="s" s="5">
        <v>13</v>
      </c>
      <c r="L36" t="s" s="47">
        <v>40</v>
      </c>
      <c r="M36" s="254">
        <v>72.47</v>
      </c>
      <c r="N36" t="s" s="255">
        <v>2443</v>
      </c>
      <c r="O36" s="252">
        <v>6</v>
      </c>
      <c r="P36" s="262"/>
      <c r="Q36" s="226"/>
      <c r="R36" s="226"/>
      <c r="S36" s="227"/>
      <c r="T36" s="222"/>
      <c r="U36" s="226"/>
      <c r="V36" s="227"/>
    </row>
    <row r="37" ht="27.7" customHeight="1">
      <c r="A37" s="32"/>
      <c r="B37" t="s" s="5">
        <v>2397</v>
      </c>
      <c r="C37" t="s" s="28">
        <v>2444</v>
      </c>
      <c r="D37" s="7"/>
      <c r="E37" s="8"/>
      <c r="F37" t="s" s="5">
        <v>40</v>
      </c>
      <c r="G37" t="s" s="249">
        <v>2409</v>
      </c>
      <c r="H37" s="14"/>
      <c r="I37" t="s" s="30">
        <v>2445</v>
      </c>
      <c r="J37" s="8"/>
      <c r="K37" t="s" s="5">
        <v>13</v>
      </c>
      <c r="L37" t="s" s="249">
        <v>40</v>
      </c>
      <c r="M37" s="241">
        <v>72.47</v>
      </c>
      <c r="N37" t="s" s="255">
        <v>2443</v>
      </c>
      <c r="O37" s="252">
        <v>7</v>
      </c>
      <c r="P37" s="226"/>
      <c r="Q37" s="226"/>
      <c r="R37" s="226"/>
      <c r="S37" s="227"/>
      <c r="T37" s="222"/>
      <c r="U37" s="226"/>
      <c r="V37" s="227"/>
    </row>
    <row r="38" ht="27.7" customHeight="1">
      <c r="A38" s="32"/>
      <c r="B38" t="s" s="5">
        <v>2397</v>
      </c>
      <c r="C38" t="s" s="28">
        <v>2446</v>
      </c>
      <c r="D38" s="7"/>
      <c r="E38" s="8"/>
      <c r="F38" t="s" s="5">
        <v>40</v>
      </c>
      <c r="G38" t="s" s="249">
        <v>2409</v>
      </c>
      <c r="H38" s="14"/>
      <c r="I38" t="s" s="30">
        <v>2447</v>
      </c>
      <c r="J38" s="8"/>
      <c r="K38" t="s" s="5">
        <v>13</v>
      </c>
      <c r="L38" t="s" s="249">
        <v>40</v>
      </c>
      <c r="M38" s="241"/>
      <c r="N38" s="255"/>
      <c r="O38" s="224"/>
      <c r="P38" s="226"/>
      <c r="Q38" s="226"/>
      <c r="R38" s="226"/>
      <c r="S38" s="227"/>
      <c r="T38" s="222"/>
      <c r="U38" s="226"/>
      <c r="V38" s="227"/>
    </row>
    <row r="39" ht="27.7" customHeight="1">
      <c r="A39" s="32"/>
      <c r="B39" s="123"/>
      <c r="C39" s="28"/>
      <c r="D39" s="7"/>
      <c r="E39" s="8"/>
      <c r="F39" s="123"/>
      <c r="G39" s="250"/>
      <c r="H39" s="14"/>
      <c r="I39" s="30"/>
      <c r="J39" s="8"/>
      <c r="K39" s="123"/>
      <c r="L39" s="250"/>
      <c r="M39" s="241"/>
      <c r="N39" s="255"/>
      <c r="O39" s="224"/>
      <c r="P39" s="226"/>
      <c r="Q39" s="226"/>
      <c r="R39" s="226"/>
      <c r="S39" s="227"/>
      <c r="T39" s="222"/>
      <c r="U39" s="226"/>
      <c r="V39" s="227"/>
    </row>
    <row r="40" ht="27.7" customHeight="1">
      <c r="A40" s="32"/>
      <c r="B40" t="s" s="5">
        <v>2397</v>
      </c>
      <c r="C40" t="s" s="28">
        <v>2448</v>
      </c>
      <c r="D40" s="7"/>
      <c r="E40" s="8"/>
      <c r="F40" t="s" s="5">
        <v>40</v>
      </c>
      <c r="G40" t="s" s="249">
        <v>2409</v>
      </c>
      <c r="H40" s="14"/>
      <c r="I40" t="s" s="30">
        <v>2449</v>
      </c>
      <c r="J40" s="8"/>
      <c r="K40" s="123"/>
      <c r="L40" s="250"/>
      <c r="M40" s="241"/>
      <c r="N40" s="255"/>
      <c r="O40" s="224"/>
      <c r="P40" s="226"/>
      <c r="Q40" s="226"/>
      <c r="R40" s="226"/>
      <c r="S40" s="227"/>
      <c r="T40" s="222"/>
      <c r="U40" s="226"/>
      <c r="V40" s="227"/>
    </row>
    <row r="41" ht="27.7" customHeight="1">
      <c r="A41" t="s" s="17">
        <v>599</v>
      </c>
      <c r="B41" t="s" s="5">
        <v>2397</v>
      </c>
      <c r="C41" t="s" s="28">
        <v>150</v>
      </c>
      <c r="D41" s="7"/>
      <c r="E41" s="8"/>
      <c r="F41" t="s" s="5">
        <v>40</v>
      </c>
      <c r="G41" t="s" s="249">
        <v>2409</v>
      </c>
      <c r="H41" s="14"/>
      <c r="I41" s="30"/>
      <c r="J41" s="8"/>
      <c r="K41" s="123"/>
      <c r="L41" s="250"/>
      <c r="M41" s="241"/>
      <c r="N41" s="255"/>
      <c r="O41" s="224"/>
      <c r="P41" s="226"/>
      <c r="Q41" s="226"/>
      <c r="R41" s="226"/>
      <c r="S41" s="227"/>
      <c r="T41" s="222"/>
      <c r="U41" s="226"/>
      <c r="V41" s="227"/>
    </row>
    <row r="42" ht="27.7" customHeight="1">
      <c r="A42" s="32"/>
      <c r="B42" s="123"/>
      <c r="C42" s="6"/>
      <c r="D42" s="7"/>
      <c r="E42" s="8"/>
      <c r="F42" s="123"/>
      <c r="G42" s="250"/>
      <c r="H42" s="14"/>
      <c r="I42" s="10"/>
      <c r="J42" s="8"/>
      <c r="K42" s="32"/>
      <c r="L42" s="123"/>
      <c r="M42" s="222"/>
      <c r="N42" s="223"/>
      <c r="O42" t="s" s="229">
        <v>24</v>
      </c>
      <c r="P42" s="226"/>
      <c r="Q42" s="226"/>
      <c r="R42" s="226"/>
      <c r="S42" s="227"/>
      <c r="T42" s="222"/>
      <c r="U42" s="226"/>
      <c r="V42" s="227"/>
    </row>
    <row r="43" ht="27.7" customHeight="1">
      <c r="A43" t="s" s="30">
        <v>2401</v>
      </c>
      <c r="B43" t="s" s="5">
        <v>2397</v>
      </c>
      <c r="C43" t="s" s="6">
        <v>2450</v>
      </c>
      <c r="D43" t="s" s="7">
        <v>379</v>
      </c>
      <c r="E43" s="8">
        <v>45488</v>
      </c>
      <c r="F43" t="s" s="5">
        <v>47</v>
      </c>
      <c r="G43" t="s" s="249">
        <v>2412</v>
      </c>
      <c r="H43" s="14"/>
      <c r="I43" t="s" s="30">
        <v>2451</v>
      </c>
      <c r="J43" s="8"/>
      <c r="K43" t="s" s="5">
        <v>13</v>
      </c>
      <c r="L43" t="s" s="5">
        <v>47</v>
      </c>
      <c r="M43" s="263">
        <v>85.75</v>
      </c>
      <c r="N43" t="s" s="223">
        <v>2452</v>
      </c>
      <c r="O43" s="252">
        <v>4</v>
      </c>
      <c r="P43" s="226"/>
      <c r="Q43" s="226"/>
      <c r="R43" s="226"/>
      <c r="S43" s="227"/>
      <c r="T43" s="222"/>
      <c r="U43" s="226"/>
      <c r="V43" s="227"/>
    </row>
    <row r="44" ht="27.7" customHeight="1">
      <c r="A44" s="32"/>
      <c r="B44" t="s" s="5">
        <v>2397</v>
      </c>
      <c r="C44" t="s" s="28">
        <v>2433</v>
      </c>
      <c r="D44" s="7"/>
      <c r="E44" s="8"/>
      <c r="F44" t="s" s="5">
        <v>47</v>
      </c>
      <c r="G44" t="s" s="249">
        <v>2409</v>
      </c>
      <c r="H44" s="14"/>
      <c r="I44" t="s" s="30">
        <v>2453</v>
      </c>
      <c r="J44" s="8"/>
      <c r="K44" t="s" s="5">
        <v>13</v>
      </c>
      <c r="L44" t="s" s="47">
        <v>47</v>
      </c>
      <c r="M44" s="254">
        <v>72.47</v>
      </c>
      <c r="N44" t="s" s="255">
        <v>2443</v>
      </c>
      <c r="O44" s="252">
        <v>6</v>
      </c>
      <c r="P44" s="226"/>
      <c r="Q44" s="226"/>
      <c r="R44" s="226"/>
      <c r="S44" s="227"/>
      <c r="T44" s="222"/>
      <c r="U44" s="226"/>
      <c r="V44" s="227"/>
    </row>
    <row r="45" ht="27.7" customHeight="1">
      <c r="A45" t="s" s="30">
        <v>2401</v>
      </c>
      <c r="B45" t="s" s="5">
        <v>2397</v>
      </c>
      <c r="C45" t="s" s="28">
        <v>2454</v>
      </c>
      <c r="D45" s="7"/>
      <c r="E45" s="8"/>
      <c r="F45" t="s" s="5">
        <v>47</v>
      </c>
      <c r="G45" t="s" s="249">
        <v>2409</v>
      </c>
      <c r="H45" s="14"/>
      <c r="I45" t="s" s="30">
        <v>2455</v>
      </c>
      <c r="J45" s="8"/>
      <c r="K45" t="s" s="5">
        <v>13</v>
      </c>
      <c r="L45" t="s" s="47">
        <v>47</v>
      </c>
      <c r="M45" s="222">
        <v>72.47</v>
      </c>
      <c r="N45" t="s" s="255">
        <v>2443</v>
      </c>
      <c r="O45" s="224"/>
      <c r="P45" s="226"/>
      <c r="Q45" s="226"/>
      <c r="R45" s="226"/>
      <c r="S45" s="227"/>
      <c r="T45" s="222"/>
      <c r="U45" s="226"/>
      <c r="V45" s="227"/>
    </row>
    <row r="46" ht="27.7" customHeight="1">
      <c r="A46" t="s" s="17">
        <v>599</v>
      </c>
      <c r="B46" t="s" s="5">
        <v>2397</v>
      </c>
      <c r="C46" t="s" s="28">
        <v>2456</v>
      </c>
      <c r="D46" s="7"/>
      <c r="E46" s="8"/>
      <c r="F46" t="s" s="5">
        <v>47</v>
      </c>
      <c r="G46" t="s" s="249">
        <v>2409</v>
      </c>
      <c r="H46" s="14"/>
      <c r="I46" t="s" s="30">
        <v>2457</v>
      </c>
      <c r="J46" s="8"/>
      <c r="K46" s="32"/>
      <c r="L46" s="123"/>
      <c r="M46" s="222"/>
      <c r="N46" s="223"/>
      <c r="O46" s="224"/>
      <c r="P46" s="226"/>
      <c r="Q46" s="226"/>
      <c r="R46" s="226"/>
      <c r="S46" s="227"/>
      <c r="T46" s="222"/>
      <c r="U46" s="226"/>
      <c r="V46" s="227"/>
    </row>
    <row r="47" ht="27.7" customHeight="1">
      <c r="A47" s="32"/>
      <c r="B47" s="123"/>
      <c r="C47" s="6"/>
      <c r="D47" s="7"/>
      <c r="E47" s="8"/>
      <c r="F47" s="123"/>
      <c r="G47" s="250"/>
      <c r="H47" s="14"/>
      <c r="I47" s="10"/>
      <c r="J47" s="8"/>
      <c r="K47" s="32"/>
      <c r="L47" s="123"/>
      <c r="M47" s="222"/>
      <c r="N47" s="223"/>
      <c r="O47" t="s" s="229">
        <v>24</v>
      </c>
      <c r="P47" s="226"/>
      <c r="Q47" s="226"/>
      <c r="R47" s="226"/>
      <c r="S47" s="227"/>
      <c r="T47" s="222"/>
      <c r="U47" s="226"/>
      <c r="V47" s="227"/>
    </row>
    <row r="48" ht="27.7" customHeight="1">
      <c r="A48" t="s" s="21">
        <v>2401</v>
      </c>
      <c r="B48" t="s" s="5">
        <v>21</v>
      </c>
      <c r="C48" t="s" s="18">
        <v>1178</v>
      </c>
      <c r="D48" t="s" s="7">
        <v>117</v>
      </c>
      <c r="E48" s="8">
        <v>45429</v>
      </c>
      <c r="F48" t="s" s="5">
        <v>13</v>
      </c>
      <c r="G48" s="250"/>
      <c r="H48" t="s" s="113">
        <v>2458</v>
      </c>
      <c r="I48" s="10"/>
      <c r="J48" s="8">
        <v>45481</v>
      </c>
      <c r="K48" s="32"/>
      <c r="L48" s="123"/>
      <c r="M48" s="222"/>
      <c r="N48" t="s" s="235">
        <v>2459</v>
      </c>
      <c r="O48" t="s" s="229">
        <v>24</v>
      </c>
      <c r="P48" s="226"/>
      <c r="Q48" s="226"/>
      <c r="R48" s="226"/>
      <c r="S48" s="227"/>
      <c r="T48" s="222"/>
      <c r="U48" s="226"/>
      <c r="V48" s="227"/>
    </row>
    <row r="49" ht="27.7" customHeight="1">
      <c r="A49" t="s" s="96">
        <v>1112</v>
      </c>
      <c r="B49" t="s" s="5">
        <v>21</v>
      </c>
      <c r="C49" t="s" s="6">
        <v>1641</v>
      </c>
      <c r="D49" t="s" s="7">
        <v>72</v>
      </c>
      <c r="E49" s="8">
        <v>45429</v>
      </c>
      <c r="F49" t="s" s="5">
        <v>13</v>
      </c>
      <c r="G49" s="250"/>
      <c r="H49" s="14"/>
      <c r="I49" s="10"/>
      <c r="J49" s="8"/>
      <c r="K49" s="32"/>
      <c r="L49" s="123"/>
      <c r="M49" s="222"/>
      <c r="N49" t="s" s="264">
        <v>2460</v>
      </c>
      <c r="O49" t="s" s="229">
        <v>24</v>
      </c>
      <c r="P49" s="226"/>
      <c r="Q49" s="226"/>
      <c r="R49" s="226"/>
      <c r="S49" s="227"/>
      <c r="T49" s="222"/>
      <c r="U49" s="226"/>
      <c r="V49" s="227"/>
    </row>
    <row r="50" ht="27.7" customHeight="1">
      <c r="A50" t="s" s="21">
        <v>2401</v>
      </c>
      <c r="B50" t="s" s="5">
        <v>21</v>
      </c>
      <c r="C50" t="s" s="6">
        <v>150</v>
      </c>
      <c r="D50" t="s" s="7">
        <v>151</v>
      </c>
      <c r="E50" s="8">
        <v>45486</v>
      </c>
      <c r="F50" t="s" s="5">
        <v>13</v>
      </c>
      <c r="G50" t="s" s="249">
        <v>2461</v>
      </c>
      <c r="H50" t="s" s="113">
        <v>2462</v>
      </c>
      <c r="I50" t="s" s="21">
        <v>2463</v>
      </c>
      <c r="J50" s="8"/>
      <c r="K50" t="s" s="5">
        <v>13</v>
      </c>
      <c r="L50" t="s" s="5">
        <v>13</v>
      </c>
      <c r="M50" s="265">
        <v>31.13</v>
      </c>
      <c r="N50" t="s" s="139">
        <v>2464</v>
      </c>
      <c r="O50" s="266">
        <v>3</v>
      </c>
      <c r="P50" s="226"/>
      <c r="Q50" s="226"/>
      <c r="R50" s="226"/>
      <c r="S50" s="227"/>
      <c r="T50" s="222"/>
      <c r="U50" s="226"/>
      <c r="V50" s="227"/>
    </row>
    <row r="51" ht="27.7" customHeight="1">
      <c r="A51" t="s" s="21">
        <v>2401</v>
      </c>
      <c r="B51" t="s" s="5">
        <v>21</v>
      </c>
      <c r="C51" t="s" s="6">
        <v>353</v>
      </c>
      <c r="D51" t="s" s="7">
        <v>319</v>
      </c>
      <c r="E51" s="8">
        <v>45486</v>
      </c>
      <c r="F51" t="s" s="5">
        <v>13</v>
      </c>
      <c r="G51" s="250"/>
      <c r="H51" t="s" s="113">
        <v>2465</v>
      </c>
      <c r="I51" t="s" s="21">
        <v>2466</v>
      </c>
      <c r="J51" s="8"/>
      <c r="K51" t="s" s="5">
        <v>13</v>
      </c>
      <c r="L51" t="s" s="5">
        <v>13</v>
      </c>
      <c r="M51" s="254">
        <v>31.13</v>
      </c>
      <c r="N51" t="s" s="267">
        <v>2464</v>
      </c>
      <c r="O51" s="252">
        <v>4</v>
      </c>
      <c r="P51" s="226"/>
      <c r="Q51" s="226"/>
      <c r="R51" s="226"/>
      <c r="S51" s="227"/>
      <c r="T51" s="222"/>
      <c r="U51" s="226"/>
      <c r="V51" s="227"/>
    </row>
    <row r="52" ht="27.7" customHeight="1">
      <c r="A52" t="s" s="21">
        <v>2401</v>
      </c>
      <c r="B52" t="s" s="5">
        <v>21</v>
      </c>
      <c r="C52" t="s" s="18">
        <v>1975</v>
      </c>
      <c r="D52" t="s" s="7">
        <v>81</v>
      </c>
      <c r="E52" s="8">
        <v>45576</v>
      </c>
      <c r="F52" t="s" s="5">
        <v>13</v>
      </c>
      <c r="G52" t="s" s="249">
        <v>2467</v>
      </c>
      <c r="H52" t="s" s="113">
        <v>2468</v>
      </c>
      <c r="I52" t="s" s="21">
        <v>2469</v>
      </c>
      <c r="J52" s="8">
        <v>45607</v>
      </c>
      <c r="K52" t="s" s="5">
        <v>13</v>
      </c>
      <c r="L52" t="s" s="5">
        <v>13</v>
      </c>
      <c r="M52" s="254">
        <v>18.93</v>
      </c>
      <c r="N52" s="223"/>
      <c r="O52" s="252">
        <v>7</v>
      </c>
      <c r="P52" s="226"/>
      <c r="Q52" s="226"/>
      <c r="R52" s="226"/>
      <c r="S52" s="227"/>
      <c r="T52" s="222"/>
      <c r="U52" s="226"/>
      <c r="V52" s="227"/>
    </row>
    <row r="53" ht="27.7" customHeight="1">
      <c r="A53" t="s" s="17">
        <v>2470</v>
      </c>
      <c r="B53" t="s" s="5">
        <v>21</v>
      </c>
      <c r="C53" t="s" s="6">
        <v>193</v>
      </c>
      <c r="D53" t="s" s="7">
        <v>194</v>
      </c>
      <c r="E53" s="8">
        <v>45643</v>
      </c>
      <c r="F53" t="s" s="268">
        <v>13</v>
      </c>
      <c r="G53" t="s" s="269">
        <v>2461</v>
      </c>
      <c r="H53" t="s" s="14">
        <v>2471</v>
      </c>
      <c r="I53" t="s" s="65">
        <v>2472</v>
      </c>
      <c r="J53" s="8">
        <v>45672</v>
      </c>
      <c r="K53" s="32"/>
      <c r="L53" s="123"/>
      <c r="M53" s="222"/>
      <c r="N53" s="223"/>
      <c r="O53" s="224"/>
      <c r="P53" s="226"/>
      <c r="Q53" s="226"/>
      <c r="R53" s="226"/>
      <c r="S53" s="227"/>
      <c r="T53" s="222"/>
      <c r="U53" s="226"/>
      <c r="V53" s="227"/>
    </row>
    <row r="54" ht="27.7" customHeight="1">
      <c r="A54" t="s" s="21">
        <v>2401</v>
      </c>
      <c r="B54" t="s" s="5">
        <v>21</v>
      </c>
      <c r="C54" t="s" s="23">
        <v>193</v>
      </c>
      <c r="D54" t="s" s="7">
        <v>194</v>
      </c>
      <c r="E54" s="8">
        <v>45643</v>
      </c>
      <c r="F54" t="s" s="5">
        <v>13</v>
      </c>
      <c r="G54" t="s" s="249">
        <v>2467</v>
      </c>
      <c r="H54" t="s" s="113">
        <v>2473</v>
      </c>
      <c r="I54" s="10"/>
      <c r="J54" s="8"/>
      <c r="K54" s="32"/>
      <c r="L54" s="123"/>
      <c r="M54" s="222"/>
      <c r="N54" s="223"/>
      <c r="O54" s="224"/>
      <c r="P54" s="226"/>
      <c r="Q54" s="226"/>
      <c r="R54" s="226"/>
      <c r="S54" s="227"/>
      <c r="T54" s="222"/>
      <c r="U54" s="226"/>
      <c r="V54" s="227"/>
    </row>
    <row r="55" ht="27.7" customHeight="1">
      <c r="A55" t="s" s="21">
        <v>2401</v>
      </c>
      <c r="B55" t="s" s="5">
        <v>21</v>
      </c>
      <c r="C55" t="s" s="23">
        <v>847</v>
      </c>
      <c r="D55" t="s" s="7">
        <v>151</v>
      </c>
      <c r="E55" s="8">
        <v>45643</v>
      </c>
      <c r="F55" t="s" s="5">
        <v>13</v>
      </c>
      <c r="G55" t="s" s="249">
        <v>2467</v>
      </c>
      <c r="H55" t="s" s="113">
        <v>2474</v>
      </c>
      <c r="I55" t="s" s="21">
        <v>2475</v>
      </c>
      <c r="J55" s="8"/>
      <c r="K55" t="s" s="268">
        <v>13</v>
      </c>
      <c r="L55" s="123"/>
      <c r="M55" s="222"/>
      <c r="N55" s="223"/>
      <c r="O55" s="224"/>
      <c r="P55" s="226"/>
      <c r="Q55" s="226"/>
      <c r="R55" s="226"/>
      <c r="S55" s="227"/>
      <c r="T55" s="222"/>
      <c r="U55" s="226"/>
      <c r="V55" s="227"/>
    </row>
    <row r="56" ht="27.7" customHeight="1">
      <c r="A56" t="s" s="21">
        <v>2401</v>
      </c>
      <c r="B56" t="s" s="5">
        <v>21</v>
      </c>
      <c r="C56" t="s" s="23">
        <v>2476</v>
      </c>
      <c r="D56" t="s" s="7">
        <v>545</v>
      </c>
      <c r="E56" s="8">
        <v>45643</v>
      </c>
      <c r="F56" t="s" s="5">
        <v>13</v>
      </c>
      <c r="G56" t="s" s="249">
        <v>2467</v>
      </c>
      <c r="H56" t="s" s="113">
        <v>2477</v>
      </c>
      <c r="I56" t="s" s="21">
        <v>2478</v>
      </c>
      <c r="J56" s="8"/>
      <c r="K56" s="32"/>
      <c r="L56" s="123"/>
      <c r="M56" s="222"/>
      <c r="N56" s="223"/>
      <c r="O56" s="224"/>
      <c r="P56" s="226"/>
      <c r="Q56" s="226"/>
      <c r="R56" s="226"/>
      <c r="S56" s="227"/>
      <c r="T56" s="222"/>
      <c r="U56" s="226"/>
      <c r="V56" s="227"/>
    </row>
    <row r="57" ht="27.7" customHeight="1">
      <c r="A57" t="s" s="21">
        <v>2401</v>
      </c>
      <c r="B57" t="s" s="5">
        <v>21</v>
      </c>
      <c r="C57" t="s" s="23">
        <v>436</v>
      </c>
      <c r="D57" t="s" s="7">
        <v>15</v>
      </c>
      <c r="E57" s="8">
        <v>45646</v>
      </c>
      <c r="F57" t="s" s="5">
        <v>13</v>
      </c>
      <c r="G57" t="s" s="249">
        <v>2461</v>
      </c>
      <c r="H57" t="s" s="113">
        <v>2479</v>
      </c>
      <c r="I57" t="s" s="21">
        <v>2480</v>
      </c>
      <c r="J57" s="8"/>
      <c r="K57" s="32"/>
      <c r="L57" s="123"/>
      <c r="M57" s="222"/>
      <c r="N57" s="223"/>
      <c r="O57" s="224"/>
      <c r="P57" s="226"/>
      <c r="Q57" s="226"/>
      <c r="R57" s="226"/>
      <c r="S57" s="227"/>
      <c r="T57" s="222"/>
      <c r="U57" s="226"/>
      <c r="V57" s="227"/>
    </row>
    <row r="58" ht="27.7" customHeight="1">
      <c r="A58" t="s" s="21">
        <v>2401</v>
      </c>
      <c r="B58" t="s" s="5">
        <v>21</v>
      </c>
      <c r="C58" t="s" s="23">
        <v>1975</v>
      </c>
      <c r="D58" t="s" s="7">
        <v>81</v>
      </c>
      <c r="E58" s="8">
        <v>45684</v>
      </c>
      <c r="F58" t="s" s="5">
        <v>13</v>
      </c>
      <c r="G58" t="s" s="249">
        <v>2467</v>
      </c>
      <c r="H58" t="s" s="113">
        <v>2481</v>
      </c>
      <c r="I58" t="s" s="21">
        <v>2482</v>
      </c>
      <c r="J58" s="8">
        <v>45707</v>
      </c>
      <c r="K58" s="32"/>
      <c r="L58" s="123"/>
      <c r="M58" s="222"/>
      <c r="N58" s="223"/>
      <c r="O58" s="224"/>
      <c r="P58" s="226"/>
      <c r="Q58" s="226"/>
      <c r="R58" s="226"/>
      <c r="S58" s="227"/>
      <c r="T58" s="222"/>
      <c r="U58" s="226"/>
      <c r="V58" s="227"/>
    </row>
    <row r="59" ht="27.7" customHeight="1">
      <c r="A59" t="s" s="21">
        <v>2401</v>
      </c>
      <c r="B59" t="s" s="5">
        <v>21</v>
      </c>
      <c r="C59" t="s" s="23">
        <v>2483</v>
      </c>
      <c r="D59" t="s" s="7">
        <v>393</v>
      </c>
      <c r="E59" s="8">
        <v>45716</v>
      </c>
      <c r="F59" t="s" s="5">
        <v>13</v>
      </c>
      <c r="G59" t="s" s="249">
        <v>2467</v>
      </c>
      <c r="H59" t="s" s="113">
        <v>2484</v>
      </c>
      <c r="I59" t="s" s="21">
        <v>2485</v>
      </c>
      <c r="J59" s="8"/>
      <c r="K59" s="32"/>
      <c r="L59" s="123"/>
      <c r="M59" s="222"/>
      <c r="N59" s="223"/>
      <c r="O59" s="224"/>
      <c r="P59" s="226"/>
      <c r="Q59" s="226"/>
      <c r="R59" s="226"/>
      <c r="S59" s="227"/>
      <c r="T59" s="222"/>
      <c r="U59" s="226"/>
      <c r="V59" s="227"/>
    </row>
    <row r="60" ht="27.7" customHeight="1">
      <c r="A60" t="s" s="21">
        <v>2401</v>
      </c>
      <c r="B60" t="s" s="5">
        <v>21</v>
      </c>
      <c r="C60" t="s" s="23">
        <v>2133</v>
      </c>
      <c r="D60" t="s" s="7">
        <v>640</v>
      </c>
      <c r="E60" s="8">
        <v>45770</v>
      </c>
      <c r="F60" t="s" s="5">
        <v>13</v>
      </c>
      <c r="G60" t="s" s="249">
        <v>2467</v>
      </c>
      <c r="H60" t="s" s="113">
        <v>2486</v>
      </c>
      <c r="I60" t="s" s="256">
        <v>2487</v>
      </c>
      <c r="J60" s="8"/>
      <c r="K60" s="32"/>
      <c r="L60" s="123"/>
      <c r="M60" s="222"/>
      <c r="N60" s="223"/>
      <c r="O60" s="224"/>
      <c r="P60" s="226"/>
      <c r="Q60" s="226"/>
      <c r="R60" s="226"/>
      <c r="S60" s="227"/>
      <c r="T60" s="222"/>
      <c r="U60" s="226"/>
      <c r="V60" s="227"/>
    </row>
    <row r="61" ht="27.7" customHeight="1">
      <c r="A61" t="s" s="21">
        <v>2401</v>
      </c>
      <c r="B61" t="s" s="5">
        <v>21</v>
      </c>
      <c r="C61" t="s" s="23">
        <v>1851</v>
      </c>
      <c r="D61" t="s" s="7">
        <v>683</v>
      </c>
      <c r="E61" s="8">
        <v>45786</v>
      </c>
      <c r="F61" t="s" s="5">
        <v>13</v>
      </c>
      <c r="G61" t="s" s="249">
        <v>2461</v>
      </c>
      <c r="H61" t="s" s="14">
        <v>2488</v>
      </c>
      <c r="I61" t="s" s="270">
        <v>2489</v>
      </c>
      <c r="J61" s="8"/>
      <c r="K61" s="32"/>
      <c r="L61" s="123"/>
      <c r="M61" s="222"/>
      <c r="N61" s="223"/>
      <c r="O61" s="224"/>
      <c r="P61" s="226"/>
      <c r="Q61" s="226"/>
      <c r="R61" s="226"/>
      <c r="S61" s="227"/>
      <c r="T61" s="222"/>
      <c r="U61" s="226"/>
      <c r="V61" s="227"/>
    </row>
    <row r="62" ht="27.7" customHeight="1">
      <c r="A62" t="s" s="21">
        <v>2401</v>
      </c>
      <c r="B62" t="s" s="5">
        <v>21</v>
      </c>
      <c r="C62" t="s" s="23">
        <v>434</v>
      </c>
      <c r="D62" t="s" s="7">
        <v>15</v>
      </c>
      <c r="E62" s="8">
        <v>45919</v>
      </c>
      <c r="F62" t="s" s="5">
        <v>13</v>
      </c>
      <c r="G62" t="s" s="249">
        <v>2461</v>
      </c>
      <c r="H62" t="s" s="113">
        <v>2490</v>
      </c>
      <c r="I62" t="s" s="256">
        <v>2491</v>
      </c>
      <c r="J62" s="8"/>
      <c r="K62" s="32"/>
      <c r="L62" s="123"/>
      <c r="M62" s="222"/>
      <c r="N62" s="223"/>
      <c r="O62" t="s" s="229">
        <v>24</v>
      </c>
      <c r="P62" s="226"/>
      <c r="Q62" s="226"/>
      <c r="R62" s="226"/>
      <c r="S62" s="227"/>
      <c r="T62" s="222"/>
      <c r="U62" s="226"/>
      <c r="V62" s="227"/>
    </row>
    <row r="63" ht="27.7" customHeight="1">
      <c r="A63" t="s" s="21">
        <v>2492</v>
      </c>
      <c r="B63" t="s" s="5">
        <v>21</v>
      </c>
      <c r="C63" t="s" s="23">
        <v>1132</v>
      </c>
      <c r="D63" t="s" s="7">
        <v>683</v>
      </c>
      <c r="E63" s="8">
        <v>46065</v>
      </c>
      <c r="F63" t="s" s="5">
        <v>13</v>
      </c>
      <c r="G63" t="s" s="249">
        <v>2461</v>
      </c>
      <c r="H63" t="s" s="14">
        <v>2493</v>
      </c>
      <c r="I63" t="s" s="10">
        <v>2494</v>
      </c>
      <c r="J63" s="8"/>
      <c r="K63" s="32"/>
      <c r="L63" s="123"/>
      <c r="M63" s="222"/>
      <c r="N63" s="223"/>
      <c r="O63" s="224"/>
      <c r="P63" s="226"/>
      <c r="Q63" s="226"/>
      <c r="R63" s="226"/>
      <c r="S63" s="227"/>
      <c r="T63" s="222"/>
      <c r="U63" s="226"/>
      <c r="V63" s="227"/>
    </row>
    <row r="64" ht="27.7" customHeight="1">
      <c r="A64" t="s" s="21">
        <v>2492</v>
      </c>
      <c r="B64" t="s" s="5">
        <v>21</v>
      </c>
      <c r="C64" t="s" s="23">
        <v>1851</v>
      </c>
      <c r="D64" t="s" s="7">
        <v>683</v>
      </c>
      <c r="E64" s="8">
        <v>46065</v>
      </c>
      <c r="F64" t="s" s="5">
        <v>13</v>
      </c>
      <c r="G64" t="s" s="249">
        <v>2461</v>
      </c>
      <c r="H64" t="s" s="14">
        <v>2495</v>
      </c>
      <c r="I64" t="s" s="10">
        <v>2496</v>
      </c>
      <c r="J64" s="8"/>
      <c r="K64" s="32"/>
      <c r="L64" s="123"/>
      <c r="M64" s="222"/>
      <c r="N64" s="223"/>
      <c r="O64" s="224"/>
      <c r="P64" s="226"/>
      <c r="Q64" s="226"/>
      <c r="R64" s="226"/>
      <c r="S64" s="227"/>
      <c r="T64" s="222"/>
      <c r="U64" s="226"/>
      <c r="V64" s="227"/>
    </row>
    <row r="65" ht="27.7" customHeight="1">
      <c r="A65" t="s" s="47">
        <v>1112</v>
      </c>
      <c r="B65" t="s" s="5">
        <v>21</v>
      </c>
      <c r="C65" t="s" s="23">
        <v>1705</v>
      </c>
      <c r="D65" t="s" s="7">
        <v>545</v>
      </c>
      <c r="E65" s="8">
        <v>46046</v>
      </c>
      <c r="F65" t="s" s="5">
        <v>13</v>
      </c>
      <c r="G65" t="s" s="249">
        <v>2461</v>
      </c>
      <c r="H65" s="14"/>
      <c r="I65" s="10"/>
      <c r="J65" s="8"/>
      <c r="K65" s="32"/>
      <c r="L65" s="123"/>
      <c r="M65" s="222"/>
      <c r="N65" s="223"/>
      <c r="O65" s="224"/>
      <c r="P65" s="226"/>
      <c r="Q65" s="226"/>
      <c r="R65" s="226"/>
      <c r="S65" s="227"/>
      <c r="T65" s="222"/>
      <c r="U65" s="226"/>
      <c r="V65" s="227"/>
    </row>
    <row r="66" ht="27.7" customHeight="1">
      <c r="A66" t="s" s="47">
        <v>1112</v>
      </c>
      <c r="B66" t="s" s="5">
        <v>21</v>
      </c>
      <c r="C66" t="s" s="23">
        <v>1650</v>
      </c>
      <c r="D66" t="s" s="7">
        <v>1651</v>
      </c>
      <c r="E66" s="8">
        <v>46073</v>
      </c>
      <c r="F66" t="s" s="5">
        <v>13</v>
      </c>
      <c r="G66" t="s" s="249">
        <v>2461</v>
      </c>
      <c r="H66" s="14"/>
      <c r="I66" s="10"/>
      <c r="J66" s="8"/>
      <c r="K66" s="32"/>
      <c r="L66" s="123"/>
      <c r="M66" s="222"/>
      <c r="N66" s="223"/>
      <c r="O66" s="224"/>
      <c r="P66" s="226"/>
      <c r="Q66" s="226"/>
      <c r="R66" s="226"/>
      <c r="S66" s="227"/>
      <c r="T66" s="222"/>
      <c r="U66" s="226"/>
      <c r="V66" s="227"/>
    </row>
    <row r="67" ht="27.7" customHeight="1">
      <c r="A67" s="32"/>
      <c r="B67" s="123"/>
      <c r="C67" s="6"/>
      <c r="D67" s="7"/>
      <c r="E67" s="8"/>
      <c r="F67" s="123"/>
      <c r="G67" s="250"/>
      <c r="H67" s="14"/>
      <c r="I67" s="10"/>
      <c r="J67" s="8"/>
      <c r="K67" s="32"/>
      <c r="L67" s="123"/>
      <c r="M67" s="222"/>
      <c r="N67" s="223"/>
      <c r="O67" s="224"/>
      <c r="P67" s="226"/>
      <c r="Q67" s="226"/>
      <c r="R67" s="226"/>
      <c r="S67" s="227"/>
      <c r="T67" s="222"/>
      <c r="U67" s="226"/>
      <c r="V67" s="227"/>
    </row>
    <row r="68" ht="27.7" customHeight="1">
      <c r="A68" s="32"/>
      <c r="B68" s="123"/>
      <c r="C68" s="6"/>
      <c r="D68" s="7"/>
      <c r="E68" s="8"/>
      <c r="F68" s="123"/>
      <c r="G68" s="250"/>
      <c r="H68" s="14"/>
      <c r="I68" s="10"/>
      <c r="J68" s="8"/>
      <c r="K68" s="32"/>
      <c r="L68" s="123"/>
      <c r="M68" s="222"/>
      <c r="N68" s="223"/>
      <c r="O68" s="224"/>
      <c r="P68" s="226"/>
      <c r="Q68" s="226"/>
      <c r="R68" s="226"/>
      <c r="S68" s="227"/>
      <c r="T68" s="222"/>
      <c r="U68" s="226"/>
      <c r="V68" s="227"/>
    </row>
    <row r="69" ht="27.7" customHeight="1">
      <c r="A69" s="32"/>
      <c r="B69" s="123"/>
      <c r="C69" s="6"/>
      <c r="D69" s="7"/>
      <c r="E69" s="8"/>
      <c r="F69" s="123"/>
      <c r="G69" s="250"/>
      <c r="H69" s="14"/>
      <c r="I69" s="10"/>
      <c r="J69" s="8"/>
      <c r="K69" s="32"/>
      <c r="L69" s="123"/>
      <c r="M69" s="222"/>
      <c r="N69" s="223"/>
      <c r="O69" s="224"/>
      <c r="P69" s="226"/>
      <c r="Q69" s="226"/>
      <c r="R69" s="226"/>
      <c r="S69" s="227"/>
      <c r="T69" s="222"/>
      <c r="U69" s="226"/>
      <c r="V69" s="227"/>
    </row>
    <row r="70" ht="27.7" customHeight="1">
      <c r="A70" s="32"/>
      <c r="B70" s="123"/>
      <c r="C70" s="6"/>
      <c r="D70" s="7"/>
      <c r="E70" s="8"/>
      <c r="F70" s="123"/>
      <c r="G70" s="250"/>
      <c r="H70" s="14"/>
      <c r="I70" s="10"/>
      <c r="J70" s="8"/>
      <c r="K70" s="32"/>
      <c r="L70" s="123"/>
      <c r="M70" s="222"/>
      <c r="N70" s="223"/>
      <c r="O70" s="224"/>
      <c r="P70" s="226"/>
      <c r="Q70" s="226"/>
      <c r="R70" s="226"/>
      <c r="S70" s="227"/>
      <c r="T70" s="222"/>
      <c r="U70" s="226"/>
      <c r="V70" s="227"/>
    </row>
    <row r="71" ht="27.7" customHeight="1">
      <c r="A71" t="s" s="21">
        <v>2401</v>
      </c>
      <c r="B71" t="s" s="5">
        <v>29</v>
      </c>
      <c r="C71" t="s" s="23">
        <v>2497</v>
      </c>
      <c r="D71" t="s" s="7">
        <v>15</v>
      </c>
      <c r="E71" s="8">
        <v>45601</v>
      </c>
      <c r="F71" t="s" s="5">
        <v>13</v>
      </c>
      <c r="G71" t="s" s="249">
        <v>2461</v>
      </c>
      <c r="H71" t="s" s="113">
        <v>2498</v>
      </c>
      <c r="I71" t="s" s="21">
        <v>2499</v>
      </c>
      <c r="J71" s="8">
        <v>45614</v>
      </c>
      <c r="K71" t="s" s="5">
        <v>13</v>
      </c>
      <c r="L71" t="s" s="5">
        <v>13</v>
      </c>
      <c r="M71" s="254">
        <v>31.13</v>
      </c>
      <c r="N71" t="s" s="235">
        <v>2464</v>
      </c>
      <c r="O71" s="252">
        <v>7</v>
      </c>
      <c r="P71" s="226"/>
      <c r="Q71" s="226"/>
      <c r="R71" s="226"/>
      <c r="S71" s="227"/>
      <c r="T71" s="222"/>
      <c r="U71" s="226"/>
      <c r="V71" s="227"/>
    </row>
    <row r="72" ht="27.7" customHeight="1">
      <c r="A72" t="s" s="21">
        <v>2401</v>
      </c>
      <c r="B72" t="s" s="271">
        <v>29</v>
      </c>
      <c r="C72" t="s" s="23">
        <v>913</v>
      </c>
      <c r="D72" t="s" s="7">
        <v>914</v>
      </c>
      <c r="E72" s="8">
        <v>45793</v>
      </c>
      <c r="F72" t="s" s="5">
        <v>13</v>
      </c>
      <c r="G72" t="s" s="249">
        <v>2467</v>
      </c>
      <c r="H72" t="s" s="113">
        <v>2500</v>
      </c>
      <c r="I72" t="s" s="21">
        <v>2501</v>
      </c>
      <c r="J72" s="8"/>
      <c r="K72" t="s" s="5">
        <v>13</v>
      </c>
      <c r="L72" t="s" s="5">
        <v>13</v>
      </c>
      <c r="M72" s="254"/>
      <c r="N72" s="235"/>
      <c r="O72" s="224"/>
      <c r="P72" s="226"/>
      <c r="Q72" s="226"/>
      <c r="R72" s="226"/>
      <c r="S72" s="227"/>
      <c r="T72" s="222"/>
      <c r="U72" s="226"/>
      <c r="V72" s="227"/>
    </row>
    <row r="73" ht="27.7" customHeight="1">
      <c r="A73" t="s" s="106">
        <v>2401</v>
      </c>
      <c r="B73" t="s" s="131">
        <v>349</v>
      </c>
      <c r="C73" t="s" s="108">
        <v>1459</v>
      </c>
      <c r="D73" t="s" s="7">
        <v>1460</v>
      </c>
      <c r="E73" s="8">
        <v>45946</v>
      </c>
      <c r="F73" t="s" s="5">
        <v>13</v>
      </c>
      <c r="G73" t="s" s="249">
        <v>2502</v>
      </c>
      <c r="H73" s="14"/>
      <c r="I73" t="s" s="256">
        <v>2503</v>
      </c>
      <c r="J73" s="8"/>
      <c r="K73" t="s" s="17">
        <v>2404</v>
      </c>
      <c r="L73" s="123"/>
      <c r="M73" s="222"/>
      <c r="N73" s="223"/>
      <c r="O73" s="224"/>
      <c r="P73" s="226"/>
      <c r="Q73" s="226"/>
      <c r="R73" s="226"/>
      <c r="S73" s="227"/>
      <c r="T73" s="222"/>
      <c r="U73" s="226"/>
      <c r="V73" s="227"/>
    </row>
    <row r="74" ht="27.7" customHeight="1">
      <c r="A74" s="32"/>
      <c r="B74" s="272"/>
      <c r="C74" s="6"/>
      <c r="D74" s="7"/>
      <c r="E74" s="8"/>
      <c r="F74" s="123"/>
      <c r="G74" s="250"/>
      <c r="H74" s="14"/>
      <c r="I74" s="10"/>
      <c r="J74" s="8"/>
      <c r="K74" s="32"/>
      <c r="L74" s="123"/>
      <c r="M74" s="222"/>
      <c r="N74" s="223"/>
      <c r="O74" t="s" s="229">
        <v>24</v>
      </c>
      <c r="P74" s="226"/>
      <c r="Q74" s="226"/>
      <c r="R74" s="226"/>
      <c r="S74" s="227"/>
      <c r="T74" s="222"/>
      <c r="U74" s="226"/>
      <c r="V74" s="227"/>
    </row>
    <row r="75" ht="27.7" customHeight="1">
      <c r="A75" t="s" s="21">
        <v>2401</v>
      </c>
      <c r="B75" t="s" s="5">
        <v>349</v>
      </c>
      <c r="C75" t="s" s="118">
        <v>1459</v>
      </c>
      <c r="D75" t="s" s="7">
        <v>1460</v>
      </c>
      <c r="E75" s="8">
        <v>45946</v>
      </c>
      <c r="F75" t="s" s="5">
        <v>13</v>
      </c>
      <c r="G75" t="s" s="249">
        <v>2502</v>
      </c>
      <c r="H75" s="14"/>
      <c r="I75" s="10"/>
      <c r="J75" s="8"/>
      <c r="K75" t="s" s="17">
        <v>2404</v>
      </c>
      <c r="L75" s="123"/>
      <c r="M75" s="222"/>
      <c r="N75" s="223"/>
      <c r="O75" t="s" s="229">
        <v>24</v>
      </c>
      <c r="P75" s="226"/>
      <c r="Q75" s="226"/>
      <c r="R75" s="226"/>
      <c r="S75" s="227"/>
      <c r="T75" s="222"/>
      <c r="U75" s="226"/>
      <c r="V75" s="227"/>
    </row>
    <row r="76" ht="27.7" customHeight="1">
      <c r="A76" s="32"/>
      <c r="B76" s="123"/>
      <c r="C76" s="6"/>
      <c r="D76" s="7"/>
      <c r="E76" s="8"/>
      <c r="F76" s="123"/>
      <c r="G76" s="250"/>
      <c r="H76" s="14"/>
      <c r="I76" s="10"/>
      <c r="J76" s="8"/>
      <c r="K76" s="32"/>
      <c r="L76" s="123"/>
      <c r="M76" s="222"/>
      <c r="N76" s="223"/>
      <c r="O76" s="224"/>
      <c r="P76" s="226"/>
      <c r="Q76" s="226"/>
      <c r="R76" s="226"/>
      <c r="S76" s="227"/>
      <c r="T76" s="222"/>
      <c r="U76" s="226"/>
      <c r="V76" s="227"/>
    </row>
    <row r="77" ht="27.7" customHeight="1">
      <c r="A77" t="s" s="17">
        <v>2470</v>
      </c>
      <c r="B77" t="s" s="5">
        <v>633</v>
      </c>
      <c r="C77" t="s" s="6">
        <v>2504</v>
      </c>
      <c r="D77" t="s" s="7">
        <v>206</v>
      </c>
      <c r="E77" s="8">
        <v>45607</v>
      </c>
      <c r="F77" t="s" s="268">
        <v>13</v>
      </c>
      <c r="G77" t="s" s="269">
        <v>2461</v>
      </c>
      <c r="H77" t="s" s="14">
        <v>2505</v>
      </c>
      <c r="I77" t="s" s="14">
        <v>2506</v>
      </c>
      <c r="J77" s="8"/>
      <c r="K77" s="32"/>
      <c r="L77" s="123"/>
      <c r="M77" s="222"/>
      <c r="N77" s="223"/>
      <c r="O77" t="s" s="229">
        <v>24</v>
      </c>
      <c r="P77" s="226"/>
      <c r="Q77" s="226"/>
      <c r="R77" s="226"/>
      <c r="S77" s="227"/>
      <c r="T77" s="222"/>
      <c r="U77" s="226"/>
      <c r="V77" s="227"/>
    </row>
    <row r="78" ht="27.7" customHeight="1">
      <c r="A78" t="s" s="30">
        <v>2401</v>
      </c>
      <c r="B78" t="s" s="5">
        <v>633</v>
      </c>
      <c r="C78" t="s" s="28">
        <v>1887</v>
      </c>
      <c r="D78" t="s" s="7">
        <v>683</v>
      </c>
      <c r="E78" s="8">
        <v>45786</v>
      </c>
      <c r="F78" t="s" s="5">
        <v>633</v>
      </c>
      <c r="G78" t="s" s="249">
        <v>2461</v>
      </c>
      <c r="H78" t="s" s="113">
        <v>2507</v>
      </c>
      <c r="I78" t="s" s="30">
        <v>2508</v>
      </c>
      <c r="J78" s="8"/>
      <c r="K78" s="32"/>
      <c r="L78" s="123"/>
      <c r="M78" s="222"/>
      <c r="N78" s="223"/>
      <c r="O78" s="224"/>
      <c r="P78" s="226"/>
      <c r="Q78" s="226"/>
      <c r="R78" s="226"/>
      <c r="S78" s="227"/>
      <c r="T78" s="222"/>
      <c r="U78" s="226"/>
      <c r="V78" s="227"/>
    </row>
    <row r="79" ht="27.7" customHeight="1">
      <c r="A79" t="s" s="17">
        <v>2470</v>
      </c>
      <c r="B79" t="s" s="5">
        <v>633</v>
      </c>
      <c r="C79" t="s" s="6">
        <v>1887</v>
      </c>
      <c r="D79" t="s" s="7">
        <v>683</v>
      </c>
      <c r="E79" s="8">
        <v>45845</v>
      </c>
      <c r="F79" t="s" s="268">
        <v>633</v>
      </c>
      <c r="G79" t="s" s="269">
        <v>2461</v>
      </c>
      <c r="H79" t="s" s="14">
        <v>2509</v>
      </c>
      <c r="I79" t="s" s="14">
        <v>2510</v>
      </c>
      <c r="J79" s="8"/>
      <c r="K79" s="32"/>
      <c r="L79" s="123"/>
      <c r="M79" s="222"/>
      <c r="N79" s="223"/>
      <c r="O79" s="224"/>
      <c r="P79" s="226"/>
      <c r="Q79" s="226"/>
      <c r="R79" s="226"/>
      <c r="S79" s="227"/>
      <c r="T79" s="222"/>
      <c r="U79" s="226"/>
      <c r="V79" s="227"/>
    </row>
    <row r="80" ht="27.7" customHeight="1">
      <c r="A80" t="s" s="17">
        <v>2425</v>
      </c>
      <c r="B80" t="s" s="5">
        <v>633</v>
      </c>
      <c r="C80" t="s" s="116">
        <v>1079</v>
      </c>
      <c r="D80" t="s" s="7">
        <v>15</v>
      </c>
      <c r="E80" s="8">
        <v>46064</v>
      </c>
      <c r="F80" t="s" s="5">
        <v>13</v>
      </c>
      <c r="G80" t="s" s="269">
        <v>2461</v>
      </c>
      <c r="H80" t="s" s="14">
        <v>2511</v>
      </c>
      <c r="I80" t="s" s="14">
        <v>2512</v>
      </c>
      <c r="J80" s="8"/>
      <c r="K80" s="32"/>
      <c r="L80" s="123"/>
      <c r="M80" s="222"/>
      <c r="N80" s="223"/>
      <c r="O80" s="224"/>
      <c r="P80" s="226"/>
      <c r="Q80" s="226"/>
      <c r="R80" s="226"/>
      <c r="S80" s="227"/>
      <c r="T80" s="222"/>
      <c r="U80" s="226"/>
      <c r="V80" s="227"/>
    </row>
    <row r="81" ht="27.7" customHeight="1">
      <c r="A81" t="s" s="21">
        <v>2492</v>
      </c>
      <c r="B81" t="s" s="5">
        <v>633</v>
      </c>
      <c r="C81" t="s" s="23">
        <v>1079</v>
      </c>
      <c r="D81" t="s" s="7">
        <v>15</v>
      </c>
      <c r="E81" s="8">
        <v>46064</v>
      </c>
      <c r="F81" t="s" s="5">
        <v>13</v>
      </c>
      <c r="G81" t="s" s="269">
        <v>2461</v>
      </c>
      <c r="H81" t="s" s="14">
        <v>2513</v>
      </c>
      <c r="I81" t="s" s="14">
        <v>2514</v>
      </c>
      <c r="J81" s="8"/>
      <c r="K81" s="32"/>
      <c r="L81" s="123"/>
      <c r="M81" s="222"/>
      <c r="N81" s="223"/>
      <c r="O81" s="224"/>
      <c r="P81" s="226"/>
      <c r="Q81" s="226"/>
      <c r="R81" s="226"/>
      <c r="S81" s="227"/>
      <c r="T81" s="222"/>
      <c r="U81" s="226"/>
      <c r="V81" s="227"/>
    </row>
    <row r="82" ht="27.7" customHeight="1">
      <c r="A82" t="s" s="21">
        <v>2492</v>
      </c>
      <c r="B82" t="s" s="5">
        <v>633</v>
      </c>
      <c r="C82" t="s" s="23">
        <v>1535</v>
      </c>
      <c r="D82" t="s" s="7">
        <v>1533</v>
      </c>
      <c r="E82" s="8">
        <v>46064</v>
      </c>
      <c r="F82" t="s" s="5">
        <v>13</v>
      </c>
      <c r="G82" t="s" s="269">
        <v>2461</v>
      </c>
      <c r="H82" t="s" s="14">
        <v>2515</v>
      </c>
      <c r="I82" t="s" s="14">
        <v>2516</v>
      </c>
      <c r="J82" s="8"/>
      <c r="K82" s="32"/>
      <c r="L82" s="123"/>
      <c r="M82" s="222"/>
      <c r="N82" s="223"/>
      <c r="O82" s="224"/>
      <c r="P82" s="226"/>
      <c r="Q82" s="226"/>
      <c r="R82" s="226"/>
      <c r="S82" s="227"/>
      <c r="T82" s="222"/>
      <c r="U82" s="226"/>
      <c r="V82" s="227"/>
    </row>
    <row r="83" ht="27.7" customHeight="1">
      <c r="A83" s="32"/>
      <c r="B83" t="s" s="5">
        <v>633</v>
      </c>
      <c r="C83" t="s" s="23">
        <v>791</v>
      </c>
      <c r="D83" t="s" s="7">
        <v>390</v>
      </c>
      <c r="E83" s="8">
        <v>46064</v>
      </c>
      <c r="F83" s="220"/>
      <c r="G83" s="221"/>
      <c r="H83" s="14"/>
      <c r="I83" s="14"/>
      <c r="J83" s="8"/>
      <c r="K83" s="32"/>
      <c r="L83" s="123"/>
      <c r="M83" s="222"/>
      <c r="N83" s="223"/>
      <c r="O83" s="224"/>
      <c r="P83" s="226"/>
      <c r="Q83" s="226"/>
      <c r="R83" s="226"/>
      <c r="S83" s="227"/>
      <c r="T83" s="222"/>
      <c r="U83" s="226"/>
      <c r="V83" s="227"/>
    </row>
    <row r="84" ht="27.7" customHeight="1">
      <c r="A84" s="32"/>
      <c r="B84" s="123"/>
      <c r="C84" s="6"/>
      <c r="D84" s="7"/>
      <c r="E84" s="8"/>
      <c r="F84" s="220"/>
      <c r="G84" s="221"/>
      <c r="H84" s="14"/>
      <c r="I84" s="14"/>
      <c r="J84" s="8"/>
      <c r="K84" s="32"/>
      <c r="L84" s="123"/>
      <c r="M84" s="222"/>
      <c r="N84" s="264"/>
      <c r="O84" s="224"/>
      <c r="P84" s="226"/>
      <c r="Q84" s="226"/>
      <c r="R84" s="226"/>
      <c r="S84" s="227"/>
      <c r="T84" s="222"/>
      <c r="U84" s="226"/>
      <c r="V84" s="227"/>
    </row>
    <row r="85" ht="27.7" customHeight="1">
      <c r="A85" t="s" s="21">
        <v>2401</v>
      </c>
      <c r="B85" t="s" s="5">
        <v>79</v>
      </c>
      <c r="C85" t="s" s="6">
        <v>1811</v>
      </c>
      <c r="D85" t="s" s="7">
        <v>468</v>
      </c>
      <c r="E85" s="8">
        <v>45476</v>
      </c>
      <c r="F85" t="s" s="5">
        <v>79</v>
      </c>
      <c r="G85" t="s" s="249">
        <v>2461</v>
      </c>
      <c r="H85" t="s" s="113">
        <v>2517</v>
      </c>
      <c r="I85" t="s" s="270">
        <v>2518</v>
      </c>
      <c r="J85" s="8"/>
      <c r="K85" t="s" s="5">
        <v>13</v>
      </c>
      <c r="L85" t="s" s="5">
        <v>13</v>
      </c>
      <c r="M85" s="265">
        <v>32.7</v>
      </c>
      <c r="N85" t="s" s="139">
        <v>2519</v>
      </c>
      <c r="O85" s="266">
        <v>3</v>
      </c>
      <c r="P85" s="226"/>
      <c r="Q85" s="226"/>
      <c r="R85" s="226"/>
      <c r="S85" s="227"/>
      <c r="T85" s="222"/>
      <c r="U85" s="226"/>
      <c r="V85" s="227"/>
    </row>
    <row r="86" ht="27.7" customHeight="1">
      <c r="A86" t="s" s="21">
        <v>2401</v>
      </c>
      <c r="B86" t="s" s="5">
        <v>79</v>
      </c>
      <c r="C86" t="s" s="23">
        <v>2520</v>
      </c>
      <c r="D86" t="s" s="7">
        <v>319</v>
      </c>
      <c r="E86" s="8">
        <v>45603</v>
      </c>
      <c r="F86" t="s" s="5">
        <v>13</v>
      </c>
      <c r="G86" t="s" s="249">
        <v>2461</v>
      </c>
      <c r="H86" t="s" s="113">
        <v>2521</v>
      </c>
      <c r="I86" t="s" s="21">
        <v>2522</v>
      </c>
      <c r="J86" s="8"/>
      <c r="K86" s="32"/>
      <c r="L86" s="123"/>
      <c r="M86" s="222"/>
      <c r="N86" s="273"/>
      <c r="O86" t="s" s="229">
        <v>24</v>
      </c>
      <c r="P86" s="226"/>
      <c r="Q86" s="226"/>
      <c r="R86" s="226"/>
      <c r="S86" s="227"/>
      <c r="T86" s="222"/>
      <c r="U86" s="226"/>
      <c r="V86" s="227"/>
    </row>
    <row r="87" ht="27.7" customHeight="1">
      <c r="A87" t="s" s="21">
        <v>2401</v>
      </c>
      <c r="B87" t="s" s="5">
        <v>79</v>
      </c>
      <c r="C87" t="s" s="23">
        <v>1016</v>
      </c>
      <c r="D87" t="s" s="7">
        <v>1017</v>
      </c>
      <c r="E87" s="8">
        <v>42056</v>
      </c>
      <c r="F87" t="s" s="5">
        <v>13</v>
      </c>
      <c r="G87" s="250"/>
      <c r="H87" t="s" s="113">
        <v>2523</v>
      </c>
      <c r="I87" t="s" s="21">
        <v>2524</v>
      </c>
      <c r="J87" s="8"/>
      <c r="K87" s="32"/>
      <c r="L87" s="123"/>
      <c r="M87" s="222"/>
      <c r="N87" s="223"/>
      <c r="O87" s="224"/>
      <c r="P87" s="226"/>
      <c r="Q87" s="226"/>
      <c r="R87" s="226"/>
      <c r="S87" s="227"/>
      <c r="T87" s="222"/>
      <c r="U87" s="226"/>
      <c r="V87" s="227"/>
    </row>
    <row r="88" ht="27.7" customHeight="1">
      <c r="A88" t="s" s="21">
        <v>2401</v>
      </c>
      <c r="B88" t="s" s="5">
        <v>79</v>
      </c>
      <c r="C88" t="s" s="23">
        <v>464</v>
      </c>
      <c r="D88" t="s" s="7">
        <v>465</v>
      </c>
      <c r="E88" s="8">
        <v>45855</v>
      </c>
      <c r="F88" t="s" s="5">
        <v>13</v>
      </c>
      <c r="G88" t="s" s="249">
        <v>2461</v>
      </c>
      <c r="H88" t="s" s="113">
        <v>2525</v>
      </c>
      <c r="I88" t="s" s="21">
        <v>2526</v>
      </c>
      <c r="J88" s="8"/>
      <c r="K88" s="32"/>
      <c r="L88" s="123"/>
      <c r="M88" s="222"/>
      <c r="N88" s="223"/>
      <c r="O88" s="224"/>
      <c r="P88" s="226"/>
      <c r="Q88" s="226"/>
      <c r="R88" s="226"/>
      <c r="S88" s="227"/>
      <c r="T88" s="222"/>
      <c r="U88" s="226"/>
      <c r="V88" s="227"/>
    </row>
    <row r="89" ht="27.7" customHeight="1">
      <c r="A89" t="s" s="21">
        <v>2492</v>
      </c>
      <c r="B89" t="s" s="5">
        <v>79</v>
      </c>
      <c r="C89" t="s" s="23">
        <v>356</v>
      </c>
      <c r="D89" t="s" s="7">
        <v>319</v>
      </c>
      <c r="E89" s="8">
        <v>46157</v>
      </c>
      <c r="F89" t="s" s="5">
        <v>13</v>
      </c>
      <c r="G89" t="s" s="249">
        <v>2461</v>
      </c>
      <c r="H89" t="s" s="14">
        <v>2527</v>
      </c>
      <c r="I89" t="s" s="14">
        <v>2528</v>
      </c>
      <c r="J89" s="8"/>
      <c r="K89" s="32"/>
      <c r="L89" s="123"/>
      <c r="M89" s="222"/>
      <c r="N89" s="223"/>
      <c r="O89" s="224"/>
      <c r="P89" s="226"/>
      <c r="Q89" s="226"/>
      <c r="R89" s="226"/>
      <c r="S89" s="227"/>
      <c r="T89" s="222"/>
      <c r="U89" s="226"/>
      <c r="V89" s="227"/>
    </row>
    <row r="90" ht="27.7" customHeight="1">
      <c r="A90" s="32"/>
      <c r="B90" s="123"/>
      <c r="C90" s="6"/>
      <c r="D90" s="7"/>
      <c r="E90" s="8"/>
      <c r="F90" s="220"/>
      <c r="G90" s="221"/>
      <c r="H90" s="14"/>
      <c r="I90" s="14"/>
      <c r="J90" s="8"/>
      <c r="K90" s="32"/>
      <c r="L90" s="123"/>
      <c r="M90" s="222"/>
      <c r="N90" s="223"/>
      <c r="O90" s="224"/>
      <c r="P90" s="226"/>
      <c r="Q90" s="226"/>
      <c r="R90" s="226"/>
      <c r="S90" s="227"/>
      <c r="T90" s="222"/>
      <c r="U90" s="226"/>
      <c r="V90" s="227"/>
    </row>
    <row r="91" ht="27.7" customHeight="1">
      <c r="A91" t="s" s="274">
        <v>2401</v>
      </c>
      <c r="B91" t="s" s="5">
        <v>30</v>
      </c>
      <c r="C91" t="s" s="18">
        <v>2133</v>
      </c>
      <c r="D91" t="s" s="7">
        <v>640</v>
      </c>
      <c r="E91" s="8">
        <v>45411</v>
      </c>
      <c r="F91" t="s" s="5">
        <v>13</v>
      </c>
      <c r="G91" t="s" s="275">
        <v>2467</v>
      </c>
      <c r="H91" t="s" s="276">
        <v>2529</v>
      </c>
      <c r="I91" t="s" s="277">
        <v>2530</v>
      </c>
      <c r="J91" s="278"/>
      <c r="K91" t="s" s="174">
        <v>13</v>
      </c>
      <c r="L91" t="s" s="107">
        <v>13</v>
      </c>
      <c r="M91" s="279">
        <v>18.93</v>
      </c>
      <c r="N91" s="280"/>
      <c r="O91" s="252">
        <v>1</v>
      </c>
      <c r="P91" s="226"/>
      <c r="Q91" s="226"/>
      <c r="R91" s="225"/>
      <c r="S91" s="227"/>
      <c r="T91" s="222"/>
      <c r="U91" s="226"/>
      <c r="V91" s="227"/>
    </row>
    <row r="92" ht="27.7" customHeight="1">
      <c r="A92" t="s" s="281">
        <v>2401</v>
      </c>
      <c r="B92" t="s" s="61">
        <v>30</v>
      </c>
      <c r="C92" t="s" s="18">
        <v>2531</v>
      </c>
      <c r="D92" t="s" s="7">
        <v>390</v>
      </c>
      <c r="E92" s="8">
        <v>45443</v>
      </c>
      <c r="F92" t="s" s="230">
        <v>13</v>
      </c>
      <c r="G92" t="s" s="282">
        <v>2461</v>
      </c>
      <c r="H92" t="s" s="283">
        <v>2532</v>
      </c>
      <c r="I92" t="s" s="284">
        <v>2533</v>
      </c>
      <c r="J92" s="285">
        <v>45461</v>
      </c>
      <c r="K92" t="s" s="253">
        <v>13</v>
      </c>
      <c r="L92" t="s" s="230">
        <v>13</v>
      </c>
      <c r="M92" s="286">
        <v>31.13</v>
      </c>
      <c r="N92" t="s" s="287">
        <v>2464</v>
      </c>
      <c r="O92" s="266">
        <v>2</v>
      </c>
      <c r="P92" s="8">
        <v>45461</v>
      </c>
      <c r="Q92" s="288"/>
      <c r="R92" s="144"/>
      <c r="S92" s="289"/>
      <c r="T92" s="222"/>
      <c r="U92" s="226"/>
      <c r="V92" s="227"/>
    </row>
    <row r="93" ht="27.7" customHeight="1">
      <c r="A93" t="s" s="21">
        <v>2401</v>
      </c>
      <c r="B93" t="s" s="5">
        <v>30</v>
      </c>
      <c r="C93" t="s" s="6">
        <v>1132</v>
      </c>
      <c r="D93" t="s" s="7">
        <v>683</v>
      </c>
      <c r="E93" s="8">
        <v>45516</v>
      </c>
      <c r="F93" t="s" s="5">
        <v>13</v>
      </c>
      <c r="G93" t="s" s="249">
        <v>2461</v>
      </c>
      <c r="H93" t="s" s="290">
        <v>2534</v>
      </c>
      <c r="I93" t="s" s="291">
        <v>2535</v>
      </c>
      <c r="J93" s="8"/>
      <c r="K93" t="s" s="5">
        <v>13</v>
      </c>
      <c r="L93" t="s" s="5">
        <v>13</v>
      </c>
      <c r="M93" s="254">
        <v>31.13</v>
      </c>
      <c r="N93" t="s" s="235">
        <v>2464</v>
      </c>
      <c r="O93" s="252">
        <v>4</v>
      </c>
      <c r="P93" s="226"/>
      <c r="Q93" s="226"/>
      <c r="R93" s="262"/>
      <c r="S93" s="227">
        <v>27918</v>
      </c>
      <c r="T93" s="222"/>
      <c r="U93" s="226"/>
      <c r="V93" s="227"/>
    </row>
    <row r="94" ht="27.7" customHeight="1">
      <c r="A94" t="s" s="21">
        <v>2401</v>
      </c>
      <c r="B94" t="s" s="5">
        <v>30</v>
      </c>
      <c r="C94" t="s" s="6">
        <v>591</v>
      </c>
      <c r="D94" t="s" s="7">
        <v>15</v>
      </c>
      <c r="E94" s="8">
        <v>45516</v>
      </c>
      <c r="F94" t="s" s="5">
        <v>13</v>
      </c>
      <c r="G94" t="s" s="249">
        <v>2461</v>
      </c>
      <c r="H94" t="s" s="113">
        <v>2536</v>
      </c>
      <c r="I94" t="s" s="21">
        <v>2537</v>
      </c>
      <c r="J94" s="8"/>
      <c r="K94" t="s" s="5">
        <v>13</v>
      </c>
      <c r="L94" t="s" s="5">
        <v>13</v>
      </c>
      <c r="M94" s="254">
        <v>31.13</v>
      </c>
      <c r="N94" t="s" s="235">
        <v>2464</v>
      </c>
      <c r="O94" s="252">
        <v>5</v>
      </c>
      <c r="P94" s="226"/>
      <c r="Q94" s="226"/>
      <c r="R94" s="226"/>
      <c r="S94" s="227">
        <v>60772</v>
      </c>
      <c r="T94" s="222"/>
      <c r="U94" s="226"/>
      <c r="V94" s="227"/>
    </row>
    <row r="95" ht="27.7" customHeight="1">
      <c r="A95" t="s" s="21">
        <v>2401</v>
      </c>
      <c r="B95" t="s" s="5">
        <v>30</v>
      </c>
      <c r="C95" t="s" s="6">
        <v>14</v>
      </c>
      <c r="D95" t="s" s="7">
        <v>15</v>
      </c>
      <c r="E95" s="8">
        <v>45527</v>
      </c>
      <c r="F95" t="s" s="5">
        <v>13</v>
      </c>
      <c r="G95" t="s" s="249">
        <v>2461</v>
      </c>
      <c r="H95" t="s" s="113">
        <v>2538</v>
      </c>
      <c r="I95" t="s" s="21">
        <v>2539</v>
      </c>
      <c r="J95" s="8"/>
      <c r="K95" t="s" s="5">
        <v>13</v>
      </c>
      <c r="L95" t="s" s="5">
        <v>13</v>
      </c>
      <c r="M95" s="254">
        <v>31.13</v>
      </c>
      <c r="N95" t="s" s="235">
        <v>2464</v>
      </c>
      <c r="O95" s="252">
        <v>5</v>
      </c>
      <c r="P95" s="226"/>
      <c r="Q95" s="226"/>
      <c r="R95" s="226"/>
      <c r="S95" s="227"/>
      <c r="T95" s="222"/>
      <c r="U95" s="226"/>
      <c r="V95" s="227"/>
    </row>
    <row r="96" ht="27.7" customHeight="1">
      <c r="A96" t="s" s="21">
        <v>2401</v>
      </c>
      <c r="B96" t="s" s="5">
        <v>30</v>
      </c>
      <c r="C96" t="s" s="6">
        <v>2540</v>
      </c>
      <c r="D96" t="s" s="7">
        <v>379</v>
      </c>
      <c r="E96" s="8">
        <v>45527</v>
      </c>
      <c r="F96" t="s" s="5">
        <v>13</v>
      </c>
      <c r="G96" t="s" s="249">
        <v>2461</v>
      </c>
      <c r="H96" t="s" s="113">
        <v>2541</v>
      </c>
      <c r="I96" t="s" s="21">
        <v>2542</v>
      </c>
      <c r="J96" s="8"/>
      <c r="K96" t="s" s="5">
        <v>13</v>
      </c>
      <c r="L96" t="s" s="5">
        <v>13</v>
      </c>
      <c r="M96" s="254">
        <v>21.68</v>
      </c>
      <c r="N96" t="s" s="235">
        <v>2543</v>
      </c>
      <c r="O96" s="252">
        <v>5</v>
      </c>
      <c r="P96" s="226"/>
      <c r="Q96" s="226"/>
      <c r="R96" s="226"/>
      <c r="S96" s="227"/>
      <c r="T96" s="222"/>
      <c r="U96" s="226"/>
      <c r="V96" s="227"/>
    </row>
    <row r="97" ht="27.7" customHeight="1">
      <c r="A97" s="32"/>
      <c r="B97" t="s" s="5">
        <v>30</v>
      </c>
      <c r="C97" t="s" s="124">
        <v>1225</v>
      </c>
      <c r="D97" t="s" s="7">
        <v>451</v>
      </c>
      <c r="E97" s="8">
        <v>45527</v>
      </c>
      <c r="F97" s="123"/>
      <c r="G97" s="250"/>
      <c r="H97" s="14"/>
      <c r="I97" s="10"/>
      <c r="J97" s="8"/>
      <c r="K97" s="32"/>
      <c r="L97" s="123"/>
      <c r="M97" s="222"/>
      <c r="N97" s="223"/>
      <c r="O97" t="s" s="229">
        <v>24</v>
      </c>
      <c r="P97" s="226"/>
      <c r="Q97" s="226"/>
      <c r="R97" s="226"/>
      <c r="S97" s="227"/>
      <c r="T97" s="222"/>
      <c r="U97" s="226"/>
      <c r="V97" s="227"/>
    </row>
    <row r="98" ht="27.7" customHeight="1">
      <c r="A98" t="s" s="21">
        <v>2401</v>
      </c>
      <c r="B98" t="s" s="5">
        <v>30</v>
      </c>
      <c r="C98" t="s" s="18">
        <v>1225</v>
      </c>
      <c r="D98" t="s" s="7">
        <v>451</v>
      </c>
      <c r="E98" s="8">
        <v>45527</v>
      </c>
      <c r="F98" t="s" s="5">
        <v>13</v>
      </c>
      <c r="G98" t="s" s="249">
        <v>2461</v>
      </c>
      <c r="H98" t="s" s="113">
        <v>2544</v>
      </c>
      <c r="I98" t="s" s="256">
        <v>2545</v>
      </c>
      <c r="J98" s="8"/>
      <c r="K98" t="s" s="5">
        <v>13</v>
      </c>
      <c r="L98" t="s" s="5">
        <v>13</v>
      </c>
      <c r="M98" s="254">
        <v>31.13</v>
      </c>
      <c r="N98" s="223"/>
      <c r="O98" t="s" s="229">
        <v>24</v>
      </c>
      <c r="P98" s="226"/>
      <c r="Q98" s="226"/>
      <c r="R98" s="226"/>
      <c r="S98" s="227"/>
      <c r="T98" s="222"/>
      <c r="U98" s="226"/>
      <c r="V98" s="227"/>
    </row>
    <row r="99" ht="27.7" customHeight="1">
      <c r="A99" t="s" s="21">
        <v>2401</v>
      </c>
      <c r="B99" t="s" s="5">
        <v>30</v>
      </c>
      <c r="C99" t="s" s="18">
        <v>1531</v>
      </c>
      <c r="D99" t="s" s="7">
        <v>451</v>
      </c>
      <c r="E99" s="8">
        <v>45527</v>
      </c>
      <c r="F99" t="s" s="5">
        <v>13</v>
      </c>
      <c r="G99" t="s" s="249">
        <v>2467</v>
      </c>
      <c r="H99" t="s" s="113">
        <v>2546</v>
      </c>
      <c r="I99" t="s" s="21">
        <v>2547</v>
      </c>
      <c r="J99" s="25">
        <v>45582</v>
      </c>
      <c r="K99" t="s" s="5">
        <v>13</v>
      </c>
      <c r="L99" t="s" s="5">
        <v>13</v>
      </c>
      <c r="M99" s="254">
        <v>31.13</v>
      </c>
      <c r="N99" s="223"/>
      <c r="O99" s="252">
        <v>6</v>
      </c>
      <c r="P99" s="226"/>
      <c r="Q99" s="226"/>
      <c r="R99" s="226"/>
      <c r="S99" s="227"/>
      <c r="T99" s="222"/>
      <c r="U99" s="226"/>
      <c r="V99" s="227"/>
    </row>
    <row r="100" ht="27.7" customHeight="1">
      <c r="A100" t="s" s="21">
        <v>2401</v>
      </c>
      <c r="B100" t="s" s="5">
        <v>30</v>
      </c>
      <c r="C100" t="s" s="18">
        <v>1688</v>
      </c>
      <c r="D100" t="s" s="7">
        <v>1368</v>
      </c>
      <c r="E100" s="8">
        <v>45527</v>
      </c>
      <c r="F100" t="s" s="5">
        <v>13</v>
      </c>
      <c r="G100" t="s" s="249">
        <v>2467</v>
      </c>
      <c r="H100" t="s" s="113">
        <v>2548</v>
      </c>
      <c r="I100" t="s" s="21">
        <v>2549</v>
      </c>
      <c r="J100" s="25">
        <v>45576</v>
      </c>
      <c r="K100" t="s" s="5">
        <v>13</v>
      </c>
      <c r="L100" t="s" s="5">
        <v>13</v>
      </c>
      <c r="M100" s="254">
        <v>18.93</v>
      </c>
      <c r="N100" s="223"/>
      <c r="O100" s="252">
        <v>5</v>
      </c>
      <c r="P100" s="226"/>
      <c r="Q100" s="226"/>
      <c r="R100" s="226"/>
      <c r="S100" s="227"/>
      <c r="T100" s="222"/>
      <c r="U100" s="226"/>
      <c r="V100" s="227"/>
    </row>
    <row r="101" ht="27.7" customHeight="1">
      <c r="A101" t="s" s="17">
        <v>2470</v>
      </c>
      <c r="B101" t="s" s="5">
        <v>30</v>
      </c>
      <c r="C101" t="s" s="124">
        <v>2190</v>
      </c>
      <c r="D101" t="s" s="7">
        <v>534</v>
      </c>
      <c r="E101" s="8">
        <v>45527</v>
      </c>
      <c r="F101" t="s" s="268">
        <v>13</v>
      </c>
      <c r="G101" t="s" s="269">
        <v>2467</v>
      </c>
      <c r="H101" t="s" s="14">
        <v>2550</v>
      </c>
      <c r="I101" t="s" s="10">
        <v>2551</v>
      </c>
      <c r="J101" s="8"/>
      <c r="K101" t="s" s="268">
        <v>13</v>
      </c>
      <c r="L101" t="s" s="5">
        <v>13</v>
      </c>
      <c r="M101" s="222"/>
      <c r="N101" s="223"/>
      <c r="O101" t="s" s="229">
        <v>24</v>
      </c>
      <c r="P101" s="226"/>
      <c r="Q101" s="226"/>
      <c r="R101" s="226"/>
      <c r="S101" s="227"/>
      <c r="T101" s="222"/>
      <c r="U101" s="226"/>
      <c r="V101" s="227"/>
    </row>
    <row r="102" ht="27.7" customHeight="1">
      <c r="A102" t="s" s="17">
        <v>2470</v>
      </c>
      <c r="B102" t="s" s="5">
        <v>30</v>
      </c>
      <c r="C102" t="s" s="124">
        <v>2190</v>
      </c>
      <c r="D102" t="s" s="7">
        <v>534</v>
      </c>
      <c r="E102" s="8">
        <v>45527</v>
      </c>
      <c r="F102" t="s" s="268">
        <v>13</v>
      </c>
      <c r="G102" t="s" s="269">
        <v>2467</v>
      </c>
      <c r="H102" t="s" s="14">
        <v>2552</v>
      </c>
      <c r="I102" t="s" s="10">
        <v>2553</v>
      </c>
      <c r="J102" s="8"/>
      <c r="K102" t="s" s="268">
        <v>13</v>
      </c>
      <c r="L102" t="s" s="5">
        <v>13</v>
      </c>
      <c r="M102" s="222"/>
      <c r="N102" s="223"/>
      <c r="O102" t="s" s="229">
        <v>24</v>
      </c>
      <c r="P102" s="226"/>
      <c r="Q102" s="226"/>
      <c r="R102" s="226"/>
      <c r="S102" s="227"/>
      <c r="T102" s="222"/>
      <c r="U102" s="226"/>
      <c r="V102" s="227"/>
    </row>
    <row r="103" ht="27.7" customHeight="1">
      <c r="A103" t="s" s="21">
        <v>2401</v>
      </c>
      <c r="B103" t="s" s="5">
        <v>30</v>
      </c>
      <c r="C103" t="s" s="23">
        <v>1249</v>
      </c>
      <c r="D103" t="s" s="7">
        <v>129</v>
      </c>
      <c r="E103" s="8">
        <v>45579</v>
      </c>
      <c r="F103" t="s" s="5">
        <v>13</v>
      </c>
      <c r="G103" t="s" s="249">
        <v>2461</v>
      </c>
      <c r="H103" t="s" s="113">
        <v>2554</v>
      </c>
      <c r="I103" t="s" s="21">
        <v>2555</v>
      </c>
      <c r="J103" s="8"/>
      <c r="K103" t="s" s="5">
        <v>13</v>
      </c>
      <c r="L103" t="s" s="5">
        <v>13</v>
      </c>
      <c r="M103" s="254">
        <v>31.13</v>
      </c>
      <c r="N103" t="s" s="235">
        <v>2464</v>
      </c>
      <c r="O103" s="252">
        <v>7</v>
      </c>
      <c r="P103" s="226"/>
      <c r="Q103" s="226"/>
      <c r="R103" s="226"/>
      <c r="S103" s="227"/>
      <c r="T103" s="222"/>
      <c r="U103" s="226"/>
      <c r="V103" s="227"/>
    </row>
    <row r="104" ht="27.7" customHeight="1">
      <c r="A104" t="s" s="21">
        <v>2401</v>
      </c>
      <c r="B104" t="s" s="5">
        <v>30</v>
      </c>
      <c r="C104" t="s" s="18">
        <v>514</v>
      </c>
      <c r="D104" t="s" s="7">
        <v>246</v>
      </c>
      <c r="E104" s="8">
        <v>45579</v>
      </c>
      <c r="F104" t="s" s="5">
        <v>13</v>
      </c>
      <c r="G104" t="s" s="249">
        <v>2467</v>
      </c>
      <c r="H104" t="s" s="113">
        <v>2556</v>
      </c>
      <c r="I104" t="s" s="21">
        <v>2557</v>
      </c>
      <c r="J104" s="8"/>
      <c r="K104" t="s" s="5">
        <v>13</v>
      </c>
      <c r="L104" t="s" s="5">
        <v>13</v>
      </c>
      <c r="M104" s="254">
        <v>18.93</v>
      </c>
      <c r="N104" s="223"/>
      <c r="O104" s="252">
        <v>6</v>
      </c>
      <c r="P104" s="226"/>
      <c r="Q104" s="226"/>
      <c r="R104" s="226"/>
      <c r="S104" s="227"/>
      <c r="T104" s="222"/>
      <c r="U104" s="226"/>
      <c r="V104" s="227"/>
    </row>
    <row r="105" ht="27.7" customHeight="1">
      <c r="A105" t="s" s="17">
        <v>2425</v>
      </c>
      <c r="B105" t="s" s="5">
        <v>30</v>
      </c>
      <c r="C105" t="s" s="6">
        <v>740</v>
      </c>
      <c r="D105" t="s" s="7">
        <v>246</v>
      </c>
      <c r="E105" s="8">
        <v>45617</v>
      </c>
      <c r="F105" t="s" s="268">
        <v>13</v>
      </c>
      <c r="G105" t="s" s="269">
        <v>2467</v>
      </c>
      <c r="H105" t="s" s="14">
        <v>2558</v>
      </c>
      <c r="I105" s="10"/>
      <c r="J105" s="8"/>
      <c r="K105" s="32"/>
      <c r="L105" s="123"/>
      <c r="M105" s="222"/>
      <c r="N105" s="223"/>
      <c r="O105" t="s" s="229">
        <v>24</v>
      </c>
      <c r="P105" s="226"/>
      <c r="Q105" s="226"/>
      <c r="R105" s="226"/>
      <c r="S105" s="227"/>
      <c r="T105" s="222"/>
      <c r="U105" s="226"/>
      <c r="V105" s="227"/>
    </row>
    <row r="106" ht="27.7" customHeight="1">
      <c r="A106" t="s" s="21">
        <v>2401</v>
      </c>
      <c r="B106" t="s" s="5">
        <v>30</v>
      </c>
      <c r="C106" t="s" s="23">
        <v>623</v>
      </c>
      <c r="D106" t="s" s="7">
        <v>545</v>
      </c>
      <c r="E106" s="8">
        <v>45717</v>
      </c>
      <c r="F106" t="s" s="5">
        <v>13</v>
      </c>
      <c r="G106" t="s" s="249">
        <v>2467</v>
      </c>
      <c r="H106" t="s" s="113">
        <v>2559</v>
      </c>
      <c r="I106" t="s" s="21">
        <v>2560</v>
      </c>
      <c r="J106" s="8"/>
      <c r="K106" s="32"/>
      <c r="L106" s="123"/>
      <c r="M106" s="222"/>
      <c r="N106" s="223"/>
      <c r="O106" s="224"/>
      <c r="P106" s="226"/>
      <c r="Q106" s="226"/>
      <c r="R106" s="226"/>
      <c r="S106" s="227"/>
      <c r="T106" s="222"/>
      <c r="U106" s="226"/>
      <c r="V106" s="227"/>
    </row>
    <row r="107" ht="27.7" customHeight="1">
      <c r="A107" t="s" s="21">
        <v>2401</v>
      </c>
      <c r="B107" t="s" s="5">
        <v>30</v>
      </c>
      <c r="C107" t="s" s="23">
        <v>1249</v>
      </c>
      <c r="D107" t="s" s="7">
        <v>129</v>
      </c>
      <c r="E107" s="8">
        <v>45717</v>
      </c>
      <c r="F107" t="s" s="5">
        <v>13</v>
      </c>
      <c r="G107" t="s" s="249">
        <v>2461</v>
      </c>
      <c r="H107" t="s" s="113">
        <v>2561</v>
      </c>
      <c r="I107" t="s" s="21">
        <v>2562</v>
      </c>
      <c r="J107" s="8"/>
      <c r="K107" s="32"/>
      <c r="L107" s="123"/>
      <c r="M107" s="222"/>
      <c r="N107" s="223"/>
      <c r="O107" s="224"/>
      <c r="P107" s="226"/>
      <c r="Q107" s="226"/>
      <c r="R107" s="226"/>
      <c r="S107" s="227"/>
      <c r="T107" s="222"/>
      <c r="U107" s="226"/>
      <c r="V107" s="227"/>
    </row>
    <row r="108" ht="27.7" customHeight="1">
      <c r="A108" t="s" s="21">
        <v>2401</v>
      </c>
      <c r="B108" t="s" s="5">
        <v>30</v>
      </c>
      <c r="C108" t="s" s="23">
        <v>405</v>
      </c>
      <c r="D108" t="s" s="7">
        <v>151</v>
      </c>
      <c r="E108" s="8">
        <v>45751</v>
      </c>
      <c r="F108" t="s" s="5">
        <v>13</v>
      </c>
      <c r="G108" t="s" s="249">
        <v>2467</v>
      </c>
      <c r="H108" t="s" s="113">
        <v>2563</v>
      </c>
      <c r="I108" t="s" s="256">
        <v>2564</v>
      </c>
      <c r="J108" s="8"/>
      <c r="K108" s="220"/>
      <c r="L108" s="123"/>
      <c r="M108" s="222"/>
      <c r="N108" s="223"/>
      <c r="O108" t="s" s="229">
        <v>24</v>
      </c>
      <c r="P108" s="226"/>
      <c r="Q108" s="226"/>
      <c r="R108" s="226"/>
      <c r="S108" s="227"/>
      <c r="T108" s="222"/>
      <c r="U108" s="226"/>
      <c r="V108" s="227"/>
    </row>
    <row r="109" ht="27.7" customHeight="1">
      <c r="A109" t="s" s="17">
        <v>2425</v>
      </c>
      <c r="B109" t="s" s="5">
        <v>30</v>
      </c>
      <c r="C109" t="s" s="6">
        <v>1967</v>
      </c>
      <c r="D109" t="s" s="7">
        <v>1968</v>
      </c>
      <c r="E109" s="8">
        <v>45751</v>
      </c>
      <c r="F109" t="s" s="5">
        <v>13</v>
      </c>
      <c r="G109" t="s" s="249">
        <v>2467</v>
      </c>
      <c r="H109" t="s" s="14">
        <v>2565</v>
      </c>
      <c r="I109" s="10"/>
      <c r="J109" s="8"/>
      <c r="K109" s="220"/>
      <c r="L109" s="123"/>
      <c r="M109" s="222"/>
      <c r="N109" s="223"/>
      <c r="O109" s="224"/>
      <c r="P109" s="226"/>
      <c r="Q109" s="226"/>
      <c r="R109" s="226"/>
      <c r="S109" s="227"/>
      <c r="T109" s="222"/>
      <c r="U109" s="226"/>
      <c r="V109" s="227"/>
    </row>
    <row r="110" ht="27.7" customHeight="1">
      <c r="A110" t="s" s="21">
        <v>2401</v>
      </c>
      <c r="B110" t="s" s="292">
        <v>30</v>
      </c>
      <c r="C110" t="s" s="293">
        <v>1586</v>
      </c>
      <c r="D110" t="s" s="176">
        <v>151</v>
      </c>
      <c r="E110" s="294">
        <v>45821</v>
      </c>
      <c r="F110" t="s" s="174">
        <v>13</v>
      </c>
      <c r="G110" t="s" s="231">
        <v>2461</v>
      </c>
      <c r="H110" t="s" s="276">
        <v>2566</v>
      </c>
      <c r="I110" t="s" s="295">
        <v>2567</v>
      </c>
      <c r="J110" s="296"/>
      <c r="K110" t="s" s="5">
        <v>13</v>
      </c>
      <c r="L110" t="s" s="5">
        <v>13</v>
      </c>
      <c r="M110" s="297"/>
      <c r="N110" s="298"/>
      <c r="O110" s="299"/>
      <c r="P110" s="300"/>
      <c r="Q110" s="300"/>
      <c r="R110" s="300"/>
      <c r="S110" s="301"/>
      <c r="T110" s="302"/>
      <c r="U110" s="300"/>
      <c r="V110" s="301"/>
    </row>
    <row r="111" ht="27.7" customHeight="1">
      <c r="A111" t="s" s="21">
        <v>2401</v>
      </c>
      <c r="B111" t="s" s="303">
        <v>30</v>
      </c>
      <c r="C111" t="s" s="304">
        <v>1249</v>
      </c>
      <c r="D111" t="s" s="133">
        <v>129</v>
      </c>
      <c r="E111" s="134">
        <v>45859</v>
      </c>
      <c r="F111" t="s" s="131">
        <v>13</v>
      </c>
      <c r="G111" t="s" s="239">
        <v>2461</v>
      </c>
      <c r="H111" t="s" s="305">
        <v>2568</v>
      </c>
      <c r="I111" t="s" s="306">
        <v>2569</v>
      </c>
      <c r="J111" s="307"/>
      <c r="K111" s="308"/>
      <c r="L111" s="309"/>
      <c r="M111" s="310"/>
      <c r="N111" s="139"/>
      <c r="O111" s="186"/>
      <c r="P111" s="144"/>
      <c r="Q111" s="144"/>
      <c r="R111" s="144"/>
      <c r="S111" s="136"/>
      <c r="T111" s="311"/>
      <c r="U111" s="144"/>
      <c r="V111" s="136"/>
    </row>
    <row r="112" ht="27.7" customHeight="1">
      <c r="A112" t="s" s="21">
        <v>2401</v>
      </c>
      <c r="B112" t="s" s="303">
        <v>30</v>
      </c>
      <c r="C112" t="s" s="304">
        <v>1459</v>
      </c>
      <c r="D112" t="s" s="133">
        <v>1460</v>
      </c>
      <c r="E112" s="134">
        <v>45859</v>
      </c>
      <c r="F112" t="s" s="131">
        <v>13</v>
      </c>
      <c r="G112" t="s" s="312">
        <v>2461</v>
      </c>
      <c r="H112" t="s" s="113">
        <v>2570</v>
      </c>
      <c r="I112" t="s" s="113">
        <v>2571</v>
      </c>
      <c r="J112" s="313"/>
      <c r="K112" s="308"/>
      <c r="L112" s="314"/>
      <c r="M112" s="310"/>
      <c r="N112" s="139"/>
      <c r="O112" s="186"/>
      <c r="P112" s="144"/>
      <c r="Q112" s="144"/>
      <c r="R112" s="144"/>
      <c r="S112" s="136"/>
      <c r="T112" s="311"/>
      <c r="U112" s="144"/>
      <c r="V112" s="136"/>
    </row>
    <row r="113" ht="27.7" customHeight="1">
      <c r="A113" t="s" s="21">
        <v>2401</v>
      </c>
      <c r="B113" t="s" s="303">
        <v>30</v>
      </c>
      <c r="C113" t="s" s="304">
        <v>791</v>
      </c>
      <c r="D113" t="s" s="133">
        <v>390</v>
      </c>
      <c r="E113" s="134">
        <v>45870</v>
      </c>
      <c r="F113" t="s" s="131">
        <v>13</v>
      </c>
      <c r="G113" t="s" s="239">
        <v>2467</v>
      </c>
      <c r="H113" t="s" s="276">
        <v>2572</v>
      </c>
      <c r="I113" t="s" s="295">
        <v>2573</v>
      </c>
      <c r="J113" s="307"/>
      <c r="K113" s="308"/>
      <c r="L113" s="314"/>
      <c r="M113" s="310"/>
      <c r="N113" s="139"/>
      <c r="O113" s="186"/>
      <c r="P113" s="144"/>
      <c r="Q113" s="144"/>
      <c r="R113" s="144"/>
      <c r="S113" s="136"/>
      <c r="T113" s="311"/>
      <c r="U113" s="144"/>
      <c r="V113" s="136"/>
    </row>
    <row r="114" ht="27.7" customHeight="1">
      <c r="A114" t="s" s="21">
        <v>2401</v>
      </c>
      <c r="B114" t="s" s="303">
        <v>30</v>
      </c>
      <c r="C114" t="s" s="304">
        <v>1715</v>
      </c>
      <c r="D114" t="s" s="133">
        <v>379</v>
      </c>
      <c r="E114" s="134">
        <v>45870</v>
      </c>
      <c r="F114" t="s" s="131">
        <v>13</v>
      </c>
      <c r="G114" t="s" s="239">
        <v>2461</v>
      </c>
      <c r="H114" t="s" s="283">
        <v>2574</v>
      </c>
      <c r="I114" t="s" s="315">
        <v>2575</v>
      </c>
      <c r="J114" s="307"/>
      <c r="K114" s="308"/>
      <c r="L114" s="314"/>
      <c r="M114" s="310"/>
      <c r="N114" s="139"/>
      <c r="O114" s="186"/>
      <c r="P114" s="144"/>
      <c r="Q114" s="144"/>
      <c r="R114" s="144"/>
      <c r="S114" s="136"/>
      <c r="T114" s="311"/>
      <c r="U114" s="144"/>
      <c r="V114" s="136"/>
    </row>
    <row r="115" ht="27.7" customHeight="1">
      <c r="A115" t="s" s="21">
        <v>2401</v>
      </c>
      <c r="B115" t="s" s="303">
        <v>30</v>
      </c>
      <c r="C115" t="s" s="304">
        <v>1092</v>
      </c>
      <c r="D115" t="s" s="133">
        <v>1093</v>
      </c>
      <c r="E115" s="134">
        <v>45870</v>
      </c>
      <c r="F115" t="s" s="131">
        <v>13</v>
      </c>
      <c r="G115" t="s" s="239">
        <v>2467</v>
      </c>
      <c r="H115" t="s" s="283">
        <v>2576</v>
      </c>
      <c r="I115" t="s" s="315">
        <v>2577</v>
      </c>
      <c r="J115" s="307"/>
      <c r="K115" s="308"/>
      <c r="L115" s="314"/>
      <c r="M115" s="310"/>
      <c r="N115" s="139"/>
      <c r="O115" s="186"/>
      <c r="P115" s="144"/>
      <c r="Q115" s="144"/>
      <c r="R115" s="144"/>
      <c r="S115" s="136"/>
      <c r="T115" s="311"/>
      <c r="U115" s="144"/>
      <c r="V115" s="136"/>
    </row>
    <row r="116" ht="27.7" customHeight="1">
      <c r="A116" t="s" s="21">
        <v>2401</v>
      </c>
      <c r="B116" t="s" s="303">
        <v>30</v>
      </c>
      <c r="C116" t="s" s="304">
        <v>1678</v>
      </c>
      <c r="D116" t="s" s="133">
        <v>1368</v>
      </c>
      <c r="E116" s="134">
        <v>45870</v>
      </c>
      <c r="F116" t="s" s="131">
        <v>13</v>
      </c>
      <c r="G116" t="s" s="239">
        <v>2467</v>
      </c>
      <c r="H116" t="s" s="283">
        <v>2578</v>
      </c>
      <c r="I116" t="s" s="315">
        <v>2579</v>
      </c>
      <c r="J116" s="307"/>
      <c r="K116" t="s" s="316">
        <v>13</v>
      </c>
      <c r="L116" t="s" s="303">
        <v>13</v>
      </c>
      <c r="M116" s="310"/>
      <c r="N116" s="139"/>
      <c r="O116" s="186"/>
      <c r="P116" s="144"/>
      <c r="Q116" s="144"/>
      <c r="R116" s="144"/>
      <c r="S116" s="136"/>
      <c r="T116" s="311"/>
      <c r="U116" s="144"/>
      <c r="V116" s="136"/>
    </row>
    <row r="117" ht="27.7" customHeight="1">
      <c r="A117" t="s" s="21">
        <v>2401</v>
      </c>
      <c r="B117" t="s" s="303">
        <v>30</v>
      </c>
      <c r="C117" t="s" s="304">
        <v>710</v>
      </c>
      <c r="D117" t="s" s="133">
        <v>468</v>
      </c>
      <c r="E117" s="134">
        <v>45911</v>
      </c>
      <c r="F117" t="s" s="131">
        <v>13</v>
      </c>
      <c r="G117" t="s" s="239">
        <v>2461</v>
      </c>
      <c r="H117" t="s" s="283">
        <v>2580</v>
      </c>
      <c r="I117" t="s" s="315">
        <v>2581</v>
      </c>
      <c r="J117" s="307"/>
      <c r="K117" s="308"/>
      <c r="L117" s="314"/>
      <c r="M117" s="310"/>
      <c r="N117" s="139"/>
      <c r="O117" s="186"/>
      <c r="P117" s="144"/>
      <c r="Q117" s="144"/>
      <c r="R117" s="144"/>
      <c r="S117" s="136"/>
      <c r="T117" s="311"/>
      <c r="U117" s="144"/>
      <c r="V117" s="136"/>
    </row>
    <row r="118" ht="27.7" customHeight="1">
      <c r="A118" t="s" s="21">
        <v>2401</v>
      </c>
      <c r="B118" t="s" s="303">
        <v>30</v>
      </c>
      <c r="C118" t="s" s="304">
        <v>1035</v>
      </c>
      <c r="D118" t="s" s="133">
        <v>206</v>
      </c>
      <c r="E118" s="134">
        <v>45911</v>
      </c>
      <c r="F118" t="s" s="131">
        <v>13</v>
      </c>
      <c r="G118" t="s" s="239">
        <v>2461</v>
      </c>
      <c r="H118" t="s" s="283">
        <v>2582</v>
      </c>
      <c r="I118" t="s" s="315">
        <v>2583</v>
      </c>
      <c r="J118" s="307"/>
      <c r="K118" s="308"/>
      <c r="L118" s="314"/>
      <c r="M118" s="310"/>
      <c r="N118" s="139"/>
      <c r="O118" s="186"/>
      <c r="P118" s="144"/>
      <c r="Q118" s="144"/>
      <c r="R118" s="144"/>
      <c r="S118" s="136"/>
      <c r="T118" s="311"/>
      <c r="U118" s="144"/>
      <c r="V118" s="136"/>
    </row>
    <row r="119" ht="27.7" customHeight="1">
      <c r="A119" t="s" s="21">
        <v>2401</v>
      </c>
      <c r="B119" t="s" s="303">
        <v>30</v>
      </c>
      <c r="C119" t="s" s="304">
        <v>666</v>
      </c>
      <c r="D119" t="s" s="133">
        <v>539</v>
      </c>
      <c r="E119" s="134">
        <v>45911</v>
      </c>
      <c r="F119" t="s" s="131">
        <v>13</v>
      </c>
      <c r="G119" t="s" s="239">
        <v>2461</v>
      </c>
      <c r="H119" t="s" s="283">
        <v>2584</v>
      </c>
      <c r="I119" t="s" s="315">
        <v>2585</v>
      </c>
      <c r="J119" s="307"/>
      <c r="K119" s="308"/>
      <c r="L119" s="314"/>
      <c r="M119" s="310"/>
      <c r="N119" s="139"/>
      <c r="O119" s="186"/>
      <c r="P119" s="144"/>
      <c r="Q119" s="144"/>
      <c r="R119" s="144"/>
      <c r="S119" s="136"/>
      <c r="T119" s="311"/>
      <c r="U119" s="144"/>
      <c r="V119" s="136"/>
    </row>
    <row r="120" ht="27.7" customHeight="1">
      <c r="A120" t="s" s="21">
        <v>2401</v>
      </c>
      <c r="B120" t="s" s="303">
        <v>30</v>
      </c>
      <c r="C120" t="s" s="304">
        <v>1132</v>
      </c>
      <c r="D120" t="s" s="133">
        <v>683</v>
      </c>
      <c r="E120" s="134">
        <v>45911</v>
      </c>
      <c r="F120" t="s" s="131">
        <v>13</v>
      </c>
      <c r="G120" t="s" s="239">
        <v>2461</v>
      </c>
      <c r="H120" t="s" s="283">
        <v>2586</v>
      </c>
      <c r="I120" t="s" s="315">
        <v>2587</v>
      </c>
      <c r="J120" s="307"/>
      <c r="K120" s="308"/>
      <c r="L120" s="314"/>
      <c r="M120" s="310"/>
      <c r="N120" s="139"/>
      <c r="O120" s="186"/>
      <c r="P120" s="144"/>
      <c r="Q120" s="144"/>
      <c r="R120" s="144"/>
      <c r="S120" s="136"/>
      <c r="T120" s="311"/>
      <c r="U120" s="144"/>
      <c r="V120" s="136"/>
    </row>
    <row r="121" ht="27.7" customHeight="1">
      <c r="A121" t="s" s="21">
        <v>2401</v>
      </c>
      <c r="B121" t="s" s="303">
        <v>30</v>
      </c>
      <c r="C121" t="s" s="304">
        <v>356</v>
      </c>
      <c r="D121" t="s" s="133">
        <v>319</v>
      </c>
      <c r="E121" s="134">
        <v>45911</v>
      </c>
      <c r="F121" t="s" s="131">
        <v>13</v>
      </c>
      <c r="G121" t="s" s="239">
        <v>2461</v>
      </c>
      <c r="H121" t="s" s="283">
        <v>2588</v>
      </c>
      <c r="I121" t="s" s="315">
        <v>2589</v>
      </c>
      <c r="J121" s="307"/>
      <c r="K121" s="308"/>
      <c r="L121" s="314"/>
      <c r="M121" s="310"/>
      <c r="N121" s="139"/>
      <c r="O121" s="186"/>
      <c r="P121" s="144"/>
      <c r="Q121" s="144"/>
      <c r="R121" s="144"/>
      <c r="S121" s="136"/>
      <c r="T121" s="311"/>
      <c r="U121" s="144"/>
      <c r="V121" s="136"/>
    </row>
    <row r="122" ht="27.7" customHeight="1">
      <c r="A122" t="s" s="21">
        <v>2401</v>
      </c>
      <c r="B122" t="s" s="303">
        <v>30</v>
      </c>
      <c r="C122" t="s" s="304">
        <v>1010</v>
      </c>
      <c r="D122" t="s" s="133">
        <v>206</v>
      </c>
      <c r="E122" s="134">
        <v>45911</v>
      </c>
      <c r="F122" t="s" s="131">
        <v>13</v>
      </c>
      <c r="G122" t="s" s="239">
        <v>2461</v>
      </c>
      <c r="H122" t="s" s="283">
        <v>2590</v>
      </c>
      <c r="I122" t="s" s="315">
        <v>2591</v>
      </c>
      <c r="J122" s="307"/>
      <c r="K122" s="308"/>
      <c r="L122" s="314"/>
      <c r="M122" s="310"/>
      <c r="N122" s="139"/>
      <c r="O122" s="186"/>
      <c r="P122" s="144"/>
      <c r="Q122" s="144"/>
      <c r="R122" s="144"/>
      <c r="S122" s="136"/>
      <c r="T122" s="311"/>
      <c r="U122" s="144"/>
      <c r="V122" s="136"/>
    </row>
    <row r="123" ht="27.7" customHeight="1">
      <c r="A123" t="s" s="21">
        <v>2492</v>
      </c>
      <c r="B123" t="s" s="303">
        <v>30</v>
      </c>
      <c r="C123" t="s" s="304">
        <v>189</v>
      </c>
      <c r="D123" t="s" s="133">
        <v>15</v>
      </c>
      <c r="E123" s="134">
        <v>45958</v>
      </c>
      <c r="F123" t="s" s="131">
        <v>13</v>
      </c>
      <c r="G123" t="s" s="239">
        <v>2461</v>
      </c>
      <c r="H123" t="s" s="283">
        <v>2592</v>
      </c>
      <c r="I123" t="s" s="315">
        <v>2593</v>
      </c>
      <c r="J123" s="307"/>
      <c r="K123" s="308"/>
      <c r="L123" s="314"/>
      <c r="M123" s="310"/>
      <c r="N123" s="139"/>
      <c r="O123" s="186"/>
      <c r="P123" s="144"/>
      <c r="Q123" s="144"/>
      <c r="R123" s="144"/>
      <c r="S123" s="136"/>
      <c r="T123" s="311"/>
      <c r="U123" s="144"/>
      <c r="V123" s="136"/>
    </row>
    <row r="124" ht="27.7" customHeight="1">
      <c r="A124" t="s" s="47">
        <v>1112</v>
      </c>
      <c r="B124" t="s" s="303">
        <v>30</v>
      </c>
      <c r="C124" t="s" s="304">
        <v>2067</v>
      </c>
      <c r="D124" t="s" s="133">
        <v>539</v>
      </c>
      <c r="E124" s="134">
        <v>45958</v>
      </c>
      <c r="F124" s="158"/>
      <c r="G124" s="243"/>
      <c r="H124" s="283"/>
      <c r="I124" s="315"/>
      <c r="J124" s="307"/>
      <c r="K124" s="308"/>
      <c r="L124" s="314"/>
      <c r="M124" s="310"/>
      <c r="N124" s="139"/>
      <c r="O124" s="186"/>
      <c r="P124" s="144"/>
      <c r="Q124" s="144"/>
      <c r="R124" s="144"/>
      <c r="S124" s="136"/>
      <c r="T124" s="311"/>
      <c r="U124" s="144"/>
      <c r="V124" s="136"/>
    </row>
    <row r="125" ht="27.7" customHeight="1">
      <c r="A125" t="s" s="21">
        <v>2492</v>
      </c>
      <c r="B125" t="s" s="303">
        <v>30</v>
      </c>
      <c r="C125" t="s" s="304">
        <v>436</v>
      </c>
      <c r="D125" t="s" s="133">
        <v>15</v>
      </c>
      <c r="E125" s="134">
        <v>45958</v>
      </c>
      <c r="F125" t="s" s="131">
        <v>13</v>
      </c>
      <c r="G125" t="s" s="239">
        <v>2461</v>
      </c>
      <c r="H125" t="s" s="283">
        <v>2594</v>
      </c>
      <c r="I125" t="s" s="315">
        <v>2595</v>
      </c>
      <c r="J125" s="307"/>
      <c r="K125" s="308"/>
      <c r="L125" s="314"/>
      <c r="M125" s="310"/>
      <c r="N125" s="139"/>
      <c r="O125" s="186"/>
      <c r="P125" s="144"/>
      <c r="Q125" s="144"/>
      <c r="R125" s="144"/>
      <c r="S125" s="136"/>
      <c r="T125" s="311"/>
      <c r="U125" s="144"/>
      <c r="V125" s="136"/>
    </row>
    <row r="126" ht="27.7" customHeight="1">
      <c r="A126" t="s" s="21">
        <v>2492</v>
      </c>
      <c r="B126" t="s" s="303">
        <v>30</v>
      </c>
      <c r="C126" t="s" s="304">
        <v>74</v>
      </c>
      <c r="D126" t="s" s="133">
        <v>15</v>
      </c>
      <c r="E126" s="134">
        <v>45958</v>
      </c>
      <c r="F126" t="s" s="131">
        <v>13</v>
      </c>
      <c r="G126" t="s" s="239">
        <v>2461</v>
      </c>
      <c r="H126" t="s" s="283">
        <v>2596</v>
      </c>
      <c r="I126" t="s" s="315">
        <v>2597</v>
      </c>
      <c r="J126" s="307"/>
      <c r="K126" s="308"/>
      <c r="L126" s="314"/>
      <c r="M126" s="310"/>
      <c r="N126" s="139"/>
      <c r="O126" s="186"/>
      <c r="P126" s="144"/>
      <c r="Q126" s="144"/>
      <c r="R126" s="144"/>
      <c r="S126" s="136"/>
      <c r="T126" s="311"/>
      <c r="U126" s="144"/>
      <c r="V126" s="136"/>
    </row>
    <row r="127" ht="27.7" customHeight="1">
      <c r="A127" t="s" s="47">
        <v>1112</v>
      </c>
      <c r="B127" t="s" s="303">
        <v>30</v>
      </c>
      <c r="C127" t="s" s="304">
        <v>356</v>
      </c>
      <c r="D127" t="s" s="133">
        <v>319</v>
      </c>
      <c r="E127" s="134">
        <v>45958</v>
      </c>
      <c r="F127" s="158"/>
      <c r="G127" s="243"/>
      <c r="H127" s="283"/>
      <c r="I127" s="315"/>
      <c r="J127" s="307"/>
      <c r="K127" s="308"/>
      <c r="L127" s="314"/>
      <c r="M127" s="310"/>
      <c r="N127" s="139"/>
      <c r="O127" s="186"/>
      <c r="P127" s="144"/>
      <c r="Q127" s="144"/>
      <c r="R127" s="144"/>
      <c r="S127" s="136"/>
      <c r="T127" s="311"/>
      <c r="U127" s="144"/>
      <c r="V127" s="136"/>
    </row>
    <row r="128" ht="27.7" customHeight="1">
      <c r="A128" t="s" s="21">
        <v>2492</v>
      </c>
      <c r="B128" t="s" s="303">
        <v>30</v>
      </c>
      <c r="C128" t="s" s="304">
        <v>464</v>
      </c>
      <c r="D128" t="s" s="133">
        <v>468</v>
      </c>
      <c r="E128" s="134">
        <v>45958</v>
      </c>
      <c r="F128" t="s" s="131">
        <v>13</v>
      </c>
      <c r="G128" t="s" s="239">
        <v>2461</v>
      </c>
      <c r="H128" t="s" s="283">
        <v>2598</v>
      </c>
      <c r="I128" t="s" s="315">
        <v>2599</v>
      </c>
      <c r="J128" s="307"/>
      <c r="K128" s="308"/>
      <c r="L128" s="314"/>
      <c r="M128" s="310"/>
      <c r="N128" s="139"/>
      <c r="O128" s="186"/>
      <c r="P128" s="144"/>
      <c r="Q128" s="144"/>
      <c r="R128" s="144"/>
      <c r="S128" s="136"/>
      <c r="T128" s="311"/>
      <c r="U128" s="144"/>
      <c r="V128" s="136"/>
    </row>
    <row r="129" ht="27.7" customHeight="1">
      <c r="A129" t="s" s="21">
        <v>2492</v>
      </c>
      <c r="B129" t="s" s="303">
        <v>30</v>
      </c>
      <c r="C129" t="s" s="304">
        <v>2600</v>
      </c>
      <c r="D129" t="s" s="133">
        <v>451</v>
      </c>
      <c r="E129" s="134">
        <v>45958</v>
      </c>
      <c r="F129" t="s" s="131">
        <v>13</v>
      </c>
      <c r="G129" t="s" s="239">
        <v>2461</v>
      </c>
      <c r="H129" t="s" s="283">
        <v>2601</v>
      </c>
      <c r="I129" t="s" s="315">
        <v>2602</v>
      </c>
      <c r="J129" s="307"/>
      <c r="K129" s="308"/>
      <c r="L129" s="314"/>
      <c r="M129" s="310"/>
      <c r="N129" s="139"/>
      <c r="O129" s="186"/>
      <c r="P129" s="144"/>
      <c r="Q129" s="144"/>
      <c r="R129" s="144"/>
      <c r="S129" s="136"/>
      <c r="T129" s="311"/>
      <c r="U129" s="144"/>
      <c r="V129" s="136"/>
    </row>
    <row r="130" ht="27.7" customHeight="1">
      <c r="A130" t="s" s="21">
        <v>2401</v>
      </c>
      <c r="B130" t="s" s="303">
        <v>30</v>
      </c>
      <c r="C130" t="s" s="304">
        <v>1132</v>
      </c>
      <c r="D130" t="s" s="133">
        <v>683</v>
      </c>
      <c r="E130" s="134">
        <v>45958</v>
      </c>
      <c r="F130" s="158"/>
      <c r="G130" s="243"/>
      <c r="H130" s="283"/>
      <c r="I130" s="315"/>
      <c r="J130" s="307"/>
      <c r="K130" s="308"/>
      <c r="L130" s="314"/>
      <c r="M130" s="310"/>
      <c r="N130" s="139"/>
      <c r="O130" s="186"/>
      <c r="P130" s="144"/>
      <c r="Q130" s="144"/>
      <c r="R130" s="144"/>
      <c r="S130" s="136"/>
      <c r="T130" s="311"/>
      <c r="U130" s="144"/>
      <c r="V130" s="136"/>
    </row>
    <row r="131" ht="27.7" customHeight="1">
      <c r="A131" s="317"/>
      <c r="B131" s="158"/>
      <c r="C131" s="143"/>
      <c r="D131" s="133"/>
      <c r="E131" s="134"/>
      <c r="F131" s="318"/>
      <c r="G131" s="319"/>
      <c r="H131" s="152"/>
      <c r="I131" s="315"/>
      <c r="J131" s="307"/>
      <c r="K131" s="308"/>
      <c r="L131" s="314"/>
      <c r="M131" s="310"/>
      <c r="N131" s="139"/>
      <c r="O131" s="186"/>
      <c r="P131" s="144"/>
      <c r="Q131" s="144"/>
      <c r="R131" s="144"/>
      <c r="S131" s="136"/>
      <c r="T131" s="311"/>
      <c r="U131" s="144"/>
      <c r="V131" s="136"/>
    </row>
    <row r="132" ht="27.7" customHeight="1">
      <c r="A132" t="s" s="320">
        <v>2425</v>
      </c>
      <c r="B132" t="s" s="165">
        <v>2246</v>
      </c>
      <c r="C132" t="s" s="166">
        <v>847</v>
      </c>
      <c r="D132" t="s" s="167">
        <v>151</v>
      </c>
      <c r="E132" s="321">
        <v>45407</v>
      </c>
      <c r="F132" t="s" s="322">
        <v>13</v>
      </c>
      <c r="G132" t="s" s="323">
        <v>2467</v>
      </c>
      <c r="H132" t="s" s="324">
        <v>2603</v>
      </c>
      <c r="I132" t="s" s="306">
        <v>24</v>
      </c>
      <c r="J132" s="325"/>
      <c r="K132" t="s" s="316">
        <v>13</v>
      </c>
      <c r="L132" t="s" s="326">
        <v>24</v>
      </c>
      <c r="M132" s="327">
        <v>0</v>
      </c>
      <c r="N132" s="139"/>
      <c r="O132" t="s" s="328">
        <v>2604</v>
      </c>
      <c r="P132" s="248"/>
      <c r="Q132" s="248"/>
      <c r="R132" s="248"/>
      <c r="S132" s="329"/>
      <c r="T132" s="330"/>
      <c r="U132" s="248"/>
      <c r="V132" s="329"/>
    </row>
    <row r="133" ht="27.7" customHeight="1">
      <c r="A133" t="s" s="17">
        <v>2401</v>
      </c>
      <c r="B133" t="s" s="5">
        <v>2246</v>
      </c>
      <c r="C133" t="s" s="18">
        <v>150</v>
      </c>
      <c r="D133" t="s" s="7">
        <v>151</v>
      </c>
      <c r="E133" s="8">
        <v>45438</v>
      </c>
      <c r="F133" t="s" s="5">
        <v>13</v>
      </c>
      <c r="G133" s="250"/>
      <c r="H133" t="s" s="113">
        <v>2605</v>
      </c>
      <c r="I133" t="s" s="21">
        <v>2606</v>
      </c>
      <c r="J133" s="8"/>
      <c r="K133" t="s" s="5">
        <v>13</v>
      </c>
      <c r="L133" t="s" s="5">
        <v>13</v>
      </c>
      <c r="M133" s="265">
        <v>31.13</v>
      </c>
      <c r="N133" t="s" s="139">
        <v>2464</v>
      </c>
      <c r="O133" s="266">
        <v>2</v>
      </c>
      <c r="P133" s="226"/>
      <c r="Q133" s="226"/>
      <c r="R133" s="226"/>
      <c r="S133" s="227"/>
      <c r="T133" s="222"/>
      <c r="U133" s="226"/>
      <c r="V133" s="227"/>
    </row>
    <row r="134" ht="27.7" customHeight="1">
      <c r="A134" t="s" s="17">
        <v>2401</v>
      </c>
      <c r="B134" t="s" s="5">
        <v>2246</v>
      </c>
      <c r="C134" t="s" s="18">
        <v>2417</v>
      </c>
      <c r="D134" t="s" s="7">
        <v>117</v>
      </c>
      <c r="E134" s="8">
        <v>45438</v>
      </c>
      <c r="F134" t="s" s="5">
        <v>13</v>
      </c>
      <c r="G134" s="250"/>
      <c r="H134" t="s" s="331">
        <v>2607</v>
      </c>
      <c r="I134" t="s" s="21">
        <v>2608</v>
      </c>
      <c r="J134" t="s" s="63">
        <v>2609</v>
      </c>
      <c r="K134" t="s" s="17">
        <v>39</v>
      </c>
      <c r="L134" t="s" s="5">
        <v>13</v>
      </c>
      <c r="M134" s="222">
        <v>37</v>
      </c>
      <c r="N134" t="s" s="267">
        <v>2610</v>
      </c>
      <c r="O134" t="s" s="229">
        <v>24</v>
      </c>
      <c r="P134" s="226"/>
      <c r="Q134" s="226"/>
      <c r="R134" s="226"/>
      <c r="S134" s="227"/>
      <c r="T134" s="222"/>
      <c r="U134" s="226"/>
      <c r="V134" s="227"/>
    </row>
    <row r="135" ht="27.7" customHeight="1">
      <c r="A135" t="s" s="17">
        <v>2470</v>
      </c>
      <c r="B135" t="s" s="5">
        <v>2246</v>
      </c>
      <c r="C135" t="s" s="124">
        <v>2417</v>
      </c>
      <c r="D135" t="s" s="7">
        <v>117</v>
      </c>
      <c r="E135" s="8">
        <v>45544</v>
      </c>
      <c r="F135" t="s" s="5">
        <v>13</v>
      </c>
      <c r="G135" t="s" s="269">
        <v>2467</v>
      </c>
      <c r="H135" t="s" s="332">
        <v>2611</v>
      </c>
      <c r="I135" s="10"/>
      <c r="J135" s="8"/>
      <c r="K135" s="32"/>
      <c r="L135" s="123"/>
      <c r="M135" s="222"/>
      <c r="N135" s="223"/>
      <c r="O135" t="s" s="229">
        <v>24</v>
      </c>
      <c r="P135" s="226"/>
      <c r="Q135" s="226"/>
      <c r="R135" s="226"/>
      <c r="S135" s="227"/>
      <c r="T135" s="222"/>
      <c r="U135" s="226"/>
      <c r="V135" s="227"/>
    </row>
    <row r="136" ht="27.7" customHeight="1">
      <c r="A136" t="s" s="21">
        <v>2401</v>
      </c>
      <c r="B136" t="s" s="5">
        <v>2246</v>
      </c>
      <c r="C136" t="s" s="18">
        <v>285</v>
      </c>
      <c r="D136" t="s" s="7">
        <v>117</v>
      </c>
      <c r="E136" s="8">
        <v>45544</v>
      </c>
      <c r="F136" t="s" s="5">
        <v>13</v>
      </c>
      <c r="G136" t="s" s="249">
        <v>2612</v>
      </c>
      <c r="H136" s="14"/>
      <c r="I136" t="s" s="10">
        <v>2613</v>
      </c>
      <c r="J136" s="8"/>
      <c r="K136" t="s" s="268">
        <v>2404</v>
      </c>
      <c r="L136" s="123"/>
      <c r="M136" s="222"/>
      <c r="N136" s="223"/>
      <c r="O136" t="s" s="229">
        <v>24</v>
      </c>
      <c r="P136" s="226"/>
      <c r="Q136" s="226"/>
      <c r="R136" s="226"/>
      <c r="S136" s="227"/>
      <c r="T136" s="222"/>
      <c r="U136" s="226"/>
      <c r="V136" s="227"/>
    </row>
    <row r="137" ht="27.7" customHeight="1">
      <c r="A137" t="s" s="274">
        <v>2401</v>
      </c>
      <c r="B137" t="s" s="5">
        <v>2246</v>
      </c>
      <c r="C137" t="s" s="18">
        <v>285</v>
      </c>
      <c r="D137" t="s" s="7">
        <v>117</v>
      </c>
      <c r="E137" s="8">
        <v>45593</v>
      </c>
      <c r="F137" t="s" s="5">
        <v>13</v>
      </c>
      <c r="G137" t="s" s="249">
        <v>2612</v>
      </c>
      <c r="H137" s="14"/>
      <c r="I137" t="s" s="10">
        <v>2614</v>
      </c>
      <c r="J137" s="8"/>
      <c r="K137" t="s" s="268">
        <v>2404</v>
      </c>
      <c r="L137" s="123"/>
      <c r="M137" s="222">
        <v>19.05</v>
      </c>
      <c r="N137" s="223"/>
      <c r="O137" t="s" s="229">
        <v>24</v>
      </c>
      <c r="P137" s="226"/>
      <c r="Q137" s="226"/>
      <c r="R137" s="226"/>
      <c r="S137" s="227"/>
      <c r="T137" s="222"/>
      <c r="U137" s="226"/>
      <c r="V137" s="227"/>
    </row>
    <row r="138" ht="27.7" customHeight="1">
      <c r="A138" t="s" s="320">
        <v>2425</v>
      </c>
      <c r="B138" t="s" s="61">
        <v>2246</v>
      </c>
      <c r="C138" t="s" s="23">
        <v>1404</v>
      </c>
      <c r="D138" t="s" s="7">
        <v>465</v>
      </c>
      <c r="E138" s="8">
        <v>45844</v>
      </c>
      <c r="F138" t="s" s="268">
        <v>13</v>
      </c>
      <c r="G138" t="s" s="269">
        <v>2461</v>
      </c>
      <c r="H138" t="s" s="14">
        <v>2615</v>
      </c>
      <c r="I138" t="s" s="10">
        <v>2616</v>
      </c>
      <c r="J138" s="8"/>
      <c r="K138" s="32"/>
      <c r="L138" s="123"/>
      <c r="M138" s="333"/>
      <c r="N138" s="255"/>
      <c r="O138" s="224"/>
      <c r="P138" s="226"/>
      <c r="Q138" s="226"/>
      <c r="R138" s="226"/>
      <c r="S138" s="227"/>
      <c r="T138" s="222"/>
      <c r="U138" s="226"/>
      <c r="V138" s="227"/>
    </row>
    <row r="139" ht="27.7" customHeight="1">
      <c r="A139" t="s" s="21">
        <v>2401</v>
      </c>
      <c r="B139" t="s" s="5">
        <v>2246</v>
      </c>
      <c r="C139" t="s" s="23">
        <v>150</v>
      </c>
      <c r="D139" t="s" s="7">
        <v>151</v>
      </c>
      <c r="E139" s="8">
        <v>45846</v>
      </c>
      <c r="F139" t="s" s="5">
        <v>13</v>
      </c>
      <c r="G139" t="s" s="249">
        <v>2461</v>
      </c>
      <c r="H139" t="s" s="113">
        <v>2617</v>
      </c>
      <c r="I139" t="s" s="256">
        <v>2618</v>
      </c>
      <c r="J139" s="8"/>
      <c r="K139" s="32"/>
      <c r="L139" s="123"/>
      <c r="M139" s="333"/>
      <c r="N139" s="255"/>
      <c r="O139" s="224"/>
      <c r="P139" s="226"/>
      <c r="Q139" s="226"/>
      <c r="R139" s="226"/>
      <c r="S139" s="227"/>
      <c r="T139" s="222"/>
      <c r="U139" s="226"/>
      <c r="V139" s="227"/>
    </row>
    <row r="140" ht="27.7" customHeight="1">
      <c r="A140" t="s" s="47">
        <v>1112</v>
      </c>
      <c r="B140" t="s" s="5">
        <v>2246</v>
      </c>
      <c r="C140" t="s" s="23">
        <v>285</v>
      </c>
      <c r="D140" t="s" s="7">
        <v>117</v>
      </c>
      <c r="E140" s="8"/>
      <c r="F140" s="123"/>
      <c r="G140" s="250"/>
      <c r="H140" s="113"/>
      <c r="I140" s="256"/>
      <c r="J140" s="8"/>
      <c r="K140" s="32"/>
      <c r="L140" s="123"/>
      <c r="M140" s="333"/>
      <c r="N140" s="255"/>
      <c r="O140" s="224"/>
      <c r="P140" s="226"/>
      <c r="Q140" s="226"/>
      <c r="R140" s="226"/>
      <c r="S140" s="227"/>
      <c r="T140" s="222"/>
      <c r="U140" s="226"/>
      <c r="V140" s="227"/>
    </row>
    <row r="141" ht="27.7" customHeight="1">
      <c r="A141" s="32"/>
      <c r="B141" s="123"/>
      <c r="C141" s="6"/>
      <c r="D141" s="7"/>
      <c r="E141" s="8"/>
      <c r="F141" s="220"/>
      <c r="G141" s="221"/>
      <c r="H141" s="14"/>
      <c r="I141" s="10"/>
      <c r="J141" s="8"/>
      <c r="K141" s="32"/>
      <c r="L141" s="123"/>
      <c r="M141" s="333"/>
      <c r="N141" s="255"/>
      <c r="O141" s="224"/>
      <c r="P141" s="226"/>
      <c r="Q141" s="226"/>
      <c r="R141" s="226"/>
      <c r="S141" s="227"/>
      <c r="T141" s="222"/>
      <c r="U141" s="226"/>
      <c r="V141" s="227"/>
    </row>
    <row r="142" ht="27.7" customHeight="1">
      <c r="A142" t="s" s="17">
        <v>2470</v>
      </c>
      <c r="B142" t="s" s="5">
        <v>88</v>
      </c>
      <c r="C142" t="s" s="6">
        <v>1178</v>
      </c>
      <c r="D142" t="s" s="7">
        <v>117</v>
      </c>
      <c r="E142" s="8">
        <v>45633</v>
      </c>
      <c r="F142" t="s" s="268">
        <v>88</v>
      </c>
      <c r="G142" t="s" s="269">
        <v>2467</v>
      </c>
      <c r="H142" t="s" s="14">
        <v>2619</v>
      </c>
      <c r="I142" s="10"/>
      <c r="J142" s="8"/>
      <c r="K142" s="32"/>
      <c r="L142" s="123"/>
      <c r="M142" s="333">
        <v>72.47</v>
      </c>
      <c r="N142" t="s" s="255">
        <v>2443</v>
      </c>
      <c r="O142" s="224"/>
      <c r="P142" s="226"/>
      <c r="Q142" s="226"/>
      <c r="R142" s="226"/>
      <c r="S142" s="227"/>
      <c r="T142" s="222"/>
      <c r="U142" s="226"/>
      <c r="V142" s="227"/>
    </row>
    <row r="143" ht="27.7" customHeight="1">
      <c r="A143" t="s" s="30">
        <v>2401</v>
      </c>
      <c r="B143" t="s" s="5">
        <v>88</v>
      </c>
      <c r="C143" t="s" s="28">
        <v>1178</v>
      </c>
      <c r="D143" t="s" s="7">
        <v>117</v>
      </c>
      <c r="E143" s="8">
        <v>45633</v>
      </c>
      <c r="F143" t="s" s="5">
        <v>88</v>
      </c>
      <c r="G143" t="s" s="249">
        <v>2612</v>
      </c>
      <c r="H143" s="113"/>
      <c r="I143" t="s" s="256">
        <v>2620</v>
      </c>
      <c r="J143" s="8"/>
      <c r="K143" s="32"/>
      <c r="L143" s="123"/>
      <c r="M143" s="333"/>
      <c r="N143" s="255"/>
      <c r="O143" s="224"/>
      <c r="P143" s="226"/>
      <c r="Q143" s="226"/>
      <c r="R143" s="226"/>
      <c r="S143" s="227"/>
      <c r="T143" s="222"/>
      <c r="U143" s="226"/>
      <c r="V143" s="227"/>
    </row>
    <row r="144" ht="27.7" customHeight="1">
      <c r="A144" s="32"/>
      <c r="B144" s="123"/>
      <c r="C144" s="6"/>
      <c r="D144" s="7"/>
      <c r="E144" s="8"/>
      <c r="F144" s="220"/>
      <c r="G144" s="221"/>
      <c r="H144" s="14"/>
      <c r="I144" s="14"/>
      <c r="J144" s="8"/>
      <c r="K144" s="32"/>
      <c r="L144" s="123"/>
      <c r="M144" s="222"/>
      <c r="N144" s="223"/>
      <c r="O144" s="224"/>
      <c r="P144" s="226"/>
      <c r="Q144" s="226"/>
      <c r="R144" s="226"/>
      <c r="S144" s="227"/>
      <c r="T144" s="222"/>
      <c r="U144" s="226"/>
      <c r="V144" s="227"/>
    </row>
    <row r="145" ht="27.7" customHeight="1">
      <c r="A145" s="32"/>
      <c r="B145" s="123"/>
      <c r="C145" s="6"/>
      <c r="D145" s="7"/>
      <c r="E145" s="8"/>
      <c r="F145" s="220"/>
      <c r="G145" s="221"/>
      <c r="H145" s="14"/>
      <c r="I145" s="14"/>
      <c r="J145" s="8"/>
      <c r="K145" s="32"/>
      <c r="L145" s="123"/>
      <c r="M145" s="222"/>
      <c r="N145" s="223"/>
      <c r="O145" s="224"/>
      <c r="P145" s="226"/>
      <c r="Q145" s="226"/>
      <c r="R145" s="226"/>
      <c r="S145" s="227"/>
      <c r="T145" s="222"/>
      <c r="U145" s="226"/>
      <c r="V145" s="227"/>
    </row>
    <row r="146" ht="27.7" customHeight="1">
      <c r="A146" t="s" s="21">
        <v>2401</v>
      </c>
      <c r="B146" t="s" s="5">
        <v>36</v>
      </c>
      <c r="C146" t="s" s="6">
        <v>2094</v>
      </c>
      <c r="D146" t="s" s="7">
        <v>468</v>
      </c>
      <c r="E146" s="8">
        <v>45428</v>
      </c>
      <c r="F146" t="s" s="5">
        <v>13</v>
      </c>
      <c r="G146" t="s" s="249">
        <v>2461</v>
      </c>
      <c r="H146" t="s" s="334">
        <v>2621</v>
      </c>
      <c r="I146" t="s" s="270">
        <v>2622</v>
      </c>
      <c r="J146" s="8"/>
      <c r="K146" t="s" s="5">
        <v>13</v>
      </c>
      <c r="L146" t="s" s="230">
        <v>13</v>
      </c>
      <c r="M146" s="279">
        <v>31.13</v>
      </c>
      <c r="N146" t="s" s="298">
        <v>2464</v>
      </c>
      <c r="O146" s="266">
        <v>2</v>
      </c>
      <c r="P146" s="226"/>
      <c r="Q146" s="226"/>
      <c r="R146" s="226"/>
      <c r="S146" s="227"/>
      <c r="T146" s="222"/>
      <c r="U146" s="226"/>
      <c r="V146" s="227"/>
    </row>
    <row r="147" ht="27.7" customHeight="1">
      <c r="A147" t="s" s="21">
        <v>2401</v>
      </c>
      <c r="B147" t="s" s="5">
        <v>36</v>
      </c>
      <c r="C147" t="s" s="6">
        <v>1851</v>
      </c>
      <c r="D147" t="s" s="7">
        <v>683</v>
      </c>
      <c r="E147" s="8">
        <v>45419</v>
      </c>
      <c r="F147" t="s" s="5">
        <v>13</v>
      </c>
      <c r="G147" t="s" s="249">
        <v>2461</v>
      </c>
      <c r="H147" t="s" s="334">
        <v>2623</v>
      </c>
      <c r="I147" t="s" s="270">
        <v>2624</v>
      </c>
      <c r="J147" s="25"/>
      <c r="K147" t="s" s="5">
        <v>13</v>
      </c>
      <c r="L147" t="s" s="5">
        <v>13</v>
      </c>
      <c r="M147" s="335">
        <v>31.13</v>
      </c>
      <c r="N147" t="s" s="139">
        <v>2464</v>
      </c>
      <c r="O147" s="266">
        <v>3</v>
      </c>
      <c r="P147" s="336">
        <v>45474</v>
      </c>
      <c r="Q147" s="226"/>
      <c r="R147" s="226"/>
      <c r="S147" s="227"/>
      <c r="T147" s="222"/>
      <c r="U147" s="226"/>
      <c r="V147" s="227"/>
    </row>
    <row r="148" ht="27.7" customHeight="1">
      <c r="A148" t="s" s="21">
        <v>2401</v>
      </c>
      <c r="B148" t="s" s="5">
        <v>36</v>
      </c>
      <c r="C148" t="s" s="6">
        <v>2625</v>
      </c>
      <c r="D148" t="s" s="7">
        <v>319</v>
      </c>
      <c r="E148" s="8">
        <v>45633</v>
      </c>
      <c r="F148" t="s" s="5">
        <v>13</v>
      </c>
      <c r="G148" t="s" s="249">
        <v>2461</v>
      </c>
      <c r="H148" t="s" s="113">
        <v>2626</v>
      </c>
      <c r="I148" t="s" s="21">
        <v>2627</v>
      </c>
      <c r="J148" s="8"/>
      <c r="K148" s="32"/>
      <c r="L148" s="123"/>
      <c r="M148" s="337"/>
      <c r="N148" s="273"/>
      <c r="O148" t="s" s="229">
        <v>24</v>
      </c>
      <c r="P148" s="226"/>
      <c r="Q148" s="226"/>
      <c r="R148" s="226"/>
      <c r="S148" s="227"/>
      <c r="T148" s="222"/>
      <c r="U148" s="226"/>
      <c r="V148" s="227"/>
    </row>
    <row r="149" ht="27.7" customHeight="1">
      <c r="A149" t="s" s="21">
        <v>2401</v>
      </c>
      <c r="B149" t="s" s="5">
        <v>36</v>
      </c>
      <c r="C149" t="s" s="6">
        <v>2625</v>
      </c>
      <c r="D149" t="s" s="7">
        <v>319</v>
      </c>
      <c r="E149" s="8"/>
      <c r="F149" s="123"/>
      <c r="G149" t="s" s="249">
        <v>2461</v>
      </c>
      <c r="H149" t="s" s="113">
        <v>2628</v>
      </c>
      <c r="I149" t="s" s="21">
        <v>2629</v>
      </c>
      <c r="J149" s="8"/>
      <c r="K149" s="32"/>
      <c r="L149" s="123"/>
      <c r="M149" s="222"/>
      <c r="N149" s="223"/>
      <c r="O149" s="224"/>
      <c r="P149" s="226"/>
      <c r="Q149" s="226"/>
      <c r="R149" s="226"/>
      <c r="S149" s="227"/>
      <c r="T149" s="222"/>
      <c r="U149" s="226"/>
      <c r="V149" s="227"/>
    </row>
    <row r="150" ht="27.7" customHeight="1">
      <c r="A150" t="s" s="47">
        <v>2492</v>
      </c>
      <c r="B150" t="s" s="5">
        <v>36</v>
      </c>
      <c r="C150" t="s" s="23">
        <v>464</v>
      </c>
      <c r="D150" t="s" s="7">
        <v>465</v>
      </c>
      <c r="E150" s="8">
        <v>46129</v>
      </c>
      <c r="F150" t="s" s="5">
        <v>13</v>
      </c>
      <c r="G150" t="s" s="249">
        <v>2461</v>
      </c>
      <c r="H150" t="s" s="113">
        <v>2630</v>
      </c>
      <c r="I150" t="s" s="21">
        <v>2631</v>
      </c>
      <c r="J150" s="8"/>
      <c r="K150" s="32"/>
      <c r="L150" s="123"/>
      <c r="M150" s="222"/>
      <c r="N150" s="223"/>
      <c r="O150" s="224"/>
      <c r="P150" s="226"/>
      <c r="Q150" s="226"/>
      <c r="R150" s="226"/>
      <c r="S150" s="227"/>
      <c r="T150" s="222"/>
      <c r="U150" s="226"/>
      <c r="V150" s="227"/>
    </row>
    <row r="151" ht="27.7" customHeight="1">
      <c r="A151" s="32"/>
      <c r="B151" s="123"/>
      <c r="C151" s="6"/>
      <c r="D151" s="7"/>
      <c r="E151" s="8"/>
      <c r="F151" s="220"/>
      <c r="G151" s="221"/>
      <c r="H151" s="14"/>
      <c r="I151" s="14"/>
      <c r="J151" s="8"/>
      <c r="K151" s="32"/>
      <c r="L151" s="123"/>
      <c r="M151" s="222"/>
      <c r="N151" s="223"/>
      <c r="O151" s="224"/>
      <c r="P151" s="226"/>
      <c r="Q151" s="226"/>
      <c r="R151" s="226"/>
      <c r="S151" s="227"/>
      <c r="T151" s="222"/>
      <c r="U151" s="226"/>
      <c r="V151" s="227"/>
    </row>
    <row r="152" ht="27.7" customHeight="1">
      <c r="A152" t="s" s="21">
        <v>2401</v>
      </c>
      <c r="B152" t="s" s="5">
        <v>40</v>
      </c>
      <c r="C152" t="s" s="23">
        <v>1511</v>
      </c>
      <c r="D152" t="s" s="7">
        <v>206</v>
      </c>
      <c r="E152" s="8">
        <v>45449</v>
      </c>
      <c r="F152" t="s" s="5">
        <v>13</v>
      </c>
      <c r="G152" t="s" s="249">
        <v>2461</v>
      </c>
      <c r="H152" t="s" s="113">
        <v>2632</v>
      </c>
      <c r="I152" t="s" s="21">
        <v>2633</v>
      </c>
      <c r="J152" s="8"/>
      <c r="K152" t="s" s="5">
        <v>13</v>
      </c>
      <c r="L152" t="s" s="5">
        <v>13</v>
      </c>
      <c r="M152" s="338">
        <v>31.13</v>
      </c>
      <c r="N152" t="s" s="280">
        <v>2464</v>
      </c>
      <c r="O152" s="252">
        <v>3</v>
      </c>
      <c r="P152" s="226"/>
      <c r="Q152" s="226"/>
      <c r="R152" s="226"/>
      <c r="S152" s="227"/>
      <c r="T152" s="222"/>
      <c r="U152" s="226"/>
      <c r="V152" s="227"/>
    </row>
    <row r="153" ht="27.7" customHeight="1">
      <c r="A153" t="s" s="21">
        <v>2401</v>
      </c>
      <c r="B153" t="s" s="5">
        <v>40</v>
      </c>
      <c r="C153" t="s" s="23">
        <v>1768</v>
      </c>
      <c r="D153" t="s" s="7">
        <v>468</v>
      </c>
      <c r="E153" s="8">
        <v>45449</v>
      </c>
      <c r="F153" t="s" s="5">
        <v>13</v>
      </c>
      <c r="G153" t="s" s="249">
        <v>2461</v>
      </c>
      <c r="H153" t="s" s="113">
        <v>2634</v>
      </c>
      <c r="I153" t="s" s="21">
        <v>2635</v>
      </c>
      <c r="J153" s="8"/>
      <c r="K153" t="s" s="5">
        <v>13</v>
      </c>
      <c r="L153" t="s" s="5">
        <v>13</v>
      </c>
      <c r="M153" s="335">
        <v>31.13</v>
      </c>
      <c r="N153" t="s" s="139">
        <v>2464</v>
      </c>
      <c r="O153" s="266">
        <v>3</v>
      </c>
      <c r="P153" s="226"/>
      <c r="Q153" s="226"/>
      <c r="R153" s="226"/>
      <c r="S153" s="227"/>
      <c r="T153" s="222"/>
      <c r="U153" s="226"/>
      <c r="V153" s="227"/>
    </row>
    <row r="154" ht="27.7" customHeight="1">
      <c r="A154" t="s" s="21">
        <v>2401</v>
      </c>
      <c r="B154" t="s" s="5">
        <v>40</v>
      </c>
      <c r="C154" t="s" s="23">
        <v>2636</v>
      </c>
      <c r="D154" t="s" s="7">
        <v>1955</v>
      </c>
      <c r="E154" s="8">
        <v>45449</v>
      </c>
      <c r="F154" t="s" s="5">
        <v>13</v>
      </c>
      <c r="G154" t="s" s="249">
        <v>2461</v>
      </c>
      <c r="H154" t="s" s="113">
        <v>2637</v>
      </c>
      <c r="I154" t="s" s="21">
        <v>2638</v>
      </c>
      <c r="J154" s="8"/>
      <c r="K154" t="s" s="5">
        <v>13</v>
      </c>
      <c r="L154" t="s" s="230">
        <v>13</v>
      </c>
      <c r="M154" s="339">
        <v>31.13</v>
      </c>
      <c r="N154" t="s" s="340">
        <v>2464</v>
      </c>
      <c r="O154" s="252">
        <v>3</v>
      </c>
      <c r="P154" s="226"/>
      <c r="Q154" s="226"/>
      <c r="R154" s="226"/>
      <c r="S154" s="227"/>
      <c r="T154" s="222"/>
      <c r="U154" s="226"/>
      <c r="V154" s="227"/>
    </row>
    <row r="155" ht="27.7" customHeight="1">
      <c r="A155" t="s" s="30">
        <v>2401</v>
      </c>
      <c r="B155" t="s" s="5">
        <v>40</v>
      </c>
      <c r="C155" t="s" s="28">
        <v>791</v>
      </c>
      <c r="D155" t="s" s="7">
        <v>390</v>
      </c>
      <c r="E155" s="8">
        <v>45483</v>
      </c>
      <c r="F155" t="s" s="5">
        <v>40</v>
      </c>
      <c r="G155" t="s" s="249">
        <v>2467</v>
      </c>
      <c r="H155" t="s" s="113">
        <v>2639</v>
      </c>
      <c r="I155" t="s" s="30">
        <v>2640</v>
      </c>
      <c r="J155" s="8"/>
      <c r="K155" t="s" s="5">
        <v>13</v>
      </c>
      <c r="L155" t="s" s="5">
        <v>40</v>
      </c>
      <c r="M155" s="341">
        <v>72.47</v>
      </c>
      <c r="N155" s="273"/>
      <c r="O155" s="252">
        <v>4</v>
      </c>
      <c r="P155" s="226"/>
      <c r="Q155" s="226"/>
      <c r="R155" s="226"/>
      <c r="S155" s="227"/>
      <c r="T155" s="222"/>
      <c r="U155" s="226"/>
      <c r="V155" s="227"/>
    </row>
    <row r="156" ht="27.7" customHeight="1">
      <c r="A156" t="s" s="17">
        <v>2425</v>
      </c>
      <c r="B156" t="s" s="5">
        <v>40</v>
      </c>
      <c r="C156" t="s" s="6">
        <v>1901</v>
      </c>
      <c r="D156" t="s" s="7">
        <v>390</v>
      </c>
      <c r="E156" s="8">
        <v>45485</v>
      </c>
      <c r="F156" t="s" s="5">
        <v>13</v>
      </c>
      <c r="G156" t="s" s="249">
        <v>2461</v>
      </c>
      <c r="H156" t="s" s="113">
        <v>2641</v>
      </c>
      <c r="I156" t="s" s="256">
        <v>2642</v>
      </c>
      <c r="J156" s="8"/>
      <c r="K156" s="32"/>
      <c r="L156" s="123"/>
      <c r="M156" s="222"/>
      <c r="N156" s="264"/>
      <c r="O156" t="s" s="229">
        <v>24</v>
      </c>
      <c r="P156" s="226"/>
      <c r="Q156" s="226"/>
      <c r="R156" s="226"/>
      <c r="S156" s="227"/>
      <c r="T156" s="222"/>
      <c r="U156" s="226"/>
      <c r="V156" s="227"/>
    </row>
    <row r="157" ht="27.7" customHeight="1">
      <c r="A157" t="s" s="21">
        <v>2401</v>
      </c>
      <c r="B157" t="s" s="5">
        <v>40</v>
      </c>
      <c r="C157" t="s" s="23">
        <v>1523</v>
      </c>
      <c r="D157" t="s" s="7">
        <v>1500</v>
      </c>
      <c r="E157" s="8">
        <v>45525</v>
      </c>
      <c r="F157" t="s" s="5">
        <v>13</v>
      </c>
      <c r="G157" t="s" s="249">
        <v>2461</v>
      </c>
      <c r="H157" t="s" s="113">
        <v>2643</v>
      </c>
      <c r="I157" t="s" s="21">
        <v>2644</v>
      </c>
      <c r="J157" s="8"/>
      <c r="K157" t="s" s="5">
        <v>13</v>
      </c>
      <c r="L157" t="s" s="5">
        <v>13</v>
      </c>
      <c r="M157" s="265">
        <v>31.13</v>
      </c>
      <c r="N157" t="s" s="139">
        <v>2464</v>
      </c>
      <c r="O157" s="266">
        <v>5</v>
      </c>
      <c r="P157" s="226"/>
      <c r="Q157" s="226"/>
      <c r="R157" s="226"/>
      <c r="S157" s="227"/>
      <c r="T157" s="222"/>
      <c r="U157" s="226"/>
      <c r="V157" s="227"/>
    </row>
    <row r="158" ht="27.7" customHeight="1">
      <c r="A158" t="s" s="30">
        <v>2401</v>
      </c>
      <c r="B158" t="s" s="5">
        <v>40</v>
      </c>
      <c r="C158" t="s" s="28">
        <v>514</v>
      </c>
      <c r="D158" t="s" s="7">
        <v>246</v>
      </c>
      <c r="E158" s="8">
        <v>45525</v>
      </c>
      <c r="F158" t="s" s="5">
        <v>40</v>
      </c>
      <c r="G158" t="s" s="249">
        <v>2467</v>
      </c>
      <c r="H158" t="s" s="113">
        <v>2645</v>
      </c>
      <c r="I158" t="s" s="30">
        <v>2646</v>
      </c>
      <c r="J158" s="8"/>
      <c r="K158" t="s" s="5">
        <v>13</v>
      </c>
      <c r="L158" t="s" s="5">
        <v>40</v>
      </c>
      <c r="M158" s="241">
        <v>72.47</v>
      </c>
      <c r="N158" s="273"/>
      <c r="O158" s="252">
        <v>5</v>
      </c>
      <c r="P158" s="226"/>
      <c r="Q158" s="226"/>
      <c r="R158" s="226"/>
      <c r="S158" s="227"/>
      <c r="T158" s="222"/>
      <c r="U158" s="226"/>
      <c r="V158" s="227"/>
    </row>
    <row r="159" ht="27.7" customHeight="1">
      <c r="A159" t="s" s="21">
        <v>2401</v>
      </c>
      <c r="B159" t="s" s="5">
        <v>40</v>
      </c>
      <c r="C159" t="s" s="23">
        <v>14</v>
      </c>
      <c r="D159" t="s" s="7">
        <v>15</v>
      </c>
      <c r="E159" s="8">
        <v>45525</v>
      </c>
      <c r="F159" t="s" s="5">
        <v>13</v>
      </c>
      <c r="G159" t="s" s="249">
        <v>2461</v>
      </c>
      <c r="H159" t="s" s="113">
        <v>2538</v>
      </c>
      <c r="I159" t="s" s="21">
        <v>2539</v>
      </c>
      <c r="J159" s="8"/>
      <c r="K159" t="s" s="5">
        <v>13</v>
      </c>
      <c r="L159" t="s" s="5">
        <v>13</v>
      </c>
      <c r="M159" s="254">
        <v>31.13</v>
      </c>
      <c r="N159" t="s" s="235">
        <v>2464</v>
      </c>
      <c r="O159" s="252">
        <v>5</v>
      </c>
      <c r="P159" s="226"/>
      <c r="Q159" s="226"/>
      <c r="R159" s="226"/>
      <c r="S159" s="227"/>
      <c r="T159" s="222"/>
      <c r="U159" s="226"/>
      <c r="V159" s="227"/>
    </row>
    <row r="160" ht="27.7" customHeight="1">
      <c r="A160" t="s" s="21">
        <v>2401</v>
      </c>
      <c r="B160" t="s" s="5">
        <v>40</v>
      </c>
      <c r="C160" t="s" s="23">
        <v>591</v>
      </c>
      <c r="D160" t="s" s="7">
        <v>15</v>
      </c>
      <c r="E160" s="8">
        <v>45525</v>
      </c>
      <c r="F160" t="s" s="5">
        <v>13</v>
      </c>
      <c r="G160" t="s" s="249">
        <v>2461</v>
      </c>
      <c r="H160" t="s" s="113">
        <v>2536</v>
      </c>
      <c r="I160" t="s" s="21">
        <v>2537</v>
      </c>
      <c r="J160" s="8"/>
      <c r="K160" t="s" s="5">
        <v>13</v>
      </c>
      <c r="L160" t="s" s="5">
        <v>13</v>
      </c>
      <c r="M160" s="254">
        <v>31.13</v>
      </c>
      <c r="N160" t="s" s="235">
        <v>2464</v>
      </c>
      <c r="O160" s="252">
        <v>5</v>
      </c>
      <c r="P160" s="226"/>
      <c r="Q160" s="226"/>
      <c r="R160" s="226"/>
      <c r="S160" s="227"/>
      <c r="T160" s="222"/>
      <c r="U160" s="226"/>
      <c r="V160" s="227"/>
    </row>
    <row r="161" ht="27.7" customHeight="1">
      <c r="A161" t="s" s="21">
        <v>2401</v>
      </c>
      <c r="B161" t="s" s="5">
        <v>40</v>
      </c>
      <c r="C161" t="s" s="23">
        <v>1768</v>
      </c>
      <c r="D161" t="s" s="7">
        <v>468</v>
      </c>
      <c r="E161" s="8">
        <v>45525</v>
      </c>
      <c r="F161" t="s" s="5">
        <v>13</v>
      </c>
      <c r="G161" t="s" s="249">
        <v>2461</v>
      </c>
      <c r="H161" t="s" s="113">
        <v>2647</v>
      </c>
      <c r="I161" t="s" s="21">
        <v>2648</v>
      </c>
      <c r="J161" s="8"/>
      <c r="K161" t="s" s="5">
        <v>13</v>
      </c>
      <c r="L161" t="s" s="5">
        <v>13</v>
      </c>
      <c r="M161" s="254">
        <v>31.13</v>
      </c>
      <c r="N161" t="s" s="235">
        <v>2464</v>
      </c>
      <c r="O161" s="252">
        <v>5</v>
      </c>
      <c r="P161" s="226"/>
      <c r="Q161" s="226"/>
      <c r="R161" s="226"/>
      <c r="S161" s="227"/>
      <c r="T161" s="222"/>
      <c r="U161" s="226"/>
      <c r="V161" s="227"/>
    </row>
    <row r="162" ht="27.7" customHeight="1">
      <c r="A162" t="s" s="21">
        <v>2401</v>
      </c>
      <c r="B162" t="s" s="5">
        <v>40</v>
      </c>
      <c r="C162" t="s" s="23">
        <v>464</v>
      </c>
      <c r="D162" t="s" s="7">
        <v>468</v>
      </c>
      <c r="E162" s="8">
        <v>45525</v>
      </c>
      <c r="F162" t="s" s="5">
        <v>13</v>
      </c>
      <c r="G162" t="s" s="249">
        <v>2649</v>
      </c>
      <c r="H162" t="s" s="113">
        <v>2650</v>
      </c>
      <c r="I162" t="s" s="21">
        <v>2651</v>
      </c>
      <c r="J162" s="8"/>
      <c r="K162" t="s" s="5">
        <v>13</v>
      </c>
      <c r="L162" t="s" s="5">
        <v>13</v>
      </c>
      <c r="M162" s="254">
        <v>32.7</v>
      </c>
      <c r="N162" t="s" s="235">
        <v>2519</v>
      </c>
      <c r="O162" s="252">
        <v>5</v>
      </c>
      <c r="P162" s="226"/>
      <c r="Q162" s="226"/>
      <c r="R162" s="226"/>
      <c r="S162" s="227"/>
      <c r="T162" s="222"/>
      <c r="U162" s="226"/>
      <c r="V162" s="227"/>
    </row>
    <row r="163" ht="27.7" customHeight="1">
      <c r="A163" t="s" s="21">
        <v>2401</v>
      </c>
      <c r="B163" t="s" s="5">
        <v>40</v>
      </c>
      <c r="C163" t="s" s="23">
        <v>2652</v>
      </c>
      <c r="D163" t="s" s="7">
        <v>640</v>
      </c>
      <c r="E163" s="8">
        <v>45526</v>
      </c>
      <c r="F163" t="s" s="5">
        <v>13</v>
      </c>
      <c r="G163" t="s" s="249">
        <v>2467</v>
      </c>
      <c r="H163" t="s" s="113">
        <v>2653</v>
      </c>
      <c r="I163" t="s" s="21">
        <v>2654</v>
      </c>
      <c r="J163" s="8"/>
      <c r="K163" t="s" s="5">
        <v>13</v>
      </c>
      <c r="L163" t="s" s="5">
        <v>13</v>
      </c>
      <c r="M163" s="254">
        <v>18.93</v>
      </c>
      <c r="N163" s="235"/>
      <c r="O163" s="252">
        <v>5</v>
      </c>
      <c r="P163" s="226"/>
      <c r="Q163" s="226"/>
      <c r="R163" s="226"/>
      <c r="S163" s="227"/>
      <c r="T163" s="222"/>
      <c r="U163" s="226"/>
      <c r="V163" s="227"/>
    </row>
    <row r="164" ht="27.7" customHeight="1">
      <c r="A164" t="s" s="30">
        <v>2401</v>
      </c>
      <c r="B164" t="s" s="5">
        <v>40</v>
      </c>
      <c r="C164" t="s" s="28">
        <v>1607</v>
      </c>
      <c r="D164" t="s" s="7">
        <v>884</v>
      </c>
      <c r="E164" s="8">
        <v>45553</v>
      </c>
      <c r="F164" t="s" s="5">
        <v>40</v>
      </c>
      <c r="G164" t="s" s="249">
        <v>2467</v>
      </c>
      <c r="H164" t="s" s="113">
        <v>2655</v>
      </c>
      <c r="I164" t="s" s="30">
        <v>2656</v>
      </c>
      <c r="J164" s="342">
        <v>45581</v>
      </c>
      <c r="K164" t="s" s="5">
        <v>13</v>
      </c>
      <c r="L164" t="s" s="5">
        <v>40</v>
      </c>
      <c r="M164" s="254">
        <v>72.47</v>
      </c>
      <c r="N164" s="223"/>
      <c r="O164" s="252">
        <v>6</v>
      </c>
      <c r="P164" s="226"/>
      <c r="Q164" s="226"/>
      <c r="R164" s="226"/>
      <c r="S164" s="227"/>
      <c r="T164" s="222"/>
      <c r="U164" s="226"/>
      <c r="V164" s="227"/>
    </row>
    <row r="165" ht="27.7" customHeight="1">
      <c r="A165" t="s" s="17">
        <v>2470</v>
      </c>
      <c r="B165" t="s" s="5">
        <v>40</v>
      </c>
      <c r="C165" t="s" s="124">
        <v>1954</v>
      </c>
      <c r="D165" t="s" s="7">
        <v>1955</v>
      </c>
      <c r="E165" s="8">
        <v>45553</v>
      </c>
      <c r="F165" t="s" s="5">
        <v>40</v>
      </c>
      <c r="G165" t="s" s="269">
        <v>2467</v>
      </c>
      <c r="H165" t="s" s="14">
        <v>2657</v>
      </c>
      <c r="I165" t="s" s="10">
        <v>2658</v>
      </c>
      <c r="J165" s="87">
        <v>45582</v>
      </c>
      <c r="K165" t="s" s="268">
        <v>13</v>
      </c>
      <c r="L165" t="s" s="5">
        <v>40</v>
      </c>
      <c r="M165" s="222"/>
      <c r="N165" s="223"/>
      <c r="O165" t="s" s="229">
        <v>2604</v>
      </c>
      <c r="P165" s="226"/>
      <c r="Q165" s="226"/>
      <c r="R165" s="226"/>
      <c r="S165" s="227"/>
      <c r="T165" s="222"/>
      <c r="U165" s="226"/>
      <c r="V165" s="227"/>
    </row>
    <row r="166" ht="27.7" customHeight="1">
      <c r="A166" t="s" s="30">
        <v>2401</v>
      </c>
      <c r="B166" t="s" s="5">
        <v>40</v>
      </c>
      <c r="C166" t="s" s="28">
        <v>1954</v>
      </c>
      <c r="D166" t="s" s="7">
        <v>1955</v>
      </c>
      <c r="E166" s="8">
        <v>45553</v>
      </c>
      <c r="F166" t="s" s="5">
        <v>40</v>
      </c>
      <c r="G166" t="s" s="249">
        <v>2612</v>
      </c>
      <c r="H166" t="s" s="14">
        <v>24</v>
      </c>
      <c r="I166" t="s" s="10">
        <v>2659</v>
      </c>
      <c r="J166" s="342">
        <v>45587</v>
      </c>
      <c r="K166" t="s" s="268">
        <v>2404</v>
      </c>
      <c r="L166" t="s" s="5">
        <v>40</v>
      </c>
      <c r="M166" s="254">
        <v>102.6</v>
      </c>
      <c r="N166" s="223"/>
      <c r="O166" t="s" s="229">
        <v>24</v>
      </c>
      <c r="P166" s="226"/>
      <c r="Q166" s="226"/>
      <c r="R166" s="226"/>
      <c r="S166" s="227"/>
      <c r="T166" s="222"/>
      <c r="U166" s="226"/>
      <c r="V166" s="227"/>
    </row>
    <row r="167" ht="27.7" customHeight="1">
      <c r="A167" t="s" s="17">
        <v>2470</v>
      </c>
      <c r="B167" t="s" s="5">
        <v>40</v>
      </c>
      <c r="C167" t="s" s="124">
        <v>1511</v>
      </c>
      <c r="D167" t="s" s="7">
        <v>206</v>
      </c>
      <c r="E167" s="8">
        <v>45553</v>
      </c>
      <c r="F167" t="s" s="5">
        <v>40</v>
      </c>
      <c r="G167" t="s" s="249">
        <v>2467</v>
      </c>
      <c r="H167" t="s" s="14">
        <v>2660</v>
      </c>
      <c r="I167" t="s" s="10">
        <v>2661</v>
      </c>
      <c r="J167" s="87">
        <v>45582</v>
      </c>
      <c r="K167" t="s" s="268">
        <v>13</v>
      </c>
      <c r="L167" t="s" s="5">
        <v>24</v>
      </c>
      <c r="M167" s="222"/>
      <c r="N167" s="223"/>
      <c r="O167" t="s" s="229">
        <v>24</v>
      </c>
      <c r="P167" s="226"/>
      <c r="Q167" s="226"/>
      <c r="R167" s="226"/>
      <c r="S167" s="227"/>
      <c r="T167" s="222"/>
      <c r="U167" s="226"/>
      <c r="V167" s="227"/>
    </row>
    <row r="168" ht="27.7" customHeight="1">
      <c r="A168" t="s" s="30">
        <v>2401</v>
      </c>
      <c r="B168" t="s" s="5">
        <v>40</v>
      </c>
      <c r="C168" t="s" s="28">
        <v>1511</v>
      </c>
      <c r="D168" t="s" s="7">
        <v>206</v>
      </c>
      <c r="E168" s="8">
        <v>45589</v>
      </c>
      <c r="F168" t="s" s="5">
        <v>40</v>
      </c>
      <c r="G168" t="s" s="249">
        <v>2467</v>
      </c>
      <c r="H168" t="s" s="113">
        <v>2662</v>
      </c>
      <c r="I168" t="s" s="30">
        <v>2663</v>
      </c>
      <c r="J168" s="87">
        <v>45603</v>
      </c>
      <c r="K168" t="s" s="5">
        <v>13</v>
      </c>
      <c r="L168" t="s" s="47">
        <v>40</v>
      </c>
      <c r="M168" s="254">
        <v>72.47</v>
      </c>
      <c r="N168" s="223"/>
      <c r="O168" s="252">
        <v>6</v>
      </c>
      <c r="P168" s="226"/>
      <c r="Q168" s="226"/>
      <c r="R168" s="226"/>
      <c r="S168" s="227"/>
      <c r="T168" s="222"/>
      <c r="U168" s="226"/>
      <c r="V168" s="227"/>
    </row>
    <row r="169" ht="27.7" customHeight="1">
      <c r="A169" t="s" s="17">
        <v>2425</v>
      </c>
      <c r="B169" t="s" s="5">
        <v>40</v>
      </c>
      <c r="C169" t="s" s="124">
        <v>883</v>
      </c>
      <c r="D169" t="s" s="7">
        <v>884</v>
      </c>
      <c r="E169" s="8">
        <v>45589</v>
      </c>
      <c r="F169" t="s" s="5">
        <v>13</v>
      </c>
      <c r="G169" t="s" s="269">
        <v>2467</v>
      </c>
      <c r="H169" t="s" s="14">
        <v>2664</v>
      </c>
      <c r="I169" s="10"/>
      <c r="J169" s="68">
        <v>45609</v>
      </c>
      <c r="K169" t="s" s="268">
        <v>13</v>
      </c>
      <c r="L169" s="123"/>
      <c r="M169" s="222"/>
      <c r="N169" s="223"/>
      <c r="O169" t="s" s="229">
        <v>24</v>
      </c>
      <c r="P169" s="226"/>
      <c r="Q169" s="226"/>
      <c r="R169" s="226"/>
      <c r="S169" s="227"/>
      <c r="T169" s="222"/>
      <c r="U169" s="226"/>
      <c r="V169" s="227"/>
    </row>
    <row r="170" ht="27.7" customHeight="1">
      <c r="A170" t="s" s="21">
        <v>2401</v>
      </c>
      <c r="B170" t="s" s="5">
        <v>40</v>
      </c>
      <c r="C170" t="s" s="23">
        <v>883</v>
      </c>
      <c r="D170" t="s" s="7">
        <v>884</v>
      </c>
      <c r="E170" s="8">
        <v>45589</v>
      </c>
      <c r="F170" t="s" s="5">
        <v>13</v>
      </c>
      <c r="G170" t="s" s="249">
        <v>2467</v>
      </c>
      <c r="H170" t="s" s="113">
        <v>2665</v>
      </c>
      <c r="I170" t="s" s="21">
        <v>2666</v>
      </c>
      <c r="J170" s="25">
        <v>45617</v>
      </c>
      <c r="K170" t="s" s="5">
        <v>13</v>
      </c>
      <c r="L170" t="s" s="5">
        <v>13</v>
      </c>
      <c r="M170" s="254">
        <v>18.93</v>
      </c>
      <c r="N170" s="223"/>
      <c r="O170" s="252">
        <v>7</v>
      </c>
      <c r="P170" s="226"/>
      <c r="Q170" s="226"/>
      <c r="R170" s="226"/>
      <c r="S170" s="227"/>
      <c r="T170" s="222"/>
      <c r="U170" s="226"/>
      <c r="V170" s="227"/>
    </row>
    <row r="171" ht="27.7" customHeight="1">
      <c r="A171" t="s" s="30">
        <v>2401</v>
      </c>
      <c r="B171" t="s" s="5">
        <v>40</v>
      </c>
      <c r="C171" t="s" s="28">
        <v>1663</v>
      </c>
      <c r="D171" t="s" s="7">
        <v>303</v>
      </c>
      <c r="E171" s="8">
        <v>45589</v>
      </c>
      <c r="F171" t="s" s="5">
        <v>40</v>
      </c>
      <c r="G171" t="s" s="249">
        <v>2467</v>
      </c>
      <c r="H171" t="s" s="113">
        <v>2667</v>
      </c>
      <c r="I171" t="s" s="30">
        <v>2668</v>
      </c>
      <c r="J171" s="8"/>
      <c r="K171" t="s" s="5">
        <v>13</v>
      </c>
      <c r="L171" t="s" s="5">
        <v>40</v>
      </c>
      <c r="M171" s="241">
        <v>72.47</v>
      </c>
      <c r="N171" s="223"/>
      <c r="O171" s="252">
        <v>7</v>
      </c>
      <c r="P171" s="226"/>
      <c r="Q171" s="226"/>
      <c r="R171" s="226"/>
      <c r="S171" s="227"/>
      <c r="T171" s="222"/>
      <c r="U171" s="226"/>
      <c r="V171" s="227"/>
    </row>
    <row r="172" ht="27.7" customHeight="1">
      <c r="A172" t="s" s="30">
        <v>2401</v>
      </c>
      <c r="B172" t="s" s="5">
        <v>40</v>
      </c>
      <c r="C172" t="s" s="28">
        <v>302</v>
      </c>
      <c r="D172" t="s" s="7">
        <v>303</v>
      </c>
      <c r="E172" s="8">
        <v>45589</v>
      </c>
      <c r="F172" t="s" s="5">
        <v>40</v>
      </c>
      <c r="G172" t="s" s="249">
        <v>2467</v>
      </c>
      <c r="H172" t="s" s="113">
        <v>2669</v>
      </c>
      <c r="I172" t="s" s="30">
        <v>2670</v>
      </c>
      <c r="J172" s="8"/>
      <c r="K172" t="s" s="5">
        <v>13</v>
      </c>
      <c r="L172" t="s" s="5">
        <v>40</v>
      </c>
      <c r="M172" s="241">
        <v>72.47</v>
      </c>
      <c r="N172" s="223"/>
      <c r="O172" s="252">
        <v>7</v>
      </c>
      <c r="P172" s="226"/>
      <c r="Q172" s="226"/>
      <c r="R172" s="226"/>
      <c r="S172" s="227"/>
      <c r="T172" s="222"/>
      <c r="U172" s="226"/>
      <c r="V172" s="227"/>
    </row>
    <row r="173" ht="27.7" customHeight="1">
      <c r="A173" t="s" s="21">
        <v>2401</v>
      </c>
      <c r="B173" t="s" s="5">
        <v>40</v>
      </c>
      <c r="C173" t="s" s="23">
        <v>591</v>
      </c>
      <c r="D173" t="s" s="7">
        <v>15</v>
      </c>
      <c r="E173" s="8">
        <v>45604</v>
      </c>
      <c r="F173" t="s" s="5">
        <v>13</v>
      </c>
      <c r="G173" t="s" s="249">
        <v>2461</v>
      </c>
      <c r="H173" t="s" s="14">
        <v>2671</v>
      </c>
      <c r="I173" t="s" s="21">
        <v>2672</v>
      </c>
      <c r="J173" s="8"/>
      <c r="K173" t="s" s="5">
        <v>13</v>
      </c>
      <c r="L173" t="s" s="5">
        <v>13</v>
      </c>
      <c r="M173" s="254">
        <v>31.13</v>
      </c>
      <c r="N173" t="s" s="235">
        <v>2464</v>
      </c>
      <c r="O173" s="252">
        <v>7</v>
      </c>
      <c r="P173" s="226"/>
      <c r="Q173" s="226"/>
      <c r="R173" s="226"/>
      <c r="S173" s="227"/>
      <c r="T173" s="222"/>
      <c r="U173" s="226"/>
      <c r="V173" s="227"/>
    </row>
    <row r="174" ht="27.7" customHeight="1">
      <c r="A174" t="s" s="17">
        <v>2425</v>
      </c>
      <c r="B174" t="s" s="5">
        <v>40</v>
      </c>
      <c r="C174" t="s" s="124">
        <v>1811</v>
      </c>
      <c r="D174" t="s" s="7">
        <v>468</v>
      </c>
      <c r="E174" s="8">
        <v>45604</v>
      </c>
      <c r="F174" t="s" s="5">
        <v>13</v>
      </c>
      <c r="G174" t="s" s="249">
        <v>2461</v>
      </c>
      <c r="H174" t="s" s="14">
        <v>2673</v>
      </c>
      <c r="I174" t="s" s="343">
        <v>2674</v>
      </c>
      <c r="J174" s="8"/>
      <c r="K174" s="32"/>
      <c r="L174" s="123"/>
      <c r="M174" s="222"/>
      <c r="N174" s="223"/>
      <c r="O174" t="s" s="229">
        <v>24</v>
      </c>
      <c r="P174" s="226"/>
      <c r="Q174" s="226"/>
      <c r="R174" s="226"/>
      <c r="S174" s="227"/>
      <c r="T174" s="222"/>
      <c r="U174" s="226"/>
      <c r="V174" s="227"/>
    </row>
    <row r="175" ht="27.7" customHeight="1">
      <c r="A175" t="s" s="21">
        <v>2401</v>
      </c>
      <c r="B175" t="s" s="5">
        <v>40</v>
      </c>
      <c r="C175" t="s" s="23">
        <v>1811</v>
      </c>
      <c r="D175" t="s" s="7">
        <v>468</v>
      </c>
      <c r="E175" s="8">
        <v>45604</v>
      </c>
      <c r="F175" t="s" s="5">
        <v>13</v>
      </c>
      <c r="G175" t="s" s="249">
        <v>2461</v>
      </c>
      <c r="H175" t="s" s="113">
        <v>2675</v>
      </c>
      <c r="I175" t="s" s="270">
        <v>2676</v>
      </c>
      <c r="J175" s="8"/>
      <c r="K175" t="s" s="5">
        <v>13</v>
      </c>
      <c r="L175" t="s" s="5">
        <v>13</v>
      </c>
      <c r="M175" s="254">
        <v>31.13</v>
      </c>
      <c r="N175" t="s" s="235">
        <v>2464</v>
      </c>
      <c r="O175" s="252">
        <v>7</v>
      </c>
      <c r="P175" s="226"/>
      <c r="Q175" s="226"/>
      <c r="R175" s="226"/>
      <c r="S175" s="227"/>
      <c r="T175" s="222"/>
      <c r="U175" s="226"/>
      <c r="V175" s="227"/>
    </row>
    <row r="176" ht="27.7" customHeight="1">
      <c r="A176" t="s" s="30">
        <v>2401</v>
      </c>
      <c r="B176" t="s" s="5">
        <v>40</v>
      </c>
      <c r="C176" t="s" s="28">
        <v>382</v>
      </c>
      <c r="D176" t="s" s="7">
        <v>383</v>
      </c>
      <c r="E176" s="8">
        <v>45604</v>
      </c>
      <c r="F176" t="s" s="5">
        <v>40</v>
      </c>
      <c r="G176" t="s" s="249">
        <v>2467</v>
      </c>
      <c r="H176" t="s" s="113">
        <v>2677</v>
      </c>
      <c r="I176" t="s" s="30">
        <v>2678</v>
      </c>
      <c r="J176" s="8"/>
      <c r="K176" s="32"/>
      <c r="L176" s="123"/>
      <c r="M176" s="222"/>
      <c r="N176" s="223"/>
      <c r="O176" t="s" s="229">
        <v>24</v>
      </c>
      <c r="P176" s="226"/>
      <c r="Q176" s="226"/>
      <c r="R176" s="226"/>
      <c r="S176" s="227"/>
      <c r="T176" s="222"/>
      <c r="U176" s="226"/>
      <c r="V176" s="227"/>
    </row>
    <row r="177" ht="27.7" customHeight="1">
      <c r="A177" t="s" s="17">
        <v>2470</v>
      </c>
      <c r="B177" t="s" s="5">
        <v>40</v>
      </c>
      <c r="C177" t="s" s="124">
        <v>1459</v>
      </c>
      <c r="D177" t="s" s="7">
        <v>1460</v>
      </c>
      <c r="E177" s="8">
        <v>45638</v>
      </c>
      <c r="F177" t="s" s="268">
        <v>40</v>
      </c>
      <c r="G177" t="s" s="269">
        <v>2467</v>
      </c>
      <c r="H177" t="s" s="14">
        <v>2679</v>
      </c>
      <c r="I177" s="10"/>
      <c r="J177" s="8"/>
      <c r="K177" s="32"/>
      <c r="L177" s="123"/>
      <c r="M177" s="222"/>
      <c r="N177" s="223"/>
      <c r="O177" t="s" s="229">
        <v>24</v>
      </c>
      <c r="P177" s="226"/>
      <c r="Q177" s="226"/>
      <c r="R177" s="226"/>
      <c r="S177" s="227"/>
      <c r="T177" s="222"/>
      <c r="U177" s="226"/>
      <c r="V177" s="227"/>
    </row>
    <row r="178" ht="27.7" customHeight="1">
      <c r="A178" t="s" s="30">
        <v>2401</v>
      </c>
      <c r="B178" t="s" s="5">
        <v>40</v>
      </c>
      <c r="C178" t="s" s="28">
        <v>1459</v>
      </c>
      <c r="D178" t="s" s="7">
        <v>390</v>
      </c>
      <c r="E178" s="8">
        <v>45638</v>
      </c>
      <c r="F178" t="s" s="5">
        <v>40</v>
      </c>
      <c r="G178" t="s" s="249">
        <v>2467</v>
      </c>
      <c r="H178" t="s" s="113">
        <v>2680</v>
      </c>
      <c r="I178" t="s" s="30">
        <v>2681</v>
      </c>
      <c r="J178" s="8">
        <v>45672</v>
      </c>
      <c r="K178" t="s" s="5">
        <v>13</v>
      </c>
      <c r="L178" t="s" s="47">
        <v>40</v>
      </c>
      <c r="M178" s="254">
        <v>72.47</v>
      </c>
      <c r="N178" s="223"/>
      <c r="O178" t="s" s="229">
        <v>24</v>
      </c>
      <c r="P178" s="226"/>
      <c r="Q178" s="226"/>
      <c r="R178" s="226"/>
      <c r="S178" s="227"/>
      <c r="T178" s="222"/>
      <c r="U178" s="226"/>
      <c r="V178" s="227"/>
    </row>
    <row r="179" ht="27.7" customHeight="1">
      <c r="A179" t="s" s="30">
        <v>2401</v>
      </c>
      <c r="B179" t="s" s="5">
        <v>40</v>
      </c>
      <c r="C179" t="s" s="28">
        <v>791</v>
      </c>
      <c r="D179" t="s" s="7">
        <v>390</v>
      </c>
      <c r="E179" s="8">
        <v>45638</v>
      </c>
      <c r="F179" t="s" s="5">
        <v>40</v>
      </c>
      <c r="G179" t="s" s="249">
        <v>2467</v>
      </c>
      <c r="H179" t="s" s="113">
        <v>2682</v>
      </c>
      <c r="I179" t="s" s="30">
        <v>2683</v>
      </c>
      <c r="J179" s="8">
        <v>45672</v>
      </c>
      <c r="K179" t="s" s="5">
        <v>13</v>
      </c>
      <c r="L179" t="s" s="47">
        <v>40</v>
      </c>
      <c r="M179" s="254">
        <v>72.47</v>
      </c>
      <c r="N179" s="223"/>
      <c r="O179" t="s" s="229">
        <v>24</v>
      </c>
      <c r="P179" s="226"/>
      <c r="Q179" s="226"/>
      <c r="R179" s="226"/>
      <c r="S179" s="227"/>
      <c r="T179" s="222"/>
      <c r="U179" s="226"/>
      <c r="V179" s="227"/>
    </row>
    <row r="180" ht="27.7" customHeight="1">
      <c r="A180" t="s" s="21">
        <v>2401</v>
      </c>
      <c r="B180" t="s" s="5">
        <v>40</v>
      </c>
      <c r="C180" t="s" s="23">
        <v>2028</v>
      </c>
      <c r="D180" t="s" s="7">
        <v>117</v>
      </c>
      <c r="E180" s="8">
        <v>45638</v>
      </c>
      <c r="F180" t="s" s="5">
        <v>13</v>
      </c>
      <c r="G180" t="s" s="249">
        <v>2461</v>
      </c>
      <c r="H180" t="s" s="113">
        <v>2684</v>
      </c>
      <c r="I180" t="s" s="21">
        <v>2685</v>
      </c>
      <c r="J180" s="8"/>
      <c r="K180" s="32"/>
      <c r="L180" s="123"/>
      <c r="M180" s="222"/>
      <c r="N180" s="223"/>
      <c r="O180" t="s" s="229">
        <v>24</v>
      </c>
      <c r="P180" s="226"/>
      <c r="Q180" s="226"/>
      <c r="R180" s="226"/>
      <c r="S180" s="227"/>
      <c r="T180" s="222"/>
      <c r="U180" s="226"/>
      <c r="V180" s="227"/>
    </row>
    <row r="181" ht="27.7" customHeight="1">
      <c r="A181" t="s" s="21">
        <v>2401</v>
      </c>
      <c r="B181" t="s" s="5">
        <v>40</v>
      </c>
      <c r="C181" t="s" s="23">
        <v>150</v>
      </c>
      <c r="D181" t="s" s="7">
        <v>151</v>
      </c>
      <c r="E181" s="8">
        <v>45638</v>
      </c>
      <c r="F181" t="s" s="5">
        <v>13</v>
      </c>
      <c r="G181" t="s" s="249">
        <v>2461</v>
      </c>
      <c r="H181" t="s" s="113">
        <v>2686</v>
      </c>
      <c r="I181" t="s" s="21">
        <v>2687</v>
      </c>
      <c r="J181" s="8"/>
      <c r="K181" s="32"/>
      <c r="L181" s="123"/>
      <c r="M181" s="222"/>
      <c r="N181" s="223"/>
      <c r="O181" t="s" s="229">
        <v>24</v>
      </c>
      <c r="P181" s="226"/>
      <c r="Q181" s="226"/>
      <c r="R181" s="226"/>
      <c r="S181" s="227"/>
      <c r="T181" s="222"/>
      <c r="U181" s="226"/>
      <c r="V181" s="227"/>
    </row>
    <row r="182" ht="27.7" customHeight="1">
      <c r="A182" t="s" s="17">
        <v>2470</v>
      </c>
      <c r="B182" t="s" s="5">
        <v>40</v>
      </c>
      <c r="C182" t="s" s="124">
        <v>150</v>
      </c>
      <c r="D182" t="s" s="7">
        <v>151</v>
      </c>
      <c r="E182" s="8">
        <v>45707</v>
      </c>
      <c r="F182" t="s" s="5">
        <v>40</v>
      </c>
      <c r="G182" t="s" s="249">
        <v>2461</v>
      </c>
      <c r="H182" t="s" s="113">
        <v>2688</v>
      </c>
      <c r="I182" t="s" s="30">
        <v>2689</v>
      </c>
      <c r="J182" s="8"/>
      <c r="K182" s="32"/>
      <c r="L182" t="s" s="5">
        <v>40</v>
      </c>
      <c r="M182" s="222"/>
      <c r="N182" s="223"/>
      <c r="O182" s="224"/>
      <c r="P182" s="226"/>
      <c r="Q182" s="226"/>
      <c r="R182" s="226"/>
      <c r="S182" s="227"/>
      <c r="T182" s="222"/>
      <c r="U182" s="226"/>
      <c r="V182" s="227"/>
    </row>
    <row r="183" ht="27.7" customHeight="1">
      <c r="A183" t="s" s="17">
        <v>2470</v>
      </c>
      <c r="B183" t="s" s="5">
        <v>40</v>
      </c>
      <c r="C183" t="s" s="124">
        <v>150</v>
      </c>
      <c r="D183" t="s" s="7">
        <v>151</v>
      </c>
      <c r="E183" s="8">
        <v>45707</v>
      </c>
      <c r="F183" t="s" s="5">
        <v>40</v>
      </c>
      <c r="G183" t="s" s="249">
        <v>2461</v>
      </c>
      <c r="H183" t="s" s="113">
        <v>2690</v>
      </c>
      <c r="I183" t="s" s="30">
        <v>2691</v>
      </c>
      <c r="J183" s="8"/>
      <c r="K183" s="32"/>
      <c r="L183" s="123"/>
      <c r="M183" s="222"/>
      <c r="N183" s="223"/>
      <c r="O183" s="224"/>
      <c r="P183" s="226"/>
      <c r="Q183" s="226"/>
      <c r="R183" s="226"/>
      <c r="S183" s="227"/>
      <c r="T183" s="222"/>
      <c r="U183" s="226"/>
      <c r="V183" s="227"/>
    </row>
    <row r="184" ht="27.7" customHeight="1">
      <c r="A184" t="s" s="21">
        <v>2401</v>
      </c>
      <c r="B184" t="s" s="5">
        <v>40</v>
      </c>
      <c r="C184" t="s" s="23">
        <v>1985</v>
      </c>
      <c r="D184" t="s" s="7">
        <v>15</v>
      </c>
      <c r="E184" s="8">
        <v>45798</v>
      </c>
      <c r="F184" t="s" s="5">
        <v>13</v>
      </c>
      <c r="G184" t="s" s="249">
        <v>2467</v>
      </c>
      <c r="H184" t="s" s="113">
        <v>2692</v>
      </c>
      <c r="I184" t="s" s="113">
        <v>2693</v>
      </c>
      <c r="J184" s="8"/>
      <c r="K184" s="32"/>
      <c r="L184" s="123"/>
      <c r="M184" s="222"/>
      <c r="N184" s="223"/>
      <c r="O184" s="224"/>
      <c r="P184" s="226"/>
      <c r="Q184" s="226"/>
      <c r="R184" s="226"/>
      <c r="S184" s="227"/>
      <c r="T184" s="222"/>
      <c r="U184" s="226"/>
      <c r="V184" s="227"/>
    </row>
    <row r="185" ht="27.7" customHeight="1">
      <c r="A185" t="s" s="21">
        <v>2401</v>
      </c>
      <c r="B185" t="s" s="5">
        <v>40</v>
      </c>
      <c r="C185" t="s" s="23">
        <v>544</v>
      </c>
      <c r="D185" t="s" s="7">
        <v>545</v>
      </c>
      <c r="E185" s="8">
        <v>45798</v>
      </c>
      <c r="F185" t="s" s="5">
        <v>13</v>
      </c>
      <c r="G185" t="s" s="249">
        <v>2467</v>
      </c>
      <c r="H185" t="s" s="113">
        <v>2694</v>
      </c>
      <c r="I185" t="s" s="14">
        <v>2695</v>
      </c>
      <c r="J185" s="8"/>
      <c r="K185" s="32"/>
      <c r="L185" s="123"/>
      <c r="M185" s="222"/>
      <c r="N185" s="223"/>
      <c r="O185" s="224"/>
      <c r="P185" s="226"/>
      <c r="Q185" s="226"/>
      <c r="R185" s="226"/>
      <c r="S185" s="227"/>
      <c r="T185" s="222"/>
      <c r="U185" s="226"/>
      <c r="V185" s="227"/>
    </row>
    <row r="186" ht="27.7" customHeight="1">
      <c r="A186" t="s" s="17">
        <v>2470</v>
      </c>
      <c r="B186" t="s" s="5">
        <v>40</v>
      </c>
      <c r="C186" t="s" s="124">
        <v>847</v>
      </c>
      <c r="D186" t="s" s="344">
        <v>151</v>
      </c>
      <c r="E186" s="8">
        <v>45798</v>
      </c>
      <c r="F186" t="s" s="268">
        <v>13</v>
      </c>
      <c r="G186" t="s" s="269">
        <v>2461</v>
      </c>
      <c r="H186" t="s" s="14">
        <v>2696</v>
      </c>
      <c r="I186" t="s" s="14">
        <v>2697</v>
      </c>
      <c r="J186" s="8"/>
      <c r="K186" s="32"/>
      <c r="L186" s="123"/>
      <c r="M186" s="222"/>
      <c r="N186" s="223"/>
      <c r="O186" s="224"/>
      <c r="P186" s="226"/>
      <c r="Q186" s="226"/>
      <c r="R186" s="226"/>
      <c r="S186" s="227"/>
      <c r="T186" s="222"/>
      <c r="U186" s="226"/>
      <c r="V186" s="227"/>
    </row>
    <row r="187" ht="27.7" customHeight="1">
      <c r="A187" t="s" s="21">
        <v>2401</v>
      </c>
      <c r="B187" t="s" s="5">
        <v>40</v>
      </c>
      <c r="C187" t="s" s="23">
        <v>847</v>
      </c>
      <c r="D187" t="s" s="7">
        <v>151</v>
      </c>
      <c r="E187" s="8">
        <v>45798</v>
      </c>
      <c r="F187" t="s" s="5">
        <v>13</v>
      </c>
      <c r="G187" t="s" s="249">
        <v>2467</v>
      </c>
      <c r="H187" t="s" s="113">
        <v>2698</v>
      </c>
      <c r="I187" t="s" s="113">
        <v>2699</v>
      </c>
      <c r="J187" s="8"/>
      <c r="K187" s="32"/>
      <c r="L187" s="123"/>
      <c r="M187" s="222"/>
      <c r="N187" s="223"/>
      <c r="O187" s="224"/>
      <c r="P187" s="226"/>
      <c r="Q187" s="226"/>
      <c r="R187" s="226"/>
      <c r="S187" s="227"/>
      <c r="T187" s="222"/>
      <c r="U187" s="226"/>
      <c r="V187" s="227"/>
    </row>
    <row r="188" ht="27.7" customHeight="1">
      <c r="A188" t="s" s="21">
        <v>2401</v>
      </c>
      <c r="B188" t="s" s="5">
        <v>40</v>
      </c>
      <c r="C188" t="s" s="23">
        <v>150</v>
      </c>
      <c r="D188" t="s" s="7">
        <v>151</v>
      </c>
      <c r="E188" s="8">
        <v>45798</v>
      </c>
      <c r="F188" t="s" s="5">
        <v>13</v>
      </c>
      <c r="G188" t="s" s="249">
        <v>2461</v>
      </c>
      <c r="H188" t="s" s="113">
        <v>2700</v>
      </c>
      <c r="I188" t="s" s="113">
        <v>2701</v>
      </c>
      <c r="J188" s="8"/>
      <c r="K188" s="32"/>
      <c r="L188" s="123"/>
      <c r="M188" s="222"/>
      <c r="N188" s="223"/>
      <c r="O188" s="224"/>
      <c r="P188" s="226"/>
      <c r="Q188" s="226"/>
      <c r="R188" s="226"/>
      <c r="S188" s="227"/>
      <c r="T188" s="222"/>
      <c r="U188" s="226"/>
      <c r="V188" s="227"/>
    </row>
    <row r="189" ht="27.7" customHeight="1">
      <c r="A189" t="s" s="21">
        <v>2401</v>
      </c>
      <c r="B189" t="s" s="5">
        <v>40</v>
      </c>
      <c r="C189" t="s" s="23">
        <v>1768</v>
      </c>
      <c r="D189" t="s" s="7">
        <v>468</v>
      </c>
      <c r="E189" s="8">
        <v>45854</v>
      </c>
      <c r="F189" t="s" s="5">
        <v>13</v>
      </c>
      <c r="G189" t="s" s="249">
        <v>2461</v>
      </c>
      <c r="H189" t="s" s="113">
        <v>2702</v>
      </c>
      <c r="I189" t="s" s="113">
        <v>2703</v>
      </c>
      <c r="J189" s="8"/>
      <c r="K189" s="32"/>
      <c r="L189" s="123"/>
      <c r="M189" s="222"/>
      <c r="N189" s="223"/>
      <c r="O189" s="224"/>
      <c r="P189" s="226"/>
      <c r="Q189" s="226"/>
      <c r="R189" s="226"/>
      <c r="S189" s="227"/>
      <c r="T189" s="222"/>
      <c r="U189" s="226"/>
      <c r="V189" s="227"/>
    </row>
    <row r="190" ht="27.7" customHeight="1">
      <c r="A190" t="s" s="21">
        <v>2401</v>
      </c>
      <c r="B190" t="s" s="5">
        <v>40</v>
      </c>
      <c r="C190" t="s" s="23">
        <v>464</v>
      </c>
      <c r="D190" t="s" s="7">
        <v>468</v>
      </c>
      <c r="E190" s="8">
        <v>45854</v>
      </c>
      <c r="F190" t="s" s="5">
        <v>13</v>
      </c>
      <c r="G190" t="s" s="249">
        <v>2461</v>
      </c>
      <c r="H190" t="s" s="113">
        <v>2704</v>
      </c>
      <c r="I190" t="s" s="113">
        <v>2705</v>
      </c>
      <c r="J190" s="8"/>
      <c r="K190" s="32"/>
      <c r="L190" s="123"/>
      <c r="M190" s="222"/>
      <c r="N190" s="223"/>
      <c r="O190" s="224"/>
      <c r="P190" s="226"/>
      <c r="Q190" s="226"/>
      <c r="R190" s="226"/>
      <c r="S190" s="227"/>
      <c r="T190" s="222"/>
      <c r="U190" s="226"/>
      <c r="V190" s="227"/>
    </row>
    <row r="191" ht="27.7" customHeight="1">
      <c r="A191" t="s" s="274">
        <v>2401</v>
      </c>
      <c r="B191" t="s" s="5">
        <v>40</v>
      </c>
      <c r="C191" t="s" s="23">
        <v>14</v>
      </c>
      <c r="D191" t="s" s="7">
        <v>15</v>
      </c>
      <c r="E191" s="8">
        <v>45854</v>
      </c>
      <c r="F191" t="s" s="5">
        <v>13</v>
      </c>
      <c r="G191" t="s" s="249">
        <v>2461</v>
      </c>
      <c r="H191" t="s" s="113">
        <v>2706</v>
      </c>
      <c r="I191" t="s" s="113">
        <v>2707</v>
      </c>
      <c r="J191" s="8"/>
      <c r="K191" s="32"/>
      <c r="L191" s="123"/>
      <c r="M191" s="222"/>
      <c r="N191" s="223"/>
      <c r="O191" s="224"/>
      <c r="P191" s="226"/>
      <c r="Q191" s="226"/>
      <c r="R191" s="226"/>
      <c r="S191" s="227"/>
      <c r="T191" s="222"/>
      <c r="U191" s="226"/>
      <c r="V191" s="227"/>
    </row>
    <row r="192" ht="27.7" customHeight="1">
      <c r="A192" t="s" s="345">
        <v>12</v>
      </c>
      <c r="B192" t="s" s="61">
        <v>40</v>
      </c>
      <c r="C192" t="s" s="6">
        <v>1650</v>
      </c>
      <c r="D192" t="s" s="7">
        <v>72</v>
      </c>
      <c r="E192" s="8">
        <v>45854</v>
      </c>
      <c r="F192" t="s" s="268">
        <v>13</v>
      </c>
      <c r="G192" t="s" s="269">
        <v>2461</v>
      </c>
      <c r="H192" t="s" s="14">
        <v>2708</v>
      </c>
      <c r="I192" t="s" s="14">
        <v>2709</v>
      </c>
      <c r="J192" s="8"/>
      <c r="K192" s="32"/>
      <c r="L192" s="123"/>
      <c r="M192" s="222"/>
      <c r="N192" t="s" s="346">
        <v>2710</v>
      </c>
      <c r="O192" s="224"/>
      <c r="P192" s="226"/>
      <c r="Q192" s="226"/>
      <c r="R192" s="226"/>
      <c r="S192" s="227"/>
      <c r="T192" s="222"/>
      <c r="U192" s="226"/>
      <c r="V192" s="227"/>
    </row>
    <row r="193" ht="27.7" customHeight="1">
      <c r="A193" t="s" s="347">
        <v>12</v>
      </c>
      <c r="B193" t="s" s="5">
        <v>40</v>
      </c>
      <c r="C193" t="s" s="6">
        <v>1650</v>
      </c>
      <c r="D193" t="s" s="7">
        <v>72</v>
      </c>
      <c r="E193" s="8">
        <v>45854</v>
      </c>
      <c r="F193" t="s" s="5">
        <v>13</v>
      </c>
      <c r="G193" t="s" s="249">
        <v>2467</v>
      </c>
      <c r="H193" t="s" s="113">
        <v>2711</v>
      </c>
      <c r="I193" s="14"/>
      <c r="J193" s="8"/>
      <c r="K193" s="32"/>
      <c r="L193" s="123"/>
      <c r="M193" s="222"/>
      <c r="N193" s="223"/>
      <c r="O193" s="224"/>
      <c r="P193" s="226"/>
      <c r="Q193" s="226"/>
      <c r="R193" s="226"/>
      <c r="S193" s="227"/>
      <c r="T193" s="222"/>
      <c r="U193" s="226"/>
      <c r="V193" s="227"/>
    </row>
    <row r="194" ht="27.7" customHeight="1">
      <c r="A194" t="s" s="21">
        <v>2401</v>
      </c>
      <c r="B194" t="s" s="5">
        <v>40</v>
      </c>
      <c r="C194" t="s" s="23">
        <v>1901</v>
      </c>
      <c r="D194" t="s" s="7">
        <v>390</v>
      </c>
      <c r="E194" s="8">
        <v>45854</v>
      </c>
      <c r="F194" t="s" s="5">
        <v>13</v>
      </c>
      <c r="G194" t="s" s="249">
        <v>2467</v>
      </c>
      <c r="H194" t="s" s="113">
        <v>2712</v>
      </c>
      <c r="I194" t="s" s="113">
        <v>2713</v>
      </c>
      <c r="J194" s="8"/>
      <c r="K194" s="32"/>
      <c r="L194" s="123"/>
      <c r="M194" s="222"/>
      <c r="N194" s="223"/>
      <c r="O194" s="224"/>
      <c r="P194" s="226"/>
      <c r="Q194" s="226"/>
      <c r="R194" s="226"/>
      <c r="S194" s="227"/>
      <c r="T194" s="222"/>
      <c r="U194" s="226"/>
      <c r="V194" s="227"/>
    </row>
    <row r="195" ht="27.7" customHeight="1">
      <c r="A195" t="s" s="21">
        <v>2401</v>
      </c>
      <c r="B195" t="s" s="5">
        <v>40</v>
      </c>
      <c r="C195" t="s" s="23">
        <v>883</v>
      </c>
      <c r="D195" t="s" s="7">
        <v>888</v>
      </c>
      <c r="E195" s="8">
        <v>45875</v>
      </c>
      <c r="F195" t="s" s="5">
        <v>13</v>
      </c>
      <c r="G195" t="s" s="249">
        <v>2467</v>
      </c>
      <c r="H195" t="s" s="113">
        <v>2714</v>
      </c>
      <c r="I195" t="s" s="113">
        <v>2715</v>
      </c>
      <c r="J195" s="8"/>
      <c r="K195" s="32"/>
      <c r="L195" s="123"/>
      <c r="M195" s="222"/>
      <c r="N195" s="223"/>
      <c r="O195" s="224"/>
      <c r="P195" s="226"/>
      <c r="Q195" s="226"/>
      <c r="R195" s="226"/>
      <c r="S195" s="227"/>
      <c r="T195" s="222"/>
      <c r="U195" s="226"/>
      <c r="V195" s="227"/>
    </row>
    <row r="196" ht="27.7" customHeight="1">
      <c r="A196" t="s" s="21">
        <v>2401</v>
      </c>
      <c r="B196" t="s" s="5">
        <v>40</v>
      </c>
      <c r="C196" t="s" s="23">
        <v>1901</v>
      </c>
      <c r="D196" t="s" s="7">
        <v>390</v>
      </c>
      <c r="E196" s="8">
        <v>45875</v>
      </c>
      <c r="F196" t="s" s="5">
        <v>13</v>
      </c>
      <c r="G196" t="s" s="249">
        <v>2461</v>
      </c>
      <c r="H196" t="s" s="113">
        <v>2716</v>
      </c>
      <c r="I196" t="s" s="113">
        <v>2717</v>
      </c>
      <c r="J196" s="8"/>
      <c r="K196" s="32"/>
      <c r="L196" s="123"/>
      <c r="M196" s="222"/>
      <c r="N196" s="223"/>
      <c r="O196" s="224"/>
      <c r="P196" s="226"/>
      <c r="Q196" s="226"/>
      <c r="R196" s="226"/>
      <c r="S196" s="227"/>
      <c r="T196" s="222"/>
      <c r="U196" s="226"/>
      <c r="V196" s="227"/>
    </row>
    <row r="197" ht="27.7" customHeight="1">
      <c r="A197" t="s" s="21">
        <v>2401</v>
      </c>
      <c r="B197" t="s" s="5">
        <v>40</v>
      </c>
      <c r="C197" t="s" s="23">
        <v>1373</v>
      </c>
      <c r="D197" t="s" s="7">
        <v>117</v>
      </c>
      <c r="E197" s="8">
        <v>45875</v>
      </c>
      <c r="F197" t="s" s="5">
        <v>13</v>
      </c>
      <c r="G197" t="s" s="249">
        <v>2467</v>
      </c>
      <c r="H197" t="s" s="113">
        <v>2718</v>
      </c>
      <c r="I197" t="s" s="113">
        <v>2719</v>
      </c>
      <c r="J197" s="8"/>
      <c r="K197" s="32"/>
      <c r="L197" s="123"/>
      <c r="M197" s="222"/>
      <c r="N197" t="s" s="223">
        <v>2720</v>
      </c>
      <c r="O197" s="224"/>
      <c r="P197" s="226"/>
      <c r="Q197" s="226"/>
      <c r="R197" s="226"/>
      <c r="S197" s="227"/>
      <c r="T197" s="222"/>
      <c r="U197" s="226"/>
      <c r="V197" s="227"/>
    </row>
    <row r="198" ht="27.7" customHeight="1">
      <c r="A198" t="s" s="21">
        <v>2401</v>
      </c>
      <c r="B198" t="s" s="5">
        <v>40</v>
      </c>
      <c r="C198" t="s" s="23">
        <v>847</v>
      </c>
      <c r="D198" t="s" s="7">
        <v>151</v>
      </c>
      <c r="E198" s="8">
        <v>45875</v>
      </c>
      <c r="F198" t="s" s="5">
        <v>13</v>
      </c>
      <c r="G198" t="s" s="249">
        <v>2467</v>
      </c>
      <c r="H198" t="s" s="113">
        <v>2721</v>
      </c>
      <c r="I198" s="14"/>
      <c r="J198" s="8"/>
      <c r="K198" s="32"/>
      <c r="L198" s="123"/>
      <c r="M198" s="222"/>
      <c r="N198" s="223"/>
      <c r="O198" s="224"/>
      <c r="P198" s="226"/>
      <c r="Q198" s="226"/>
      <c r="R198" s="226"/>
      <c r="S198" s="227"/>
      <c r="T198" s="222"/>
      <c r="U198" s="226"/>
      <c r="V198" s="227"/>
    </row>
    <row r="199" ht="27.7" customHeight="1">
      <c r="A199" t="s" s="21">
        <v>2401</v>
      </c>
      <c r="B199" t="s" s="5">
        <v>40</v>
      </c>
      <c r="C199" t="s" s="23">
        <v>150</v>
      </c>
      <c r="D199" t="s" s="7">
        <v>151</v>
      </c>
      <c r="E199" s="8">
        <v>45875</v>
      </c>
      <c r="F199" t="s" s="5">
        <v>13</v>
      </c>
      <c r="G199" t="s" s="249">
        <v>2461</v>
      </c>
      <c r="H199" t="s" s="113">
        <v>2722</v>
      </c>
      <c r="I199" t="s" s="113">
        <v>2723</v>
      </c>
      <c r="J199" s="8"/>
      <c r="K199" s="32"/>
      <c r="L199" s="123"/>
      <c r="M199" s="222"/>
      <c r="N199" s="223"/>
      <c r="O199" s="224"/>
      <c r="P199" s="226"/>
      <c r="Q199" s="226"/>
      <c r="R199" s="226"/>
      <c r="S199" s="227"/>
      <c r="T199" s="222"/>
      <c r="U199" s="226"/>
      <c r="V199" s="227"/>
    </row>
    <row r="200" ht="27.7" customHeight="1">
      <c r="A200" t="s" s="17">
        <v>2425</v>
      </c>
      <c r="B200" t="s" s="5">
        <v>40</v>
      </c>
      <c r="C200" t="s" s="6">
        <v>1459</v>
      </c>
      <c r="D200" t="s" s="7">
        <v>1460</v>
      </c>
      <c r="E200" s="8">
        <v>45875</v>
      </c>
      <c r="F200" t="s" s="5">
        <v>13</v>
      </c>
      <c r="G200" t="s" s="249">
        <v>2467</v>
      </c>
      <c r="H200" t="s" s="113">
        <v>2724</v>
      </c>
      <c r="I200" s="113"/>
      <c r="J200" s="8"/>
      <c r="K200" s="32"/>
      <c r="L200" s="123"/>
      <c r="M200" s="222"/>
      <c r="N200" s="223"/>
      <c r="O200" s="224"/>
      <c r="P200" s="226"/>
      <c r="Q200" s="226"/>
      <c r="R200" s="226"/>
      <c r="S200" s="227"/>
      <c r="T200" s="222"/>
      <c r="U200" s="226"/>
      <c r="V200" s="227"/>
    </row>
    <row r="201" ht="27.7" customHeight="1">
      <c r="A201" t="s" s="21">
        <v>2401</v>
      </c>
      <c r="B201" t="s" s="5">
        <v>40</v>
      </c>
      <c r="C201" t="s" s="23">
        <v>591</v>
      </c>
      <c r="D201" t="s" s="7">
        <v>15</v>
      </c>
      <c r="E201" s="8">
        <v>45875</v>
      </c>
      <c r="F201" t="s" s="5">
        <v>13</v>
      </c>
      <c r="G201" t="s" s="249">
        <v>2461</v>
      </c>
      <c r="H201" t="s" s="113">
        <v>2725</v>
      </c>
      <c r="I201" t="s" s="113">
        <v>2726</v>
      </c>
      <c r="J201" s="8"/>
      <c r="K201" s="32"/>
      <c r="L201" s="123"/>
      <c r="M201" s="222"/>
      <c r="N201" s="223"/>
      <c r="O201" s="224"/>
      <c r="P201" s="226"/>
      <c r="Q201" s="226"/>
      <c r="R201" s="226"/>
      <c r="S201" s="227"/>
      <c r="T201" s="222"/>
      <c r="U201" s="226"/>
      <c r="V201" s="227"/>
    </row>
    <row r="202" ht="27.7" customHeight="1">
      <c r="A202" t="s" s="21">
        <v>2401</v>
      </c>
      <c r="B202" t="s" s="5">
        <v>40</v>
      </c>
      <c r="C202" t="s" s="23">
        <v>1249</v>
      </c>
      <c r="D202" t="s" s="7">
        <v>129</v>
      </c>
      <c r="E202" s="8">
        <v>45924</v>
      </c>
      <c r="F202" t="s" s="5">
        <v>13</v>
      </c>
      <c r="G202" t="s" s="249">
        <v>2461</v>
      </c>
      <c r="H202" t="s" s="113">
        <v>2727</v>
      </c>
      <c r="I202" t="s" s="113">
        <v>2728</v>
      </c>
      <c r="J202" s="8"/>
      <c r="K202" s="32"/>
      <c r="L202" s="123"/>
      <c r="M202" s="222"/>
      <c r="N202" s="223"/>
      <c r="O202" s="224"/>
      <c r="P202" s="226"/>
      <c r="Q202" s="226"/>
      <c r="R202" s="226"/>
      <c r="S202" s="227"/>
      <c r="T202" s="222"/>
      <c r="U202" s="226"/>
      <c r="V202" s="227"/>
    </row>
    <row r="203" ht="27.7" customHeight="1">
      <c r="A203" t="s" s="17">
        <v>2425</v>
      </c>
      <c r="B203" t="s" s="5">
        <v>40</v>
      </c>
      <c r="C203" t="s" s="6">
        <v>1811</v>
      </c>
      <c r="D203" t="s" s="7">
        <v>465</v>
      </c>
      <c r="E203" s="8">
        <v>45924</v>
      </c>
      <c r="F203" t="s" s="5">
        <v>13</v>
      </c>
      <c r="G203" t="s" s="249">
        <v>2461</v>
      </c>
      <c r="H203" t="s" s="113">
        <v>2729</v>
      </c>
      <c r="I203" t="s" s="113">
        <v>2730</v>
      </c>
      <c r="J203" s="8"/>
      <c r="K203" s="32"/>
      <c r="L203" s="123"/>
      <c r="M203" s="222"/>
      <c r="N203" t="s" s="223">
        <v>2731</v>
      </c>
      <c r="O203" s="224"/>
      <c r="P203" s="226"/>
      <c r="Q203" s="226"/>
      <c r="R203" s="226"/>
      <c r="S203" s="227"/>
      <c r="T203" s="222"/>
      <c r="U203" s="226"/>
      <c r="V203" s="227"/>
    </row>
    <row r="204" ht="27.7" customHeight="1">
      <c r="A204" t="s" s="17">
        <v>517</v>
      </c>
      <c r="B204" t="s" s="5">
        <v>40</v>
      </c>
      <c r="C204" t="s" s="6">
        <v>1811</v>
      </c>
      <c r="D204" t="s" s="7">
        <v>465</v>
      </c>
      <c r="E204" s="8">
        <v>45924</v>
      </c>
      <c r="F204" t="s" s="5">
        <v>13</v>
      </c>
      <c r="G204" t="s" s="249">
        <v>2467</v>
      </c>
      <c r="H204" t="s" s="113">
        <v>2732</v>
      </c>
      <c r="I204" s="113"/>
      <c r="J204" s="8"/>
      <c r="K204" s="32"/>
      <c r="L204" s="123"/>
      <c r="M204" s="222"/>
      <c r="N204" s="223"/>
      <c r="O204" s="224"/>
      <c r="P204" s="226"/>
      <c r="Q204" s="226"/>
      <c r="R204" s="226"/>
      <c r="S204" s="227"/>
      <c r="T204" s="222"/>
      <c r="U204" s="226"/>
      <c r="V204" s="227"/>
    </row>
    <row r="205" ht="27.7" customHeight="1">
      <c r="A205" t="s" s="47">
        <v>2492</v>
      </c>
      <c r="B205" t="s" s="5">
        <v>40</v>
      </c>
      <c r="C205" t="s" s="6">
        <v>1811</v>
      </c>
      <c r="D205" t="s" s="7">
        <v>465</v>
      </c>
      <c r="E205" s="8">
        <v>45924</v>
      </c>
      <c r="F205" t="s" s="5">
        <v>13</v>
      </c>
      <c r="G205" t="s" s="249">
        <v>2461</v>
      </c>
      <c r="H205" t="s" s="113">
        <v>2733</v>
      </c>
      <c r="I205" t="s" s="113">
        <v>2734</v>
      </c>
      <c r="J205" s="8"/>
      <c r="K205" s="32"/>
      <c r="L205" s="123"/>
      <c r="M205" s="222"/>
      <c r="N205" s="223"/>
      <c r="O205" s="224"/>
      <c r="P205" s="226"/>
      <c r="Q205" s="226"/>
      <c r="R205" s="226"/>
      <c r="S205" s="227"/>
      <c r="T205" s="222"/>
      <c r="U205" s="226"/>
      <c r="V205" s="227"/>
    </row>
    <row r="206" ht="27.7" customHeight="1">
      <c r="A206" t="s" s="21">
        <v>2401</v>
      </c>
      <c r="B206" t="s" s="5">
        <v>40</v>
      </c>
      <c r="C206" t="s" s="23">
        <v>1768</v>
      </c>
      <c r="D206" t="s" s="7">
        <v>465</v>
      </c>
      <c r="E206" s="8">
        <v>45924</v>
      </c>
      <c r="F206" t="s" s="5">
        <v>13</v>
      </c>
      <c r="G206" t="s" s="249">
        <v>2461</v>
      </c>
      <c r="H206" t="s" s="113">
        <v>2735</v>
      </c>
      <c r="I206" t="s" s="113">
        <v>2736</v>
      </c>
      <c r="J206" s="8"/>
      <c r="K206" s="32"/>
      <c r="L206" s="123"/>
      <c r="M206" s="222"/>
      <c r="N206" s="223"/>
      <c r="O206" s="224"/>
      <c r="P206" s="226"/>
      <c r="Q206" s="226"/>
      <c r="R206" s="226"/>
      <c r="S206" s="227"/>
      <c r="T206" s="222"/>
      <c r="U206" s="226"/>
      <c r="V206" s="227"/>
    </row>
    <row r="207" ht="27.7" customHeight="1">
      <c r="A207" t="s" s="17">
        <v>2470</v>
      </c>
      <c r="B207" t="s" s="5">
        <v>40</v>
      </c>
      <c r="C207" t="s" s="124">
        <v>544</v>
      </c>
      <c r="D207" t="s" s="7">
        <v>545</v>
      </c>
      <c r="E207" s="8">
        <v>45924</v>
      </c>
      <c r="F207" t="s" s="5">
        <v>13</v>
      </c>
      <c r="G207" t="s" s="269">
        <v>2467</v>
      </c>
      <c r="H207" t="s" s="14">
        <v>2737</v>
      </c>
      <c r="I207" s="14"/>
      <c r="J207" s="8"/>
      <c r="K207" s="32"/>
      <c r="L207" s="123"/>
      <c r="M207" s="222"/>
      <c r="N207" s="223"/>
      <c r="O207" s="224"/>
      <c r="P207" s="226"/>
      <c r="Q207" s="226"/>
      <c r="R207" s="226"/>
      <c r="S207" s="227"/>
      <c r="T207" s="222"/>
      <c r="U207" s="226"/>
      <c r="V207" s="227"/>
    </row>
    <row r="208" ht="27.7" customHeight="1">
      <c r="A208" t="s" s="30">
        <v>2738</v>
      </c>
      <c r="B208" t="s" s="5">
        <v>40</v>
      </c>
      <c r="C208" t="s" s="28">
        <v>544</v>
      </c>
      <c r="D208" t="s" s="7">
        <v>545</v>
      </c>
      <c r="E208" s="8">
        <v>45924</v>
      </c>
      <c r="F208" t="s" s="5">
        <v>40</v>
      </c>
      <c r="G208" t="s" s="249">
        <v>2467</v>
      </c>
      <c r="H208" s="113"/>
      <c r="I208" s="14"/>
      <c r="J208" s="8"/>
      <c r="K208" s="32"/>
      <c r="L208" s="123"/>
      <c r="M208" s="222"/>
      <c r="N208" s="223"/>
      <c r="O208" s="224"/>
      <c r="P208" s="226"/>
      <c r="Q208" s="226"/>
      <c r="R208" s="226"/>
      <c r="S208" s="227"/>
      <c r="T208" s="222"/>
      <c r="U208" s="226"/>
      <c r="V208" s="227"/>
    </row>
    <row r="209" ht="27.7" customHeight="1">
      <c r="A209" t="s" s="47">
        <v>2492</v>
      </c>
      <c r="B209" t="s" s="5">
        <v>40</v>
      </c>
      <c r="C209" t="s" s="6">
        <v>150</v>
      </c>
      <c r="D209" t="s" s="7">
        <v>151</v>
      </c>
      <c r="E209" s="8">
        <v>45924</v>
      </c>
      <c r="F209" t="s" s="5">
        <v>13</v>
      </c>
      <c r="G209" t="s" s="249">
        <v>2461</v>
      </c>
      <c r="H209" t="s" s="113">
        <v>2739</v>
      </c>
      <c r="I209" t="s" s="113">
        <v>2740</v>
      </c>
      <c r="J209" s="8"/>
      <c r="K209" s="32"/>
      <c r="L209" s="123"/>
      <c r="M209" s="222"/>
      <c r="N209" s="223"/>
      <c r="O209" s="224"/>
      <c r="P209" s="226"/>
      <c r="Q209" s="226"/>
      <c r="R209" s="226"/>
      <c r="S209" s="227"/>
      <c r="T209" s="222"/>
      <c r="U209" s="226"/>
      <c r="V209" s="227"/>
    </row>
    <row r="210" ht="27.7" customHeight="1">
      <c r="A210" t="s" s="21">
        <v>2401</v>
      </c>
      <c r="B210" t="s" s="5">
        <v>40</v>
      </c>
      <c r="C210" t="s" s="23">
        <v>1715</v>
      </c>
      <c r="D210" t="s" s="7">
        <v>379</v>
      </c>
      <c r="E210" s="8">
        <v>45924</v>
      </c>
      <c r="F210" t="s" s="5">
        <v>13</v>
      </c>
      <c r="G210" t="s" s="249">
        <v>2461</v>
      </c>
      <c r="H210" t="s" s="113">
        <v>2741</v>
      </c>
      <c r="I210" t="s" s="113">
        <v>2742</v>
      </c>
      <c r="J210" s="8"/>
      <c r="K210" s="32"/>
      <c r="L210" s="123"/>
      <c r="M210" s="222"/>
      <c r="N210" s="223"/>
      <c r="O210" s="224"/>
      <c r="P210" s="226"/>
      <c r="Q210" s="226"/>
      <c r="R210" s="226"/>
      <c r="S210" s="227"/>
      <c r="T210" s="222"/>
      <c r="U210" s="226"/>
      <c r="V210" s="227"/>
    </row>
    <row r="211" ht="27.7" customHeight="1">
      <c r="A211" t="s" s="47">
        <v>1112</v>
      </c>
      <c r="B211" t="s" s="5">
        <v>40</v>
      </c>
      <c r="C211" t="s" s="6">
        <v>1349</v>
      </c>
      <c r="D211" t="s" s="7">
        <v>539</v>
      </c>
      <c r="E211" s="8">
        <v>45924</v>
      </c>
      <c r="F211" s="220"/>
      <c r="G211" s="221"/>
      <c r="H211" s="14"/>
      <c r="I211" s="14"/>
      <c r="J211" s="8"/>
      <c r="K211" s="32"/>
      <c r="L211" s="123"/>
      <c r="M211" s="222"/>
      <c r="N211" s="223"/>
      <c r="O211" s="224"/>
      <c r="P211" s="226"/>
      <c r="Q211" s="226"/>
      <c r="R211" s="226"/>
      <c r="S211" s="227"/>
      <c r="T211" s="222"/>
      <c r="U211" s="226"/>
      <c r="V211" s="227"/>
    </row>
    <row r="212" ht="27.7" customHeight="1">
      <c r="A212" t="s" s="17">
        <v>2470</v>
      </c>
      <c r="B212" t="s" s="5">
        <v>40</v>
      </c>
      <c r="C212" t="s" s="124">
        <v>916</v>
      </c>
      <c r="D212" t="s" s="344">
        <v>90</v>
      </c>
      <c r="E212" s="8">
        <v>45924</v>
      </c>
      <c r="F212" t="s" s="268">
        <v>13</v>
      </c>
      <c r="G212" t="s" s="269">
        <v>2461</v>
      </c>
      <c r="H212" t="s" s="14">
        <v>2743</v>
      </c>
      <c r="I212" t="s" s="14">
        <v>2744</v>
      </c>
      <c r="J212" s="8"/>
      <c r="K212" s="32"/>
      <c r="L212" s="123"/>
      <c r="M212" s="222"/>
      <c r="N212" s="223"/>
      <c r="O212" s="224"/>
      <c r="P212" s="226"/>
      <c r="Q212" s="226"/>
      <c r="R212" s="226"/>
      <c r="S212" s="227"/>
      <c r="T212" s="222"/>
      <c r="U212" s="226"/>
      <c r="V212" s="227"/>
    </row>
    <row r="213" ht="27.7" customHeight="1">
      <c r="A213" t="s" s="17">
        <v>2425</v>
      </c>
      <c r="B213" t="s" s="5">
        <v>40</v>
      </c>
      <c r="C213" t="s" s="124">
        <v>1954</v>
      </c>
      <c r="D213" t="s" s="344">
        <v>1955</v>
      </c>
      <c r="E213" s="8">
        <v>45924</v>
      </c>
      <c r="F213" t="s" s="268">
        <v>13</v>
      </c>
      <c r="G213" t="s" s="269">
        <v>2461</v>
      </c>
      <c r="H213" t="s" s="14">
        <v>2745</v>
      </c>
      <c r="I213" t="s" s="14">
        <v>2746</v>
      </c>
      <c r="J213" s="8"/>
      <c r="K213" s="32"/>
      <c r="L213" s="123"/>
      <c r="M213" s="222"/>
      <c r="N213" s="223"/>
      <c r="O213" s="224"/>
      <c r="P213" s="226"/>
      <c r="Q213" s="226"/>
      <c r="R213" s="226"/>
      <c r="S213" s="227"/>
      <c r="T213" s="222"/>
      <c r="U213" s="226"/>
      <c r="V213" s="227"/>
    </row>
    <row r="214" ht="27.7" customHeight="1">
      <c r="A214" t="s" s="17">
        <v>2425</v>
      </c>
      <c r="B214" t="s" s="5">
        <v>40</v>
      </c>
      <c r="C214" t="s" s="124">
        <v>1954</v>
      </c>
      <c r="D214" t="s" s="344">
        <v>1955</v>
      </c>
      <c r="E214" s="8">
        <v>45924</v>
      </c>
      <c r="F214" t="s" s="268">
        <v>40</v>
      </c>
      <c r="G214" t="s" s="269">
        <v>2467</v>
      </c>
      <c r="H214" t="s" s="14">
        <v>2747</v>
      </c>
      <c r="I214" s="14"/>
      <c r="J214" s="8"/>
      <c r="K214" s="32"/>
      <c r="L214" s="123"/>
      <c r="M214" s="222"/>
      <c r="N214" s="223"/>
      <c r="O214" s="224"/>
      <c r="P214" s="226"/>
      <c r="Q214" s="226"/>
      <c r="R214" s="226"/>
      <c r="S214" s="227"/>
      <c r="T214" s="222"/>
      <c r="U214" s="226"/>
      <c r="V214" s="227"/>
    </row>
    <row r="215" ht="27.7" customHeight="1">
      <c r="A215" t="s" s="30">
        <v>2738</v>
      </c>
      <c r="B215" t="s" s="5">
        <v>40</v>
      </c>
      <c r="C215" t="s" s="28">
        <v>1954</v>
      </c>
      <c r="D215" t="s" s="7">
        <v>1955</v>
      </c>
      <c r="E215" s="8">
        <v>45924</v>
      </c>
      <c r="F215" t="s" s="268">
        <v>40</v>
      </c>
      <c r="G215" s="221"/>
      <c r="H215" s="14"/>
      <c r="I215" s="14"/>
      <c r="J215" s="8"/>
      <c r="K215" s="32"/>
      <c r="L215" s="123"/>
      <c r="M215" s="222"/>
      <c r="N215" s="223"/>
      <c r="O215" s="224"/>
      <c r="P215" s="226"/>
      <c r="Q215" s="226"/>
      <c r="R215" s="226"/>
      <c r="S215" s="227"/>
      <c r="T215" s="222"/>
      <c r="U215" s="226"/>
      <c r="V215" s="227"/>
    </row>
    <row r="216" ht="27.7" customHeight="1">
      <c r="A216" t="s" s="21">
        <v>2401</v>
      </c>
      <c r="B216" t="s" s="5">
        <v>40</v>
      </c>
      <c r="C216" t="s" s="23">
        <v>791</v>
      </c>
      <c r="D216" t="s" s="7">
        <v>390</v>
      </c>
      <c r="E216" s="8">
        <v>45946</v>
      </c>
      <c r="F216" t="s" s="5">
        <v>13</v>
      </c>
      <c r="G216" t="s" s="249">
        <v>2467</v>
      </c>
      <c r="H216" t="s" s="113">
        <v>2748</v>
      </c>
      <c r="I216" t="s" s="113">
        <v>2749</v>
      </c>
      <c r="J216" s="8"/>
      <c r="K216" s="32"/>
      <c r="L216" s="123"/>
      <c r="M216" s="222"/>
      <c r="N216" s="223"/>
      <c r="O216" s="224"/>
      <c r="P216" s="226"/>
      <c r="Q216" s="226"/>
      <c r="R216" s="226"/>
      <c r="S216" s="227"/>
      <c r="T216" s="222"/>
      <c r="U216" s="226"/>
      <c r="V216" s="227"/>
    </row>
    <row r="217" ht="27.7" customHeight="1">
      <c r="A217" s="32"/>
      <c r="B217" t="s" s="5">
        <v>40</v>
      </c>
      <c r="C217" t="s" s="23">
        <v>2750</v>
      </c>
      <c r="D217" t="s" s="7">
        <v>379</v>
      </c>
      <c r="E217" s="8">
        <v>45946</v>
      </c>
      <c r="F217" t="s" s="268">
        <v>13</v>
      </c>
      <c r="G217" s="221"/>
      <c r="H217" s="14"/>
      <c r="I217" s="14"/>
      <c r="J217" s="8"/>
      <c r="K217" s="32"/>
      <c r="L217" s="123"/>
      <c r="M217" s="222"/>
      <c r="N217" s="223"/>
      <c r="O217" s="224"/>
      <c r="P217" s="226"/>
      <c r="Q217" s="226"/>
      <c r="R217" s="226"/>
      <c r="S217" s="227"/>
      <c r="T217" s="222"/>
      <c r="U217" s="226"/>
      <c r="V217" s="227"/>
    </row>
    <row r="218" ht="27.7" customHeight="1">
      <c r="A218" t="s" s="47">
        <v>2751</v>
      </c>
      <c r="B218" t="s" s="5">
        <v>40</v>
      </c>
      <c r="C218" t="s" s="83">
        <v>847</v>
      </c>
      <c r="D218" t="s" s="7">
        <v>151</v>
      </c>
      <c r="E218" s="8">
        <v>45946</v>
      </c>
      <c r="F218" t="s" s="268">
        <v>40</v>
      </c>
      <c r="G218" t="s" s="249">
        <v>2467</v>
      </c>
      <c r="H218" t="s" s="14">
        <v>2752</v>
      </c>
      <c r="I218" s="14"/>
      <c r="J218" s="8"/>
      <c r="K218" s="32"/>
      <c r="L218" s="123"/>
      <c r="M218" s="222"/>
      <c r="N218" s="223"/>
      <c r="O218" s="224"/>
      <c r="P218" s="226"/>
      <c r="Q218" s="226"/>
      <c r="R218" s="226"/>
      <c r="S218" s="227"/>
      <c r="T218" s="222"/>
      <c r="U218" s="226"/>
      <c r="V218" s="227"/>
    </row>
    <row r="219" ht="27.7" customHeight="1">
      <c r="A219" s="32"/>
      <c r="B219" t="s" s="5">
        <v>40</v>
      </c>
      <c r="C219" t="s" s="23">
        <v>1523</v>
      </c>
      <c r="D219" t="s" s="7">
        <v>1500</v>
      </c>
      <c r="E219" s="8">
        <v>45946</v>
      </c>
      <c r="F219" s="220"/>
      <c r="G219" s="221"/>
      <c r="H219" s="14"/>
      <c r="I219" s="14"/>
      <c r="J219" s="8"/>
      <c r="K219" s="32"/>
      <c r="L219" s="123"/>
      <c r="M219" s="222"/>
      <c r="N219" s="223"/>
      <c r="O219" s="224"/>
      <c r="P219" s="226"/>
      <c r="Q219" s="226"/>
      <c r="R219" s="226"/>
      <c r="S219" s="227"/>
      <c r="T219" s="222"/>
      <c r="U219" s="226"/>
      <c r="V219" s="227"/>
    </row>
    <row r="220" ht="27.7" customHeight="1">
      <c r="A220" t="s" s="21">
        <v>2401</v>
      </c>
      <c r="B220" t="s" s="5">
        <v>40</v>
      </c>
      <c r="C220" t="s" s="23">
        <v>1132</v>
      </c>
      <c r="D220" t="s" s="7">
        <v>683</v>
      </c>
      <c r="E220" s="8">
        <v>45946</v>
      </c>
      <c r="F220" t="s" s="5">
        <v>13</v>
      </c>
      <c r="G220" t="s" s="249">
        <v>2461</v>
      </c>
      <c r="H220" t="s" s="14">
        <v>2753</v>
      </c>
      <c r="I220" t="s" s="14">
        <v>2754</v>
      </c>
      <c r="J220" s="8"/>
      <c r="K220" s="32"/>
      <c r="L220" s="123"/>
      <c r="M220" s="222"/>
      <c r="N220" s="223"/>
      <c r="O220" s="224"/>
      <c r="P220" s="226"/>
      <c r="Q220" s="226"/>
      <c r="R220" s="226"/>
      <c r="S220" s="227"/>
      <c r="T220" s="222"/>
      <c r="U220" s="226"/>
      <c r="V220" s="227"/>
    </row>
    <row r="221" ht="27.7" customHeight="1">
      <c r="A221" t="s" s="21">
        <v>2401</v>
      </c>
      <c r="B221" t="s" s="5">
        <v>40</v>
      </c>
      <c r="C221" t="s" s="23">
        <v>752</v>
      </c>
      <c r="D221" t="s" s="7">
        <v>423</v>
      </c>
      <c r="E221" s="8">
        <v>45946</v>
      </c>
      <c r="F221" t="s" s="5">
        <v>13</v>
      </c>
      <c r="G221" t="s" s="249">
        <v>2467</v>
      </c>
      <c r="H221" t="s" s="14">
        <v>2755</v>
      </c>
      <c r="I221" t="s" s="14">
        <v>2756</v>
      </c>
      <c r="J221" s="8"/>
      <c r="K221" s="32"/>
      <c r="L221" s="123"/>
      <c r="M221" s="222"/>
      <c r="N221" s="223"/>
      <c r="O221" s="224"/>
      <c r="P221" s="226"/>
      <c r="Q221" s="226"/>
      <c r="R221" s="226"/>
      <c r="S221" s="227"/>
      <c r="T221" s="222"/>
      <c r="U221" s="226"/>
      <c r="V221" s="227"/>
    </row>
    <row r="222" ht="27.7" customHeight="1">
      <c r="A222" s="32"/>
      <c r="B222" s="123"/>
      <c r="C222" s="6"/>
      <c r="D222" s="7"/>
      <c r="E222" s="8"/>
      <c r="F222" s="220"/>
      <c r="G222" s="221"/>
      <c r="H222" s="14"/>
      <c r="I222" s="14"/>
      <c r="J222" s="8"/>
      <c r="K222" s="32"/>
      <c r="L222" s="123"/>
      <c r="M222" s="222"/>
      <c r="N222" s="223"/>
      <c r="O222" s="224"/>
      <c r="P222" s="226"/>
      <c r="Q222" s="226"/>
      <c r="R222" s="226"/>
      <c r="S222" s="227"/>
      <c r="T222" s="222"/>
      <c r="U222" s="226"/>
      <c r="V222" s="227"/>
    </row>
    <row r="223" ht="27.7" customHeight="1">
      <c r="A223" s="32"/>
      <c r="B223" s="123"/>
      <c r="C223" s="6"/>
      <c r="D223" s="7"/>
      <c r="E223" s="8"/>
      <c r="F223" s="220"/>
      <c r="G223" s="221"/>
      <c r="H223" s="14"/>
      <c r="I223" s="14"/>
      <c r="J223" s="8"/>
      <c r="K223" s="32"/>
      <c r="L223" s="123"/>
      <c r="M223" s="222"/>
      <c r="N223" s="223"/>
      <c r="O223" s="224"/>
      <c r="P223" s="226"/>
      <c r="Q223" s="226"/>
      <c r="R223" s="226"/>
      <c r="S223" s="227"/>
      <c r="T223" s="222"/>
      <c r="U223" s="226"/>
      <c r="V223" s="227"/>
    </row>
    <row r="224" ht="27.7" customHeight="1">
      <c r="A224" t="s" s="30">
        <v>2401</v>
      </c>
      <c r="B224" t="s" s="5">
        <v>47</v>
      </c>
      <c r="C224" t="s" s="6">
        <v>205</v>
      </c>
      <c r="D224" t="s" s="7">
        <v>206</v>
      </c>
      <c r="E224" s="8">
        <v>45408</v>
      </c>
      <c r="F224" t="s" s="5">
        <v>47</v>
      </c>
      <c r="G224" t="s" s="249">
        <v>2461</v>
      </c>
      <c r="H224" t="s" s="113">
        <v>2757</v>
      </c>
      <c r="I224" t="s" s="30">
        <v>2758</v>
      </c>
      <c r="J224" s="25"/>
      <c r="K224" t="s" s="5">
        <v>13</v>
      </c>
      <c r="L224" t="s" s="5">
        <v>47</v>
      </c>
      <c r="M224" s="263">
        <v>86.23999999999999</v>
      </c>
      <c r="N224" t="s" s="235">
        <v>2759</v>
      </c>
      <c r="O224" s="252">
        <v>1</v>
      </c>
      <c r="P224" s="336">
        <v>45440</v>
      </c>
      <c r="Q224" s="348">
        <v>45447</v>
      </c>
      <c r="R224" s="226"/>
      <c r="S224" s="227"/>
      <c r="T224" s="222"/>
      <c r="U224" s="226"/>
      <c r="V224" s="227"/>
    </row>
    <row r="225" ht="27.7" customHeight="1">
      <c r="A225" t="s" s="30">
        <v>2401</v>
      </c>
      <c r="B225" t="s" s="5">
        <v>47</v>
      </c>
      <c r="C225" t="s" s="6">
        <v>544</v>
      </c>
      <c r="D225" t="s" s="7">
        <v>545</v>
      </c>
      <c r="E225" s="8">
        <v>45441</v>
      </c>
      <c r="F225" t="s" s="5">
        <v>47</v>
      </c>
      <c r="G225" t="s" s="249">
        <v>2467</v>
      </c>
      <c r="H225" t="s" s="113">
        <v>2760</v>
      </c>
      <c r="I225" t="s" s="30">
        <v>2761</v>
      </c>
      <c r="J225" s="8">
        <v>45464</v>
      </c>
      <c r="K225" t="s" s="5">
        <v>13</v>
      </c>
      <c r="L225" t="s" s="5">
        <v>47</v>
      </c>
      <c r="M225" s="263">
        <v>72.47</v>
      </c>
      <c r="N225" t="s" s="235">
        <v>2762</v>
      </c>
      <c r="O225" s="252">
        <v>2</v>
      </c>
      <c r="P225" s="226">
        <v>45462</v>
      </c>
      <c r="Q225" s="226"/>
      <c r="R225" s="226"/>
      <c r="S225" s="227"/>
      <c r="T225" s="222"/>
      <c r="U225" s="226"/>
      <c r="V225" s="227"/>
    </row>
    <row r="226" ht="27.7" customHeight="1">
      <c r="A226" t="s" s="30">
        <v>2401</v>
      </c>
      <c r="B226" t="s" s="5">
        <v>47</v>
      </c>
      <c r="C226" t="s" s="6">
        <v>972</v>
      </c>
      <c r="D226" t="s" s="7">
        <v>90</v>
      </c>
      <c r="E226" s="8">
        <v>45408</v>
      </c>
      <c r="F226" t="s" s="5">
        <v>47</v>
      </c>
      <c r="G226" t="s" s="249">
        <v>2412</v>
      </c>
      <c r="H226" t="s" s="113">
        <v>2763</v>
      </c>
      <c r="I226" t="s" s="30">
        <v>2764</v>
      </c>
      <c r="J226" s="8"/>
      <c r="K226" t="s" s="5">
        <v>13</v>
      </c>
      <c r="L226" t="s" s="5">
        <v>47</v>
      </c>
      <c r="M226" s="263">
        <v>85.75</v>
      </c>
      <c r="N226" t="s" s="235">
        <v>2765</v>
      </c>
      <c r="O226" s="252">
        <v>2</v>
      </c>
      <c r="P226" s="336">
        <v>45462</v>
      </c>
      <c r="Q226" s="226"/>
      <c r="R226" s="226"/>
      <c r="S226" s="227"/>
      <c r="T226" s="222"/>
      <c r="U226" s="226"/>
      <c r="V226" s="227"/>
    </row>
    <row r="227" ht="27.7" customHeight="1">
      <c r="A227" t="s" s="30">
        <v>2401</v>
      </c>
      <c r="B227" t="s" s="5">
        <v>47</v>
      </c>
      <c r="C227" t="s" s="6">
        <v>1851</v>
      </c>
      <c r="D227" t="s" s="7">
        <v>683</v>
      </c>
      <c r="E227" s="8">
        <v>45408</v>
      </c>
      <c r="F227" t="s" s="5">
        <v>47</v>
      </c>
      <c r="G227" t="s" s="249">
        <v>2461</v>
      </c>
      <c r="H227" t="s" s="113">
        <v>2766</v>
      </c>
      <c r="I227" t="s" s="30">
        <v>2767</v>
      </c>
      <c r="J227" s="25"/>
      <c r="K227" t="s" s="5">
        <v>13</v>
      </c>
      <c r="L227" t="s" s="5">
        <v>47</v>
      </c>
      <c r="M227" s="263">
        <v>84.67</v>
      </c>
      <c r="N227" t="s" s="235">
        <v>2768</v>
      </c>
      <c r="O227" s="252">
        <v>3</v>
      </c>
      <c r="P227" s="336">
        <v>45474</v>
      </c>
      <c r="Q227" s="226"/>
      <c r="R227" s="226"/>
      <c r="S227" s="227"/>
      <c r="T227" s="222"/>
      <c r="U227" s="226"/>
      <c r="V227" s="227"/>
    </row>
    <row r="228" ht="27.7" customHeight="1">
      <c r="A228" t="s" s="30">
        <v>2401</v>
      </c>
      <c r="B228" t="s" s="5">
        <v>47</v>
      </c>
      <c r="C228" t="s" s="6">
        <v>791</v>
      </c>
      <c r="D228" t="s" s="7">
        <v>390</v>
      </c>
      <c r="E228" s="8">
        <v>45488</v>
      </c>
      <c r="F228" t="s" s="5">
        <v>47</v>
      </c>
      <c r="G228" t="s" s="249">
        <v>2467</v>
      </c>
      <c r="H228" t="s" s="113">
        <v>2769</v>
      </c>
      <c r="I228" t="s" s="30">
        <v>2770</v>
      </c>
      <c r="J228" s="8"/>
      <c r="K228" t="s" s="5">
        <v>13</v>
      </c>
      <c r="L228" t="s" s="5">
        <v>47</v>
      </c>
      <c r="M228" s="263">
        <v>72.47</v>
      </c>
      <c r="N228" s="223"/>
      <c r="O228" s="252">
        <v>4</v>
      </c>
      <c r="P228" s="226"/>
      <c r="Q228" s="226"/>
      <c r="R228" s="226"/>
      <c r="S228" s="227"/>
      <c r="T228" s="222"/>
      <c r="U228" s="226"/>
      <c r="V228" s="227"/>
    </row>
    <row r="229" ht="27.7" customHeight="1">
      <c r="A229" t="s" s="17">
        <v>2425</v>
      </c>
      <c r="B229" t="s" s="5">
        <v>47</v>
      </c>
      <c r="C229" t="s" s="124">
        <v>1162</v>
      </c>
      <c r="D229" t="s" s="7">
        <v>319</v>
      </c>
      <c r="E229" s="8">
        <v>45562</v>
      </c>
      <c r="F229" t="s" s="5">
        <v>47</v>
      </c>
      <c r="G229" t="s" s="269">
        <v>2467</v>
      </c>
      <c r="H229" t="s" s="14">
        <v>2771</v>
      </c>
      <c r="I229" t="s" s="10">
        <v>2772</v>
      </c>
      <c r="J229" s="25">
        <v>45589</v>
      </c>
      <c r="K229" t="s" s="268">
        <v>13</v>
      </c>
      <c r="L229" s="123"/>
      <c r="M229" s="222"/>
      <c r="N229" s="223"/>
      <c r="O229" t="s" s="229">
        <v>24</v>
      </c>
      <c r="P229" s="226"/>
      <c r="Q229" s="226"/>
      <c r="R229" s="226"/>
      <c r="S229" s="227"/>
      <c r="T229" s="222"/>
      <c r="U229" s="226"/>
      <c r="V229" s="227"/>
    </row>
    <row r="230" ht="27.7" customHeight="1">
      <c r="A230" t="s" s="17">
        <v>2425</v>
      </c>
      <c r="B230" t="s" s="5">
        <v>47</v>
      </c>
      <c r="C230" t="s" s="124">
        <v>1851</v>
      </c>
      <c r="D230" t="s" s="7">
        <v>683</v>
      </c>
      <c r="E230" s="8">
        <v>45561</v>
      </c>
      <c r="F230" t="s" s="5">
        <v>47</v>
      </c>
      <c r="G230" t="s" s="269">
        <v>2467</v>
      </c>
      <c r="H230" t="s" s="14">
        <v>2773</v>
      </c>
      <c r="I230" t="s" s="10">
        <v>2774</v>
      </c>
      <c r="J230" s="25">
        <v>45589</v>
      </c>
      <c r="K230" t="s" s="268">
        <v>13</v>
      </c>
      <c r="L230" s="5"/>
      <c r="M230" s="222"/>
      <c r="N230" s="223"/>
      <c r="O230" t="s" s="229">
        <v>24</v>
      </c>
      <c r="P230" s="226"/>
      <c r="Q230" s="226"/>
      <c r="R230" s="226"/>
      <c r="S230" s="227"/>
      <c r="T230" s="222"/>
      <c r="U230" s="226"/>
      <c r="V230" s="227"/>
    </row>
    <row r="231" ht="27.7" customHeight="1">
      <c r="A231" t="s" s="47">
        <v>203</v>
      </c>
      <c r="B231" t="s" s="5">
        <v>47</v>
      </c>
      <c r="C231" t="s" s="6">
        <v>1128</v>
      </c>
      <c r="D231" t="s" s="7">
        <v>393</v>
      </c>
      <c r="E231" s="8">
        <v>45574</v>
      </c>
      <c r="F231" t="s" s="5">
        <v>47</v>
      </c>
      <c r="G231" s="250"/>
      <c r="H231" s="14"/>
      <c r="I231" s="10"/>
      <c r="J231" s="25"/>
      <c r="K231" s="220"/>
      <c r="L231" s="123"/>
      <c r="M231" s="222"/>
      <c r="N231" s="223"/>
      <c r="O231" t="s" s="229">
        <v>24</v>
      </c>
      <c r="P231" s="226"/>
      <c r="Q231" s="226"/>
      <c r="R231" s="226"/>
      <c r="S231" s="227"/>
      <c r="T231" s="222"/>
      <c r="U231" s="226"/>
      <c r="V231" s="227"/>
    </row>
    <row r="232" ht="27.7" customHeight="1">
      <c r="A232" t="s" s="30">
        <v>2401</v>
      </c>
      <c r="B232" t="s" s="5">
        <v>47</v>
      </c>
      <c r="C232" t="s" s="6">
        <v>14</v>
      </c>
      <c r="D232" t="s" s="7">
        <v>15</v>
      </c>
      <c r="E232" s="8">
        <v>45603</v>
      </c>
      <c r="F232" t="s" s="5">
        <v>47</v>
      </c>
      <c r="G232" t="s" s="249">
        <v>2461</v>
      </c>
      <c r="H232" t="s" s="113">
        <v>2775</v>
      </c>
      <c r="I232" t="s" s="30">
        <v>2776</v>
      </c>
      <c r="J232" s="25">
        <v>45623</v>
      </c>
      <c r="K232" t="s" s="5">
        <v>13</v>
      </c>
      <c r="L232" t="s" s="47">
        <v>47</v>
      </c>
      <c r="M232" s="333">
        <v>84.67</v>
      </c>
      <c r="N232" t="s" s="235">
        <v>2768</v>
      </c>
      <c r="O232" s="252">
        <v>7</v>
      </c>
      <c r="P232" s="226"/>
      <c r="Q232" s="226"/>
      <c r="R232" s="226"/>
      <c r="S232" s="227"/>
      <c r="T232" s="222"/>
      <c r="U232" s="226"/>
      <c r="V232" s="227"/>
    </row>
    <row r="233" ht="27.7" customHeight="1">
      <c r="A233" t="s" s="30">
        <v>2401</v>
      </c>
      <c r="B233" t="s" s="5">
        <v>47</v>
      </c>
      <c r="C233" t="s" s="6">
        <v>1079</v>
      </c>
      <c r="D233" t="s" s="7">
        <v>15</v>
      </c>
      <c r="E233" s="8">
        <v>45603</v>
      </c>
      <c r="F233" t="s" s="5">
        <v>47</v>
      </c>
      <c r="G233" t="s" s="249">
        <v>2461</v>
      </c>
      <c r="H233" t="s" s="113">
        <v>2777</v>
      </c>
      <c r="I233" t="s" s="59">
        <v>2778</v>
      </c>
      <c r="J233" s="25">
        <v>45630</v>
      </c>
      <c r="K233" t="s" s="5">
        <v>13</v>
      </c>
      <c r="L233" t="s" s="47">
        <v>47</v>
      </c>
      <c r="M233" s="333">
        <v>84.67</v>
      </c>
      <c r="N233" t="s" s="235">
        <v>2768</v>
      </c>
      <c r="O233" s="252">
        <v>7</v>
      </c>
      <c r="P233" s="226"/>
      <c r="Q233" s="226"/>
      <c r="R233" s="226"/>
      <c r="S233" s="227"/>
      <c r="T233" s="222"/>
      <c r="U233" s="226"/>
      <c r="V233" s="227"/>
    </row>
    <row r="234" ht="27.7" customHeight="1">
      <c r="A234" t="s" s="17">
        <v>2470</v>
      </c>
      <c r="B234" t="s" s="5">
        <v>47</v>
      </c>
      <c r="C234" t="s" s="124">
        <v>1373</v>
      </c>
      <c r="D234" s="7"/>
      <c r="E234" s="8"/>
      <c r="F234" t="s" s="5">
        <v>47</v>
      </c>
      <c r="G234" t="s" s="249">
        <v>2461</v>
      </c>
      <c r="H234" t="s" s="14">
        <v>2779</v>
      </c>
      <c r="I234" t="s" s="10">
        <v>2780</v>
      </c>
      <c r="J234" s="8"/>
      <c r="K234" s="32"/>
      <c r="L234" s="123"/>
      <c r="M234" s="222"/>
      <c r="N234" s="223"/>
      <c r="O234" s="224"/>
      <c r="P234" s="226"/>
      <c r="Q234" s="226"/>
      <c r="R234" s="226"/>
      <c r="S234" s="227"/>
      <c r="T234" s="222"/>
      <c r="U234" s="226"/>
      <c r="V234" s="227"/>
    </row>
    <row r="235" ht="27.7" customHeight="1">
      <c r="A235" t="s" s="30">
        <v>2401</v>
      </c>
      <c r="B235" t="s" s="5">
        <v>47</v>
      </c>
      <c r="C235" t="s" s="6">
        <v>2781</v>
      </c>
      <c r="D235" t="s" s="7">
        <v>15</v>
      </c>
      <c r="E235" s="8">
        <v>45644</v>
      </c>
      <c r="F235" t="s" s="5">
        <v>47</v>
      </c>
      <c r="G235" t="s" s="269">
        <v>2612</v>
      </c>
      <c r="H235" t="s" s="113">
        <v>2782</v>
      </c>
      <c r="I235" t="s" s="30">
        <v>2783</v>
      </c>
      <c r="J235" s="8"/>
      <c r="K235" t="s" s="5">
        <v>13</v>
      </c>
      <c r="L235" t="s" s="5">
        <v>47</v>
      </c>
      <c r="M235" s="222"/>
      <c r="N235" s="223"/>
      <c r="O235" s="224"/>
      <c r="P235" s="226"/>
      <c r="Q235" s="226"/>
      <c r="R235" s="226"/>
      <c r="S235" s="227"/>
      <c r="T235" s="222"/>
      <c r="U235" s="226"/>
      <c r="V235" s="227"/>
    </row>
    <row r="236" ht="27.7" customHeight="1">
      <c r="A236" t="s" s="30">
        <v>2401</v>
      </c>
      <c r="B236" t="s" s="5">
        <v>47</v>
      </c>
      <c r="C236" t="s" s="6">
        <v>14</v>
      </c>
      <c r="D236" t="s" s="7">
        <v>15</v>
      </c>
      <c r="E236" s="8">
        <v>45644</v>
      </c>
      <c r="F236" t="s" s="5">
        <v>47</v>
      </c>
      <c r="G236" t="s" s="269">
        <v>2612</v>
      </c>
      <c r="H236" t="s" s="113">
        <v>2784</v>
      </c>
      <c r="I236" t="s" s="30">
        <v>2785</v>
      </c>
      <c r="J236" s="8"/>
      <c r="K236" t="s" s="5">
        <v>13</v>
      </c>
      <c r="L236" t="s" s="5">
        <v>47</v>
      </c>
      <c r="M236" s="222"/>
      <c r="N236" s="223"/>
      <c r="O236" s="224"/>
      <c r="P236" s="226"/>
      <c r="Q236" s="226"/>
      <c r="R236" s="226"/>
      <c r="S236" s="227"/>
      <c r="T236" s="222"/>
      <c r="U236" s="226"/>
      <c r="V236" s="227"/>
    </row>
    <row r="237" ht="27.7" customHeight="1">
      <c r="A237" t="s" s="30">
        <v>2401</v>
      </c>
      <c r="B237" t="s" s="5">
        <v>47</v>
      </c>
      <c r="C237" t="s" s="6">
        <v>544</v>
      </c>
      <c r="D237" t="s" s="7">
        <v>545</v>
      </c>
      <c r="E237" s="8"/>
      <c r="F237" t="s" s="5">
        <v>47</v>
      </c>
      <c r="G237" t="s" s="249">
        <v>2467</v>
      </c>
      <c r="H237" t="s" s="14">
        <v>2786</v>
      </c>
      <c r="I237" t="s" s="10">
        <v>2787</v>
      </c>
      <c r="J237" s="8"/>
      <c r="K237" s="32"/>
      <c r="L237" s="123"/>
      <c r="M237" s="222"/>
      <c r="N237" s="223"/>
      <c r="O237" s="224"/>
      <c r="P237" s="226"/>
      <c r="Q237" s="226"/>
      <c r="R237" s="226"/>
      <c r="S237" s="227"/>
      <c r="T237" s="222"/>
      <c r="U237" s="226"/>
      <c r="V237" s="227"/>
    </row>
    <row r="238" ht="27.7" customHeight="1">
      <c r="A238" t="s" s="30">
        <v>2401</v>
      </c>
      <c r="B238" t="s" s="5">
        <v>47</v>
      </c>
      <c r="C238" t="s" s="6">
        <v>1092</v>
      </c>
      <c r="D238" t="s" s="7">
        <v>1093</v>
      </c>
      <c r="E238" s="8"/>
      <c r="F238" t="s" s="5">
        <v>47</v>
      </c>
      <c r="G238" t="s" s="249">
        <v>2467</v>
      </c>
      <c r="H238" t="s" s="14">
        <v>2788</v>
      </c>
      <c r="I238" t="s" s="10">
        <v>2789</v>
      </c>
      <c r="J238" s="8"/>
      <c r="K238" s="32"/>
      <c r="L238" s="123"/>
      <c r="M238" s="222"/>
      <c r="N238" s="223"/>
      <c r="O238" s="224"/>
      <c r="P238" s="226"/>
      <c r="Q238" s="226"/>
      <c r="R238" s="226"/>
      <c r="S238" s="227"/>
      <c r="T238" s="222"/>
      <c r="U238" s="226"/>
      <c r="V238" s="227"/>
    </row>
    <row r="239" ht="27.7" customHeight="1">
      <c r="A239" t="s" s="30">
        <v>2401</v>
      </c>
      <c r="B239" t="s" s="5">
        <v>47</v>
      </c>
      <c r="C239" t="s" s="6">
        <v>1162</v>
      </c>
      <c r="D239" t="s" s="7">
        <v>319</v>
      </c>
      <c r="E239" s="8"/>
      <c r="F239" t="s" s="5">
        <v>47</v>
      </c>
      <c r="G239" t="s" s="249">
        <v>2461</v>
      </c>
      <c r="H239" t="s" s="14">
        <v>2790</v>
      </c>
      <c r="I239" t="s" s="10">
        <v>2791</v>
      </c>
      <c r="J239" s="8"/>
      <c r="K239" s="32"/>
      <c r="L239" s="123"/>
      <c r="M239" s="222"/>
      <c r="N239" s="223"/>
      <c r="O239" t="s" s="229">
        <v>24</v>
      </c>
      <c r="P239" s="226"/>
      <c r="Q239" s="226"/>
      <c r="R239" s="226"/>
      <c r="S239" s="227"/>
      <c r="T239" s="222"/>
      <c r="U239" s="226"/>
      <c r="V239" s="227"/>
    </row>
    <row r="240" ht="27.7" customHeight="1">
      <c r="A240" t="s" s="30">
        <v>2401</v>
      </c>
      <c r="B240" t="s" s="5">
        <v>47</v>
      </c>
      <c r="C240" t="s" s="6">
        <v>1373</v>
      </c>
      <c r="D240" t="s" s="7">
        <v>117</v>
      </c>
      <c r="E240" s="8">
        <v>45747</v>
      </c>
      <c r="F240" t="s" s="5">
        <v>47</v>
      </c>
      <c r="G240" t="s" s="249">
        <v>2467</v>
      </c>
      <c r="H240" t="s" s="14">
        <v>2792</v>
      </c>
      <c r="I240" s="10"/>
      <c r="J240" s="8">
        <v>45761</v>
      </c>
      <c r="K240" s="32"/>
      <c r="L240" s="123"/>
      <c r="M240" s="222"/>
      <c r="N240" s="223"/>
      <c r="O240" s="224"/>
      <c r="P240" s="226"/>
      <c r="Q240" s="226"/>
      <c r="R240" s="226"/>
      <c r="S240" s="227"/>
      <c r="T240" s="222"/>
      <c r="U240" s="226"/>
      <c r="V240" s="227"/>
    </row>
    <row r="241" ht="27.7" customHeight="1">
      <c r="A241" t="s" s="17">
        <v>2425</v>
      </c>
      <c r="B241" t="s" s="5">
        <v>47</v>
      </c>
      <c r="C241" t="s" s="124">
        <v>2793</v>
      </c>
      <c r="D241" t="s" s="7">
        <v>379</v>
      </c>
      <c r="E241" s="8">
        <v>45784</v>
      </c>
      <c r="F241" t="s" s="268">
        <v>13</v>
      </c>
      <c r="G241" t="s" s="269">
        <v>2461</v>
      </c>
      <c r="H241" t="s" s="14">
        <v>2794</v>
      </c>
      <c r="I241" t="s" s="10">
        <v>2795</v>
      </c>
      <c r="J241" s="8"/>
      <c r="K241" t="s" s="5">
        <v>13</v>
      </c>
      <c r="L241" t="s" s="5">
        <v>13</v>
      </c>
      <c r="M241" s="222"/>
      <c r="N241" s="223"/>
      <c r="O241" s="224"/>
      <c r="P241" s="226"/>
      <c r="Q241" s="226"/>
      <c r="R241" s="226"/>
      <c r="S241" s="227"/>
      <c r="T241" s="222"/>
      <c r="U241" s="226"/>
      <c r="V241" s="227"/>
    </row>
    <row r="242" ht="27.7" customHeight="1">
      <c r="A242" t="s" s="21">
        <v>2401</v>
      </c>
      <c r="B242" t="s" s="5">
        <v>47</v>
      </c>
      <c r="C242" t="s" s="6">
        <v>2793</v>
      </c>
      <c r="D242" t="s" s="7">
        <v>379</v>
      </c>
      <c r="E242" s="8">
        <v>45784</v>
      </c>
      <c r="F242" t="s" s="5">
        <v>13</v>
      </c>
      <c r="G242" t="s" s="249">
        <v>2461</v>
      </c>
      <c r="H242" t="s" s="113">
        <v>2796</v>
      </c>
      <c r="I242" t="s" s="256">
        <v>2797</v>
      </c>
      <c r="J242" s="8"/>
      <c r="K242" s="123"/>
      <c r="L242" s="123"/>
      <c r="M242" s="222"/>
      <c r="N242" s="223"/>
      <c r="O242" s="224"/>
      <c r="P242" s="226"/>
      <c r="Q242" s="226"/>
      <c r="R242" s="226"/>
      <c r="S242" s="227"/>
      <c r="T242" s="222"/>
      <c r="U242" s="226"/>
      <c r="V242" s="227"/>
    </row>
    <row r="243" ht="27.7" customHeight="1">
      <c r="A243" t="s" s="21">
        <v>2401</v>
      </c>
      <c r="B243" t="s" s="5">
        <v>47</v>
      </c>
      <c r="C243" t="s" s="6">
        <v>318</v>
      </c>
      <c r="D243" t="s" s="7">
        <v>319</v>
      </c>
      <c r="E243" s="8">
        <v>45793</v>
      </c>
      <c r="F243" t="s" s="5">
        <v>13</v>
      </c>
      <c r="G243" t="s" s="249">
        <v>2461</v>
      </c>
      <c r="H243" t="s" s="113">
        <v>2798</v>
      </c>
      <c r="I243" t="s" s="256">
        <v>2799</v>
      </c>
      <c r="J243" s="8"/>
      <c r="K243" t="s" s="5">
        <v>13</v>
      </c>
      <c r="L243" t="s" s="5">
        <v>13</v>
      </c>
      <c r="M243" s="222"/>
      <c r="N243" s="223"/>
      <c r="O243" s="224"/>
      <c r="P243" s="226"/>
      <c r="Q243" s="226"/>
      <c r="R243" s="226"/>
      <c r="S243" s="227"/>
      <c r="T243" s="222"/>
      <c r="U243" s="226"/>
      <c r="V243" s="227"/>
    </row>
    <row r="244" ht="27.7" customHeight="1">
      <c r="A244" t="s" s="30">
        <v>2401</v>
      </c>
      <c r="B244" t="s" s="5">
        <v>47</v>
      </c>
      <c r="C244" t="s" s="6">
        <v>1092</v>
      </c>
      <c r="D244" t="s" s="7">
        <v>1093</v>
      </c>
      <c r="E244" s="8">
        <v>45793</v>
      </c>
      <c r="F244" t="s" s="5">
        <v>47</v>
      </c>
      <c r="G244" t="s" s="249">
        <v>2467</v>
      </c>
      <c r="H244" t="s" s="113">
        <v>2800</v>
      </c>
      <c r="I244" t="s" s="256">
        <v>2801</v>
      </c>
      <c r="J244" s="8"/>
      <c r="K244" t="s" s="5">
        <v>13</v>
      </c>
      <c r="L244" t="s" s="5">
        <v>47</v>
      </c>
      <c r="M244" s="222"/>
      <c r="N244" s="223"/>
      <c r="O244" s="224"/>
      <c r="P244" s="226"/>
      <c r="Q244" s="226"/>
      <c r="R244" s="226"/>
      <c r="S244" s="227"/>
      <c r="T244" s="222"/>
      <c r="U244" s="226"/>
      <c r="V244" s="227"/>
    </row>
    <row r="245" ht="27.7" customHeight="1">
      <c r="A245" t="s" s="21">
        <v>2401</v>
      </c>
      <c r="B245" t="s" s="5">
        <v>47</v>
      </c>
      <c r="C245" t="s" s="6">
        <v>2802</v>
      </c>
      <c r="D245" t="s" s="7">
        <v>15</v>
      </c>
      <c r="E245" s="8">
        <v>45793</v>
      </c>
      <c r="F245" t="s" s="5">
        <v>13</v>
      </c>
      <c r="G245" t="s" s="249">
        <v>2461</v>
      </c>
      <c r="H245" t="s" s="113">
        <v>2803</v>
      </c>
      <c r="I245" t="s" s="256">
        <v>2804</v>
      </c>
      <c r="J245" s="8"/>
      <c r="K245" t="s" s="5">
        <v>13</v>
      </c>
      <c r="L245" t="s" s="5">
        <v>13</v>
      </c>
      <c r="M245" s="222"/>
      <c r="N245" s="223"/>
      <c r="O245" s="224"/>
      <c r="P245" s="226"/>
      <c r="Q245" s="226"/>
      <c r="R245" s="226"/>
      <c r="S245" s="227"/>
      <c r="T245" s="222"/>
      <c r="U245" s="226"/>
      <c r="V245" s="227"/>
    </row>
    <row r="246" ht="27.7" customHeight="1">
      <c r="A246" t="s" s="21">
        <v>2401</v>
      </c>
      <c r="B246" t="s" s="5">
        <v>47</v>
      </c>
      <c r="C246" t="s" s="6">
        <v>1269</v>
      </c>
      <c r="D246" t="s" s="7">
        <v>1270</v>
      </c>
      <c r="E246" s="8">
        <v>45793</v>
      </c>
      <c r="F246" t="s" s="5">
        <v>13</v>
      </c>
      <c r="G246" t="s" s="249">
        <v>2461</v>
      </c>
      <c r="H246" t="s" s="113">
        <v>2805</v>
      </c>
      <c r="I246" t="s" s="256">
        <v>2806</v>
      </c>
      <c r="J246" s="8"/>
      <c r="K246" t="s" s="5">
        <v>13</v>
      </c>
      <c r="L246" t="s" s="5">
        <v>13</v>
      </c>
      <c r="M246" s="222"/>
      <c r="N246" s="223"/>
      <c r="O246" s="224"/>
      <c r="P246" s="226"/>
      <c r="Q246" s="226"/>
      <c r="R246" s="226"/>
      <c r="S246" s="227"/>
      <c r="T246" s="222"/>
      <c r="U246" s="226"/>
      <c r="V246" s="227"/>
    </row>
    <row r="247" ht="27.7" customHeight="1">
      <c r="A247" t="s" s="21">
        <v>2401</v>
      </c>
      <c r="B247" t="s" s="5">
        <v>47</v>
      </c>
      <c r="C247" t="s" s="6">
        <v>2133</v>
      </c>
      <c r="D247" t="s" s="7">
        <v>640</v>
      </c>
      <c r="E247" s="8">
        <v>45803</v>
      </c>
      <c r="F247" t="s" s="5">
        <v>13</v>
      </c>
      <c r="G247" t="s" s="249">
        <v>2467</v>
      </c>
      <c r="H247" t="s" s="113">
        <v>2800</v>
      </c>
      <c r="I247" t="s" s="256">
        <v>2487</v>
      </c>
      <c r="J247" s="8"/>
      <c r="K247" t="s" s="5">
        <v>13</v>
      </c>
      <c r="L247" t="s" s="5">
        <v>13</v>
      </c>
      <c r="M247" s="222"/>
      <c r="N247" s="223"/>
      <c r="O247" s="224"/>
      <c r="P247" s="226"/>
      <c r="Q247" s="226"/>
      <c r="R247" s="226"/>
      <c r="S247" s="227"/>
      <c r="T247" s="222"/>
      <c r="U247" s="226"/>
      <c r="V247" s="227"/>
    </row>
    <row r="248" ht="27.7" customHeight="1">
      <c r="A248" t="s" s="47">
        <v>1112</v>
      </c>
      <c r="B248" t="s" s="5">
        <v>47</v>
      </c>
      <c r="C248" t="s" s="28">
        <v>464</v>
      </c>
      <c r="D248" t="s" s="7">
        <v>465</v>
      </c>
      <c r="E248" s="8">
        <v>45803</v>
      </c>
      <c r="F248" s="123"/>
      <c r="G248" s="250"/>
      <c r="H248" s="14"/>
      <c r="I248" s="10"/>
      <c r="J248" s="8"/>
      <c r="K248" s="32"/>
      <c r="L248" s="123"/>
      <c r="M248" s="222"/>
      <c r="N248" s="223"/>
      <c r="O248" s="224"/>
      <c r="P248" s="226"/>
      <c r="Q248" s="226"/>
      <c r="R248" s="226"/>
      <c r="S248" s="227"/>
      <c r="T248" s="222"/>
      <c r="U248" s="226"/>
      <c r="V248" s="227"/>
    </row>
    <row r="249" ht="27.7" customHeight="1">
      <c r="A249" t="s" s="47">
        <v>1112</v>
      </c>
      <c r="B249" t="s" s="5">
        <v>47</v>
      </c>
      <c r="C249" t="s" s="28">
        <v>2807</v>
      </c>
      <c r="D249" t="s" s="7">
        <v>689</v>
      </c>
      <c r="E249" s="8">
        <v>45803</v>
      </c>
      <c r="F249" s="123"/>
      <c r="G249" s="250"/>
      <c r="H249" s="14"/>
      <c r="I249" s="10"/>
      <c r="J249" s="8"/>
      <c r="K249" s="32"/>
      <c r="L249" s="123"/>
      <c r="M249" s="222"/>
      <c r="N249" s="223"/>
      <c r="O249" s="224"/>
      <c r="P249" s="226"/>
      <c r="Q249" s="226"/>
      <c r="R249" s="226"/>
      <c r="S249" s="227"/>
      <c r="T249" s="222"/>
      <c r="U249" s="226"/>
      <c r="V249" s="227"/>
    </row>
    <row r="250" ht="27.7" customHeight="1">
      <c r="A250" t="s" s="30">
        <v>2738</v>
      </c>
      <c r="B250" t="s" s="5">
        <v>47</v>
      </c>
      <c r="C250" t="s" s="28">
        <v>1922</v>
      </c>
      <c r="D250" t="s" s="7">
        <v>246</v>
      </c>
      <c r="E250" s="8">
        <v>45868</v>
      </c>
      <c r="F250" t="s" s="5">
        <v>47</v>
      </c>
      <c r="G250" t="s" s="249">
        <v>2467</v>
      </c>
      <c r="H250" t="s" s="113">
        <v>2808</v>
      </c>
      <c r="I250" s="30"/>
      <c r="J250" s="8"/>
      <c r="K250" s="123"/>
      <c r="L250" s="123"/>
      <c r="M250" s="222"/>
      <c r="N250" s="223"/>
      <c r="O250" s="224"/>
      <c r="P250" s="226"/>
      <c r="Q250" s="226"/>
      <c r="R250" s="226"/>
      <c r="S250" s="227"/>
      <c r="T250" s="222"/>
      <c r="U250" s="226"/>
      <c r="V250" s="227"/>
    </row>
    <row r="251" ht="27.7" customHeight="1">
      <c r="A251" t="s" s="30">
        <v>2738</v>
      </c>
      <c r="B251" t="s" s="5">
        <v>47</v>
      </c>
      <c r="C251" t="s" s="28">
        <v>1985</v>
      </c>
      <c r="D251" s="7"/>
      <c r="E251" s="8"/>
      <c r="F251" t="s" s="5">
        <v>13</v>
      </c>
      <c r="G251" t="s" s="249">
        <v>2467</v>
      </c>
      <c r="H251" s="113"/>
      <c r="I251" s="30"/>
      <c r="J251" s="8"/>
      <c r="K251" s="123"/>
      <c r="L251" s="123"/>
      <c r="M251" s="222"/>
      <c r="N251" s="223"/>
      <c r="O251" s="224"/>
      <c r="P251" s="226"/>
      <c r="Q251" s="226"/>
      <c r="R251" s="226"/>
      <c r="S251" s="227"/>
      <c r="T251" s="222"/>
      <c r="U251" s="226"/>
      <c r="V251" s="227"/>
    </row>
    <row r="252" ht="27.7" customHeight="1">
      <c r="A252" t="s" s="30">
        <v>2738</v>
      </c>
      <c r="B252" t="s" s="5">
        <v>47</v>
      </c>
      <c r="C252" t="s" s="28">
        <v>2809</v>
      </c>
      <c r="D252" t="s" s="7">
        <v>884</v>
      </c>
      <c r="E252" s="8">
        <v>45856</v>
      </c>
      <c r="F252" t="s" s="5">
        <v>47</v>
      </c>
      <c r="G252" t="s" s="249">
        <v>2461</v>
      </c>
      <c r="H252" t="s" s="113">
        <v>2810</v>
      </c>
      <c r="I252" t="s" s="30">
        <v>2811</v>
      </c>
      <c r="J252" s="8"/>
      <c r="K252" t="s" s="5">
        <v>13</v>
      </c>
      <c r="L252" t="s" s="5">
        <v>47</v>
      </c>
      <c r="M252" s="222"/>
      <c r="N252" s="223"/>
      <c r="O252" s="224"/>
      <c r="P252" s="226"/>
      <c r="Q252" s="226"/>
      <c r="R252" s="226"/>
      <c r="S252" s="227"/>
      <c r="T252" s="222"/>
      <c r="U252" s="226"/>
      <c r="V252" s="227"/>
    </row>
    <row r="253" ht="27.7" customHeight="1">
      <c r="A253" t="s" s="30">
        <v>2738</v>
      </c>
      <c r="B253" t="s" s="5">
        <v>47</v>
      </c>
      <c r="C253" t="s" s="28">
        <v>2133</v>
      </c>
      <c r="D253" s="7"/>
      <c r="E253" s="8"/>
      <c r="F253" t="s" s="5">
        <v>47</v>
      </c>
      <c r="G253" s="250"/>
      <c r="H253" t="s" s="113">
        <v>2812</v>
      </c>
      <c r="I253" s="30"/>
      <c r="J253" s="8"/>
      <c r="K253" s="123"/>
      <c r="L253" s="123"/>
      <c r="M253" s="222"/>
      <c r="N253" s="223"/>
      <c r="O253" s="224"/>
      <c r="P253" s="226"/>
      <c r="Q253" s="226"/>
      <c r="R253" s="226"/>
      <c r="S253" s="227"/>
      <c r="T253" s="222"/>
      <c r="U253" s="226"/>
      <c r="V253" s="227"/>
    </row>
    <row r="254" ht="27.7" customHeight="1">
      <c r="A254" t="s" s="21">
        <v>2401</v>
      </c>
      <c r="B254" t="s" s="5">
        <v>47</v>
      </c>
      <c r="C254" t="s" s="23">
        <v>1435</v>
      </c>
      <c r="D254" t="s" s="7">
        <v>888</v>
      </c>
      <c r="E254" s="8">
        <v>45911</v>
      </c>
      <c r="F254" t="s" s="5">
        <v>13</v>
      </c>
      <c r="G254" t="s" s="249">
        <v>2467</v>
      </c>
      <c r="H254" t="s" s="113">
        <v>2813</v>
      </c>
      <c r="I254" t="s" s="21">
        <v>2814</v>
      </c>
      <c r="J254" s="8"/>
      <c r="K254" s="123"/>
      <c r="L254" s="123"/>
      <c r="M254" s="222"/>
      <c r="N254" s="223"/>
      <c r="O254" s="224"/>
      <c r="P254" s="226"/>
      <c r="Q254" s="226"/>
      <c r="R254" s="226"/>
      <c r="S254" s="227"/>
      <c r="T254" s="222"/>
      <c r="U254" s="226"/>
      <c r="V254" s="227"/>
    </row>
    <row r="255" ht="27.7" customHeight="1">
      <c r="A255" t="s" s="349">
        <v>2470</v>
      </c>
      <c r="B255" t="s" s="268">
        <v>47</v>
      </c>
      <c r="C255" t="s" s="350">
        <v>1178</v>
      </c>
      <c r="D255" t="s" s="344">
        <v>117</v>
      </c>
      <c r="E255" s="8">
        <v>45911</v>
      </c>
      <c r="F255" s="220"/>
      <c r="G255" s="221"/>
      <c r="H255" s="14"/>
      <c r="I255" s="65"/>
      <c r="J255" s="8"/>
      <c r="K255" s="220"/>
      <c r="L255" s="220"/>
      <c r="M255" s="222"/>
      <c r="N255" s="223"/>
      <c r="O255" s="351"/>
      <c r="P255" s="352"/>
      <c r="Q255" s="352"/>
      <c r="R255" s="352"/>
      <c r="S255" s="227"/>
      <c r="T255" s="222"/>
      <c r="U255" s="352"/>
      <c r="V255" s="227"/>
    </row>
    <row r="256" ht="27.7" customHeight="1">
      <c r="A256" t="s" s="21">
        <v>2401</v>
      </c>
      <c r="B256" t="s" s="5">
        <v>47</v>
      </c>
      <c r="C256" t="s" s="23">
        <v>2815</v>
      </c>
      <c r="D256" t="s" s="7">
        <v>1270</v>
      </c>
      <c r="E256" s="8">
        <v>45960</v>
      </c>
      <c r="F256" t="s" s="5">
        <v>13</v>
      </c>
      <c r="G256" t="s" s="249">
        <v>2461</v>
      </c>
      <c r="H256" t="s" s="113">
        <v>2816</v>
      </c>
      <c r="I256" t="s" s="21">
        <v>2817</v>
      </c>
      <c r="J256" s="8"/>
      <c r="K256" s="123"/>
      <c r="L256" s="123"/>
      <c r="M256" s="222"/>
      <c r="N256" s="223"/>
      <c r="O256" s="224"/>
      <c r="P256" s="226"/>
      <c r="Q256" s="226"/>
      <c r="R256" s="226"/>
      <c r="S256" s="227"/>
      <c r="T256" s="222"/>
      <c r="U256" s="226"/>
      <c r="V256" s="227"/>
    </row>
    <row r="257" ht="27.7" customHeight="1">
      <c r="A257" t="s" s="21">
        <v>2401</v>
      </c>
      <c r="B257" t="s" s="5">
        <v>47</v>
      </c>
      <c r="C257" t="s" s="23">
        <v>1035</v>
      </c>
      <c r="D257" t="s" s="7">
        <v>206</v>
      </c>
      <c r="E257" s="8">
        <v>45958</v>
      </c>
      <c r="F257" t="s" s="5">
        <v>13</v>
      </c>
      <c r="G257" t="s" s="249">
        <v>2461</v>
      </c>
      <c r="H257" t="s" s="113">
        <v>2818</v>
      </c>
      <c r="I257" t="s" s="21">
        <v>2819</v>
      </c>
      <c r="J257" s="8"/>
      <c r="K257" s="123"/>
      <c r="L257" s="123"/>
      <c r="M257" s="222"/>
      <c r="N257" s="223"/>
      <c r="O257" s="224"/>
      <c r="P257" s="226"/>
      <c r="Q257" s="226"/>
      <c r="R257" s="226"/>
      <c r="S257" s="227"/>
      <c r="T257" s="222"/>
      <c r="U257" s="226"/>
      <c r="V257" s="227"/>
    </row>
    <row r="258" ht="27.7" customHeight="1">
      <c r="A258" t="s" s="21">
        <v>2751</v>
      </c>
      <c r="B258" t="s" s="5">
        <v>47</v>
      </c>
      <c r="C258" t="s" s="23">
        <v>1115</v>
      </c>
      <c r="D258" t="s" s="7">
        <v>1093</v>
      </c>
      <c r="E258" s="8">
        <v>45958</v>
      </c>
      <c r="F258" t="s" s="5">
        <v>13</v>
      </c>
      <c r="G258" t="s" s="249">
        <v>2467</v>
      </c>
      <c r="H258" t="s" s="113">
        <v>2820</v>
      </c>
      <c r="I258" s="21"/>
      <c r="J258" s="8"/>
      <c r="K258" s="123"/>
      <c r="L258" s="123"/>
      <c r="M258" s="222"/>
      <c r="N258" s="223"/>
      <c r="O258" s="224"/>
      <c r="P258" s="226"/>
      <c r="Q258" s="226"/>
      <c r="R258" s="226"/>
      <c r="S258" s="227"/>
      <c r="T258" s="222"/>
      <c r="U258" s="226"/>
      <c r="V258" s="227"/>
    </row>
    <row r="259" ht="27.7" customHeight="1">
      <c r="A259" t="s" s="47">
        <v>1112</v>
      </c>
      <c r="B259" t="s" s="5">
        <v>47</v>
      </c>
      <c r="C259" t="s" s="6">
        <v>228</v>
      </c>
      <c r="D259" t="s" s="7">
        <v>206</v>
      </c>
      <c r="E259" s="8">
        <v>45967</v>
      </c>
      <c r="F259" t="s" s="5">
        <v>13</v>
      </c>
      <c r="G259" s="221"/>
      <c r="H259" t="s" s="14">
        <v>2821</v>
      </c>
      <c r="I259" t="s" s="14">
        <v>2822</v>
      </c>
      <c r="J259" s="8"/>
      <c r="K259" s="32"/>
      <c r="L259" s="123"/>
      <c r="M259" s="222"/>
      <c r="N259" s="223"/>
      <c r="O259" s="224"/>
      <c r="P259" s="226"/>
      <c r="Q259" s="226"/>
      <c r="R259" s="226"/>
      <c r="S259" s="227"/>
      <c r="T259" s="222"/>
      <c r="U259" s="226"/>
      <c r="V259" s="227"/>
    </row>
    <row r="260" ht="27.7" customHeight="1">
      <c r="A260" t="s" s="47">
        <v>1112</v>
      </c>
      <c r="B260" t="s" s="5">
        <v>47</v>
      </c>
      <c r="C260" t="s" s="6">
        <v>2823</v>
      </c>
      <c r="D260" t="s" s="7">
        <v>379</v>
      </c>
      <c r="E260" s="8">
        <v>45968</v>
      </c>
      <c r="F260" t="s" s="5">
        <v>13</v>
      </c>
      <c r="G260" s="221"/>
      <c r="H260" s="14"/>
      <c r="I260" s="14"/>
      <c r="J260" s="8"/>
      <c r="K260" s="32"/>
      <c r="L260" s="123"/>
      <c r="M260" s="222"/>
      <c r="N260" s="223"/>
      <c r="O260" s="224"/>
      <c r="P260" s="226"/>
      <c r="Q260" s="226"/>
      <c r="R260" s="226"/>
      <c r="S260" s="227"/>
      <c r="T260" s="222"/>
      <c r="U260" s="226"/>
      <c r="V260" s="227"/>
    </row>
    <row r="261" ht="27.7" customHeight="1">
      <c r="A261" s="32"/>
      <c r="B261" t="s" s="5">
        <v>47</v>
      </c>
      <c r="C261" t="s" s="6">
        <v>2062</v>
      </c>
      <c r="D261" t="s" s="7">
        <v>640</v>
      </c>
      <c r="E261" s="8">
        <v>45973</v>
      </c>
      <c r="F261" s="220"/>
      <c r="G261" s="221"/>
      <c r="H261" s="14"/>
      <c r="I261" s="14"/>
      <c r="J261" s="8"/>
      <c r="K261" s="32"/>
      <c r="L261" s="123"/>
      <c r="M261" s="222"/>
      <c r="N261" s="223"/>
      <c r="O261" s="224"/>
      <c r="P261" s="226"/>
      <c r="Q261" s="226"/>
      <c r="R261" s="226"/>
      <c r="S261" s="227"/>
      <c r="T261" s="222"/>
      <c r="U261" s="226"/>
      <c r="V261" s="227"/>
    </row>
    <row r="262" ht="27.7" customHeight="1">
      <c r="A262" t="s" s="47">
        <v>1112</v>
      </c>
      <c r="B262" t="s" s="5">
        <v>47</v>
      </c>
      <c r="C262" t="s" s="6">
        <v>2824</v>
      </c>
      <c r="D262" t="s" s="7">
        <v>884</v>
      </c>
      <c r="E262" s="8">
        <v>45973</v>
      </c>
      <c r="F262" t="s" s="5">
        <v>13</v>
      </c>
      <c r="G262" s="221"/>
      <c r="H262" s="14"/>
      <c r="I262" s="14"/>
      <c r="J262" s="8"/>
      <c r="K262" s="32"/>
      <c r="L262" s="123"/>
      <c r="M262" s="222"/>
      <c r="N262" s="223"/>
      <c r="O262" s="224"/>
      <c r="P262" s="226"/>
      <c r="Q262" s="226"/>
      <c r="R262" s="226"/>
      <c r="S262" s="227"/>
      <c r="T262" s="222"/>
      <c r="U262" s="226"/>
      <c r="V262" s="227"/>
    </row>
    <row r="263" ht="27.7" customHeight="1">
      <c r="A263" s="32"/>
      <c r="B263" t="s" s="5">
        <v>47</v>
      </c>
      <c r="C263" t="s" s="6">
        <v>2825</v>
      </c>
      <c r="D263" t="s" s="7">
        <v>319</v>
      </c>
      <c r="E263" s="8">
        <v>45973</v>
      </c>
      <c r="F263" s="220"/>
      <c r="G263" s="221"/>
      <c r="H263" s="14"/>
      <c r="I263" s="14"/>
      <c r="J263" s="8"/>
      <c r="K263" s="32"/>
      <c r="L263" s="123"/>
      <c r="M263" s="222"/>
      <c r="N263" s="223"/>
      <c r="O263" s="224"/>
      <c r="P263" s="226"/>
      <c r="Q263" s="226"/>
      <c r="R263" s="226"/>
      <c r="S263" s="227"/>
      <c r="T263" s="222"/>
      <c r="U263" s="226"/>
      <c r="V263" s="227"/>
    </row>
    <row r="264" ht="27.7" customHeight="1">
      <c r="A264" s="32"/>
      <c r="B264" t="s" s="5">
        <v>47</v>
      </c>
      <c r="C264" t="s" s="6">
        <v>2826</v>
      </c>
      <c r="D264" t="s" s="7">
        <v>706</v>
      </c>
      <c r="E264" s="8">
        <v>45980</v>
      </c>
      <c r="F264" s="220"/>
      <c r="G264" s="221"/>
      <c r="H264" s="14"/>
      <c r="I264" s="14"/>
      <c r="J264" s="8"/>
      <c r="K264" s="32"/>
      <c r="L264" s="123"/>
      <c r="M264" s="222"/>
      <c r="N264" s="223"/>
      <c r="O264" s="224"/>
      <c r="P264" s="226"/>
      <c r="Q264" s="226"/>
      <c r="R264" s="226"/>
      <c r="S264" s="227"/>
      <c r="T264" s="222"/>
      <c r="U264" s="226"/>
      <c r="V264" s="227"/>
    </row>
    <row r="265" ht="27.7" customHeight="1">
      <c r="A265" t="s" s="30">
        <v>77</v>
      </c>
      <c r="B265" t="s" s="5">
        <v>47</v>
      </c>
      <c r="C265" t="s" s="28">
        <v>1944</v>
      </c>
      <c r="D265" t="s" s="7">
        <v>246</v>
      </c>
      <c r="E265" s="8">
        <v>45950</v>
      </c>
      <c r="F265" t="s" s="5">
        <v>47</v>
      </c>
      <c r="G265" t="s" s="249">
        <v>2467</v>
      </c>
      <c r="H265" t="s" s="14">
        <v>2827</v>
      </c>
      <c r="I265" s="14"/>
      <c r="J265" s="8"/>
      <c r="K265" s="32"/>
      <c r="L265" s="123"/>
      <c r="M265" s="222"/>
      <c r="N265" s="223"/>
      <c r="O265" s="224"/>
      <c r="P265" s="226"/>
      <c r="Q265" s="226"/>
      <c r="R265" s="226"/>
      <c r="S265" s="227"/>
      <c r="T265" s="222"/>
      <c r="U265" s="226"/>
      <c r="V265" s="227"/>
    </row>
    <row r="266" ht="27.7" customHeight="1">
      <c r="A266" t="s" s="47">
        <v>1112</v>
      </c>
      <c r="B266" t="s" s="5">
        <v>47</v>
      </c>
      <c r="C266" t="s" s="23">
        <v>697</v>
      </c>
      <c r="D266" t="s" s="7">
        <v>698</v>
      </c>
      <c r="E266" s="8">
        <v>46157</v>
      </c>
      <c r="F266" t="s" s="268">
        <v>13</v>
      </c>
      <c r="G266" t="s" s="249">
        <v>2467</v>
      </c>
      <c r="H266" s="14"/>
      <c r="I266" s="14"/>
      <c r="J266" s="8"/>
      <c r="K266" s="32"/>
      <c r="L266" s="123"/>
      <c r="M266" s="222"/>
      <c r="N266" s="223"/>
      <c r="O266" s="224"/>
      <c r="P266" s="226"/>
      <c r="Q266" s="226"/>
      <c r="R266" s="226"/>
      <c r="S266" s="227"/>
      <c r="T266" s="222"/>
      <c r="U266" s="226"/>
      <c r="V266" s="227"/>
    </row>
    <row r="267" ht="27.7" customHeight="1">
      <c r="A267" t="s" s="21">
        <v>77</v>
      </c>
      <c r="B267" t="s" s="5">
        <v>47</v>
      </c>
      <c r="C267" t="s" s="23">
        <v>791</v>
      </c>
      <c r="D267" t="s" s="7">
        <v>390</v>
      </c>
      <c r="E267" s="8">
        <v>46157</v>
      </c>
      <c r="F267" t="s" s="268">
        <v>13</v>
      </c>
      <c r="G267" t="s" s="249">
        <v>2467</v>
      </c>
      <c r="H267" t="s" s="14">
        <v>2828</v>
      </c>
      <c r="I267" s="14"/>
      <c r="J267" s="8"/>
      <c r="K267" s="32"/>
      <c r="L267" s="123"/>
      <c r="M267" s="222"/>
      <c r="N267" s="223"/>
      <c r="O267" s="224"/>
      <c r="P267" s="226"/>
      <c r="Q267" s="226"/>
      <c r="R267" s="226"/>
      <c r="S267" s="227"/>
      <c r="T267" s="222"/>
      <c r="U267" s="226"/>
      <c r="V267" s="227"/>
    </row>
    <row r="268" ht="27.7" customHeight="1">
      <c r="A268" t="s" s="21">
        <v>77</v>
      </c>
      <c r="B268" t="s" s="5">
        <v>47</v>
      </c>
      <c r="C268" t="s" s="23">
        <v>1373</v>
      </c>
      <c r="D268" t="s" s="7">
        <v>117</v>
      </c>
      <c r="E268" t="s" s="10">
        <v>2829</v>
      </c>
      <c r="F268" t="s" s="268">
        <v>13</v>
      </c>
      <c r="G268" t="s" s="249">
        <v>2467</v>
      </c>
      <c r="H268" t="s" s="14">
        <v>2830</v>
      </c>
      <c r="I268" s="14"/>
      <c r="J268" s="8"/>
      <c r="K268" s="32"/>
      <c r="L268" s="123"/>
      <c r="M268" s="222"/>
      <c r="N268" s="223"/>
      <c r="O268" s="224"/>
      <c r="P268" s="226"/>
      <c r="Q268" s="226"/>
      <c r="R268" s="226"/>
      <c r="S268" s="227"/>
      <c r="T268" s="222"/>
      <c r="U268" s="226"/>
      <c r="V268" s="227"/>
    </row>
    <row r="269" ht="27.7" customHeight="1">
      <c r="A269" t="s" s="47">
        <v>1112</v>
      </c>
      <c r="B269" t="s" s="5">
        <v>47</v>
      </c>
      <c r="C269" t="s" s="23">
        <v>1768</v>
      </c>
      <c r="D269" t="s" s="7">
        <v>468</v>
      </c>
      <c r="E269" s="8">
        <v>46157</v>
      </c>
      <c r="F269" t="s" s="268">
        <v>13</v>
      </c>
      <c r="G269" t="s" s="249">
        <v>2461</v>
      </c>
      <c r="H269" s="14"/>
      <c r="I269" s="14"/>
      <c r="J269" s="8"/>
      <c r="K269" s="32"/>
      <c r="L269" s="123"/>
      <c r="M269" s="222"/>
      <c r="N269" s="223"/>
      <c r="O269" s="224"/>
      <c r="P269" s="226"/>
      <c r="Q269" s="226"/>
      <c r="R269" s="226"/>
      <c r="S269" s="227"/>
      <c r="T269" s="222"/>
      <c r="U269" s="226"/>
      <c r="V269" s="227"/>
    </row>
    <row r="270" ht="27.7" customHeight="1">
      <c r="A270" t="s" s="21">
        <v>2492</v>
      </c>
      <c r="B270" t="s" s="5">
        <v>47</v>
      </c>
      <c r="C270" t="s" s="23">
        <v>2015</v>
      </c>
      <c r="D270" t="s" s="7">
        <v>539</v>
      </c>
      <c r="E270" s="8">
        <v>46157</v>
      </c>
      <c r="F270" t="s" s="268">
        <v>13</v>
      </c>
      <c r="G270" t="s" s="249">
        <v>2461</v>
      </c>
      <c r="H270" t="s" s="14">
        <v>2831</v>
      </c>
      <c r="I270" t="s" s="14">
        <v>2832</v>
      </c>
      <c r="J270" s="8"/>
      <c r="K270" s="32"/>
      <c r="L270" s="123"/>
      <c r="M270" s="222"/>
      <c r="N270" s="223"/>
      <c r="O270" s="224"/>
      <c r="P270" s="226"/>
      <c r="Q270" s="226"/>
      <c r="R270" s="226"/>
      <c r="S270" s="227"/>
      <c r="T270" s="222"/>
      <c r="U270" s="226"/>
      <c r="V270" s="227"/>
    </row>
    <row r="271" ht="27.7" customHeight="1">
      <c r="A271" t="s" s="21">
        <v>77</v>
      </c>
      <c r="B271" t="s" s="5">
        <v>47</v>
      </c>
      <c r="C271" t="s" s="23">
        <v>2049</v>
      </c>
      <c r="D271" t="s" s="7">
        <v>888</v>
      </c>
      <c r="E271" s="8">
        <v>46150</v>
      </c>
      <c r="F271" t="s" s="268">
        <v>13</v>
      </c>
      <c r="G271" t="s" s="249">
        <v>2467</v>
      </c>
      <c r="H271" t="s" s="14">
        <v>2833</v>
      </c>
      <c r="I271" s="14"/>
      <c r="J271" s="8"/>
      <c r="K271" s="32"/>
      <c r="L271" s="123"/>
      <c r="M271" s="222"/>
      <c r="N271" s="223"/>
      <c r="O271" s="224"/>
      <c r="P271" s="226"/>
      <c r="Q271" s="226"/>
      <c r="R271" s="226"/>
      <c r="S271" s="227"/>
      <c r="T271" s="222"/>
      <c r="U271" s="226"/>
      <c r="V271" s="227"/>
    </row>
    <row r="272" ht="27.7" customHeight="1">
      <c r="A272" s="32"/>
      <c r="B272" s="123"/>
      <c r="C272" s="6"/>
      <c r="D272" s="7"/>
      <c r="E272" s="8"/>
      <c r="F272" s="220"/>
      <c r="G272" s="221"/>
      <c r="H272" s="14"/>
      <c r="I272" s="14"/>
      <c r="J272" s="8"/>
      <c r="K272" s="32"/>
      <c r="L272" s="123"/>
      <c r="M272" s="222"/>
      <c r="N272" s="223"/>
      <c r="O272" s="224"/>
      <c r="P272" s="226"/>
      <c r="Q272" s="226"/>
      <c r="R272" s="226"/>
      <c r="S272" s="227"/>
      <c r="T272" s="222"/>
      <c r="U272" s="226"/>
      <c r="V272" s="227"/>
    </row>
    <row r="273" ht="27.7" customHeight="1">
      <c r="A273" s="32"/>
      <c r="B273" s="123"/>
      <c r="C273" s="6"/>
      <c r="D273" s="7"/>
      <c r="E273" s="8"/>
      <c r="F273" s="220"/>
      <c r="G273" s="221"/>
      <c r="H273" s="14"/>
      <c r="I273" s="14"/>
      <c r="J273" s="8"/>
      <c r="K273" s="32"/>
      <c r="L273" s="123"/>
      <c r="M273" s="222"/>
      <c r="N273" s="223"/>
      <c r="O273" s="224"/>
      <c r="P273" s="226"/>
      <c r="Q273" s="226"/>
      <c r="R273" s="226"/>
      <c r="S273" s="227"/>
      <c r="T273" s="222"/>
      <c r="U273" s="226"/>
      <c r="V273" s="227"/>
    </row>
    <row r="274" ht="27.7" customHeight="1">
      <c r="A274" t="s" s="21">
        <v>2401</v>
      </c>
      <c r="B274" t="s" s="5">
        <v>97</v>
      </c>
      <c r="C274" t="s" s="23">
        <v>1092</v>
      </c>
      <c r="D274" t="s" s="7">
        <v>1093</v>
      </c>
      <c r="E274" s="8">
        <v>45463</v>
      </c>
      <c r="F274" t="s" s="5">
        <v>13</v>
      </c>
      <c r="G274" t="s" s="249">
        <v>2467</v>
      </c>
      <c r="H274" t="s" s="113">
        <v>2834</v>
      </c>
      <c r="I274" t="s" s="21">
        <v>2835</v>
      </c>
      <c r="J274" s="251"/>
      <c r="K274" t="s" s="174">
        <v>13</v>
      </c>
      <c r="L274" t="s" s="174">
        <v>13</v>
      </c>
      <c r="M274" s="279">
        <v>18.93</v>
      </c>
      <c r="N274" t="s" s="353">
        <v>2836</v>
      </c>
      <c r="O274" s="252">
        <v>3</v>
      </c>
      <c r="P274" s="226"/>
      <c r="Q274" s="226"/>
      <c r="R274" s="226">
        <v>45486</v>
      </c>
      <c r="S274" s="227"/>
      <c r="T274" s="222"/>
      <c r="U274" s="226"/>
      <c r="V274" s="227"/>
    </row>
    <row r="275" ht="27.7" customHeight="1">
      <c r="A275" t="s" s="21">
        <v>2401</v>
      </c>
      <c r="B275" t="s" s="5">
        <v>97</v>
      </c>
      <c r="C275" t="s" s="23">
        <v>2520</v>
      </c>
      <c r="D275" t="s" s="7">
        <v>319</v>
      </c>
      <c r="E275" s="8">
        <v>45463</v>
      </c>
      <c r="F275" t="s" s="5">
        <v>13</v>
      </c>
      <c r="G275" t="s" s="249">
        <v>2649</v>
      </c>
      <c r="H275" t="s" s="113">
        <v>2837</v>
      </c>
      <c r="I275" t="s" s="21">
        <v>2838</v>
      </c>
      <c r="J275" s="8"/>
      <c r="K275" t="s" s="253">
        <v>13</v>
      </c>
      <c r="L275" t="s" s="253">
        <v>13</v>
      </c>
      <c r="M275" s="354">
        <v>32.7</v>
      </c>
      <c r="N275" t="s" s="139">
        <v>2519</v>
      </c>
      <c r="O275" s="266">
        <v>3</v>
      </c>
      <c r="P275" s="226"/>
      <c r="Q275" s="226"/>
      <c r="R275" s="226"/>
      <c r="S275" s="227"/>
      <c r="T275" s="222"/>
      <c r="U275" s="226"/>
      <c r="V275" s="227"/>
    </row>
    <row r="276" ht="27.7" customHeight="1">
      <c r="A276" t="s" s="21">
        <v>2401</v>
      </c>
      <c r="B276" t="s" s="5">
        <v>97</v>
      </c>
      <c r="C276" t="s" s="23">
        <v>150</v>
      </c>
      <c r="D276" t="s" s="7">
        <v>151</v>
      </c>
      <c r="E276" s="8">
        <v>45463</v>
      </c>
      <c r="F276" t="s" s="5">
        <v>13</v>
      </c>
      <c r="G276" t="s" s="249">
        <v>2461</v>
      </c>
      <c r="H276" t="s" s="113">
        <v>2839</v>
      </c>
      <c r="I276" t="s" s="21">
        <v>2840</v>
      </c>
      <c r="J276" s="8"/>
      <c r="K276" t="s" s="5">
        <v>13</v>
      </c>
      <c r="L276" t="s" s="5">
        <v>13</v>
      </c>
      <c r="M276" s="338">
        <v>31.13</v>
      </c>
      <c r="N276" t="s" s="139">
        <v>2464</v>
      </c>
      <c r="O276" s="266">
        <v>3</v>
      </c>
      <c r="P276" s="226"/>
      <c r="Q276" s="226"/>
      <c r="R276" s="226"/>
      <c r="S276" s="227"/>
      <c r="T276" s="222"/>
      <c r="U276" s="226"/>
      <c r="V276" s="227"/>
    </row>
    <row r="277" ht="27.7" customHeight="1">
      <c r="A277" t="s" s="21">
        <v>2401</v>
      </c>
      <c r="B277" t="s" s="5">
        <v>97</v>
      </c>
      <c r="C277" t="s" s="23">
        <v>847</v>
      </c>
      <c r="D277" t="s" s="7">
        <v>151</v>
      </c>
      <c r="E277" s="8">
        <v>45463</v>
      </c>
      <c r="F277" t="s" s="5">
        <v>13</v>
      </c>
      <c r="G277" t="s" s="249">
        <v>2467</v>
      </c>
      <c r="H277" t="s" s="113">
        <v>2841</v>
      </c>
      <c r="I277" t="s" s="21">
        <v>2842</v>
      </c>
      <c r="J277" s="8"/>
      <c r="K277" t="s" s="5">
        <v>13</v>
      </c>
      <c r="L277" t="s" s="230">
        <v>13</v>
      </c>
      <c r="M277" s="286">
        <v>18.93</v>
      </c>
      <c r="N277" s="355"/>
      <c r="O277" s="252">
        <v>3</v>
      </c>
      <c r="P277" s="226"/>
      <c r="Q277" s="226"/>
      <c r="R277" s="226"/>
      <c r="S277" s="227"/>
      <c r="T277" s="222"/>
      <c r="U277" s="226"/>
      <c r="V277" s="227"/>
    </row>
    <row r="278" ht="27.7" customHeight="1">
      <c r="A278" t="s" s="21">
        <v>2401</v>
      </c>
      <c r="B278" t="s" s="5">
        <v>97</v>
      </c>
      <c r="C278" t="s" s="23">
        <v>1301</v>
      </c>
      <c r="D278" t="s" s="7">
        <v>1302</v>
      </c>
      <c r="E278" s="8">
        <v>45484</v>
      </c>
      <c r="F278" t="s" s="5">
        <v>13</v>
      </c>
      <c r="G278" t="s" s="249">
        <v>2461</v>
      </c>
      <c r="H278" t="s" s="113">
        <v>2843</v>
      </c>
      <c r="I278" t="s" s="21">
        <v>2844</v>
      </c>
      <c r="J278" s="8"/>
      <c r="K278" t="s" s="5">
        <v>13</v>
      </c>
      <c r="L278" t="s" s="5">
        <v>13</v>
      </c>
      <c r="M278" s="254">
        <v>31.13</v>
      </c>
      <c r="N278" t="s" s="235">
        <v>2464</v>
      </c>
      <c r="O278" s="252">
        <v>4</v>
      </c>
      <c r="P278" s="226"/>
      <c r="Q278" s="226"/>
      <c r="R278" s="226"/>
      <c r="S278" s="227">
        <v>26786.5</v>
      </c>
      <c r="T278" s="222"/>
      <c r="U278" s="226"/>
      <c r="V278" s="227"/>
    </row>
    <row r="279" ht="27.7" customHeight="1">
      <c r="A279" t="s" s="21">
        <v>2401</v>
      </c>
      <c r="B279" t="s" s="5">
        <v>97</v>
      </c>
      <c r="C279" t="s" s="23">
        <v>2815</v>
      </c>
      <c r="D279" t="s" s="7">
        <v>1270</v>
      </c>
      <c r="E279" s="8">
        <v>45499</v>
      </c>
      <c r="F279" t="s" s="5">
        <v>13</v>
      </c>
      <c r="G279" t="s" s="249">
        <v>2461</v>
      </c>
      <c r="H279" t="s" s="113">
        <v>2845</v>
      </c>
      <c r="I279" t="s" s="21">
        <v>2846</v>
      </c>
      <c r="J279" s="8"/>
      <c r="K279" t="s" s="5">
        <v>13</v>
      </c>
      <c r="L279" t="s" s="5">
        <v>13</v>
      </c>
      <c r="M279" s="265">
        <v>31.13</v>
      </c>
      <c r="N279" t="s" s="298">
        <v>2464</v>
      </c>
      <c r="O279" s="266">
        <v>4</v>
      </c>
      <c r="P279" s="226"/>
      <c r="Q279" s="226"/>
      <c r="R279" s="226"/>
      <c r="S279" s="227">
        <v>62374.7</v>
      </c>
      <c r="T279" s="222"/>
      <c r="U279" s="226"/>
      <c r="V279" s="227"/>
    </row>
    <row r="280" ht="27.7" customHeight="1">
      <c r="A280" t="s" s="21">
        <v>2401</v>
      </c>
      <c r="B280" t="s" s="5">
        <v>97</v>
      </c>
      <c r="C280" t="s" s="23">
        <v>1678</v>
      </c>
      <c r="D280" t="s" s="7">
        <v>1368</v>
      </c>
      <c r="E280" s="8">
        <v>45499</v>
      </c>
      <c r="F280" t="s" s="5">
        <v>13</v>
      </c>
      <c r="G280" t="s" s="249">
        <v>2467</v>
      </c>
      <c r="H280" t="s" s="113">
        <v>2847</v>
      </c>
      <c r="I280" t="s" s="21">
        <v>2848</v>
      </c>
      <c r="J280" s="8"/>
      <c r="K280" t="s" s="5">
        <v>13</v>
      </c>
      <c r="L280" t="s" s="5">
        <v>13</v>
      </c>
      <c r="M280" s="254">
        <v>18.93</v>
      </c>
      <c r="N280" s="273"/>
      <c r="O280" s="252">
        <v>4</v>
      </c>
      <c r="P280" s="226"/>
      <c r="Q280" s="226"/>
      <c r="R280" s="226">
        <v>45522</v>
      </c>
      <c r="S280" s="227">
        <v>35286.4</v>
      </c>
      <c r="T280" s="222">
        <v>18.93</v>
      </c>
      <c r="U280" s="226"/>
      <c r="V280" s="227"/>
    </row>
    <row r="281" ht="27.7" customHeight="1">
      <c r="A281" t="s" s="17">
        <v>2425</v>
      </c>
      <c r="B281" t="s" s="5">
        <v>97</v>
      </c>
      <c r="C281" t="s" s="124">
        <v>1922</v>
      </c>
      <c r="D281" t="s" s="7">
        <v>246</v>
      </c>
      <c r="E281" s="8">
        <v>45513</v>
      </c>
      <c r="F281" t="s" s="5">
        <v>13</v>
      </c>
      <c r="G281" t="s" s="269">
        <v>2461</v>
      </c>
      <c r="H281" t="s" s="113">
        <v>2849</v>
      </c>
      <c r="I281" t="s" s="256">
        <v>2850</v>
      </c>
      <c r="J281" s="8"/>
      <c r="K281" s="32"/>
      <c r="L281" s="123"/>
      <c r="M281" s="222"/>
      <c r="N281" s="223"/>
      <c r="O281" t="s" s="229">
        <v>24</v>
      </c>
      <c r="P281" s="226"/>
      <c r="Q281" s="226"/>
      <c r="R281" s="226"/>
      <c r="S281" s="227"/>
      <c r="T281" s="222"/>
      <c r="U281" s="226"/>
      <c r="V281" s="227"/>
    </row>
    <row r="282" ht="27.7" customHeight="1">
      <c r="A282" t="s" s="21">
        <v>2401</v>
      </c>
      <c r="B282" t="s" s="5">
        <v>97</v>
      </c>
      <c r="C282" t="s" s="23">
        <v>1922</v>
      </c>
      <c r="D282" t="s" s="7">
        <v>246</v>
      </c>
      <c r="E282" s="8">
        <v>45513</v>
      </c>
      <c r="F282" t="s" s="5">
        <v>13</v>
      </c>
      <c r="G282" t="s" s="249">
        <v>2467</v>
      </c>
      <c r="H282" t="s" s="113">
        <v>2851</v>
      </c>
      <c r="I282" t="s" s="21">
        <v>2852</v>
      </c>
      <c r="J282" s="8"/>
      <c r="K282" t="s" s="5">
        <v>13</v>
      </c>
      <c r="L282" t="s" s="5">
        <v>13</v>
      </c>
      <c r="M282" s="241">
        <v>18.93</v>
      </c>
      <c r="N282" s="223"/>
      <c r="O282" s="252">
        <v>5</v>
      </c>
      <c r="P282" s="226"/>
      <c r="Q282" s="226"/>
      <c r="R282" s="226"/>
      <c r="S282" s="227"/>
      <c r="T282" s="222"/>
      <c r="U282" s="226"/>
      <c r="V282" s="227"/>
    </row>
    <row r="283" ht="27.7" customHeight="1">
      <c r="A283" t="s" s="17">
        <v>2470</v>
      </c>
      <c r="B283" t="s" s="5">
        <v>97</v>
      </c>
      <c r="C283" t="s" s="124">
        <v>205</v>
      </c>
      <c r="D283" t="s" s="7">
        <v>206</v>
      </c>
      <c r="E283" s="8">
        <v>45532</v>
      </c>
      <c r="F283" t="s" s="5">
        <v>13</v>
      </c>
      <c r="G283" t="s" s="249">
        <v>2649</v>
      </c>
      <c r="H283" t="s" s="113">
        <v>2853</v>
      </c>
      <c r="I283" t="s" s="256">
        <v>2854</v>
      </c>
      <c r="J283" s="8"/>
      <c r="K283" t="s" s="5">
        <v>13</v>
      </c>
      <c r="L283" t="s" s="5">
        <v>13</v>
      </c>
      <c r="M283" s="356">
        <v>13.77</v>
      </c>
      <c r="N283" t="s" s="223">
        <v>2855</v>
      </c>
      <c r="O283" t="s" s="229">
        <v>24</v>
      </c>
      <c r="P283" s="226"/>
      <c r="Q283" s="226"/>
      <c r="R283" s="226"/>
      <c r="S283" s="227"/>
      <c r="T283" s="222"/>
      <c r="U283" s="226"/>
      <c r="V283" s="227"/>
    </row>
    <row r="284" ht="27.7" customHeight="1">
      <c r="A284" t="s" s="21">
        <v>2401</v>
      </c>
      <c r="B284" t="s" s="5">
        <v>97</v>
      </c>
      <c r="C284" t="s" s="23">
        <v>205</v>
      </c>
      <c r="D284" t="s" s="7">
        <v>206</v>
      </c>
      <c r="E284" s="8">
        <v>45532</v>
      </c>
      <c r="F284" t="s" s="5">
        <v>13</v>
      </c>
      <c r="G284" t="s" s="249">
        <v>2612</v>
      </c>
      <c r="H284" s="14"/>
      <c r="I284" t="s" s="21">
        <v>2856</v>
      </c>
      <c r="J284" s="8"/>
      <c r="K284" t="s" s="5">
        <v>13</v>
      </c>
      <c r="L284" t="s" s="5">
        <v>13</v>
      </c>
      <c r="M284" s="254">
        <v>18.93</v>
      </c>
      <c r="N284" t="s" s="223">
        <v>2855</v>
      </c>
      <c r="O284" s="252">
        <v>6</v>
      </c>
      <c r="P284" s="226"/>
      <c r="Q284" s="226"/>
      <c r="R284" s="226"/>
      <c r="S284" s="227"/>
      <c r="T284" s="222"/>
      <c r="U284" s="226"/>
      <c r="V284" s="227"/>
    </row>
    <row r="285" ht="27.7" customHeight="1">
      <c r="A285" t="s" s="17">
        <v>2470</v>
      </c>
      <c r="B285" t="s" s="5">
        <v>97</v>
      </c>
      <c r="C285" t="s" s="124">
        <v>2857</v>
      </c>
      <c r="D285" t="s" s="7">
        <v>451</v>
      </c>
      <c r="E285" s="8">
        <v>45544</v>
      </c>
      <c r="F285" t="s" s="5">
        <v>13</v>
      </c>
      <c r="G285" t="s" s="249">
        <v>2412</v>
      </c>
      <c r="H285" t="s" s="113">
        <v>2858</v>
      </c>
      <c r="I285" t="s" s="10">
        <v>2859</v>
      </c>
      <c r="J285" s="8"/>
      <c r="K285" t="s" s="268">
        <v>13</v>
      </c>
      <c r="L285" s="123"/>
      <c r="M285" s="254"/>
      <c r="N285" s="223"/>
      <c r="O285" t="s" s="229">
        <v>24</v>
      </c>
      <c r="P285" s="226"/>
      <c r="Q285" s="226"/>
      <c r="R285" s="226"/>
      <c r="S285" s="227"/>
      <c r="T285" s="222"/>
      <c r="U285" s="226"/>
      <c r="V285" s="227"/>
    </row>
    <row r="286" ht="27.7" customHeight="1">
      <c r="A286" t="s" s="21">
        <v>2401</v>
      </c>
      <c r="B286" t="s" s="5">
        <v>97</v>
      </c>
      <c r="C286" t="s" s="23">
        <v>2857</v>
      </c>
      <c r="D286" t="s" s="7">
        <v>451</v>
      </c>
      <c r="E286" s="8">
        <v>45544</v>
      </c>
      <c r="F286" t="s" s="5">
        <v>13</v>
      </c>
      <c r="G286" t="s" s="249">
        <v>2412</v>
      </c>
      <c r="H286" t="s" s="113">
        <v>2860</v>
      </c>
      <c r="I286" t="s" s="21">
        <v>2861</v>
      </c>
      <c r="J286" s="8"/>
      <c r="K286" t="s" s="5">
        <v>13</v>
      </c>
      <c r="L286" t="s" s="5">
        <v>13</v>
      </c>
      <c r="M286" s="254">
        <v>31.13</v>
      </c>
      <c r="N286" t="s" s="235">
        <v>2464</v>
      </c>
      <c r="O286" s="252">
        <v>6</v>
      </c>
      <c r="P286" s="226"/>
      <c r="Q286" s="226"/>
      <c r="R286" s="226"/>
      <c r="S286" s="227"/>
      <c r="T286" s="222"/>
      <c r="U286" s="226"/>
      <c r="V286" s="227"/>
    </row>
    <row r="287" ht="27.7" customHeight="1">
      <c r="A287" t="s" s="30">
        <v>2401</v>
      </c>
      <c r="B287" t="s" s="5">
        <v>97</v>
      </c>
      <c r="C287" t="s" s="28">
        <v>1249</v>
      </c>
      <c r="D287" t="s" s="7">
        <v>129</v>
      </c>
      <c r="E287" s="8">
        <v>45562</v>
      </c>
      <c r="F287" t="s" s="5">
        <v>97</v>
      </c>
      <c r="G287" t="s" s="249">
        <v>2612</v>
      </c>
      <c r="H287" s="113"/>
      <c r="I287" t="s" s="256">
        <v>2862</v>
      </c>
      <c r="J287" s="8"/>
      <c r="K287" t="s" s="268">
        <v>2404</v>
      </c>
      <c r="L287" s="123"/>
      <c r="M287" s="222"/>
      <c r="N287" s="223"/>
      <c r="O287" t="s" s="229">
        <v>24</v>
      </c>
      <c r="P287" s="226"/>
      <c r="Q287" s="226"/>
      <c r="R287" s="226"/>
      <c r="S287" s="227"/>
      <c r="T287" s="222"/>
      <c r="U287" s="226"/>
      <c r="V287" s="227"/>
    </row>
    <row r="288" ht="27.7" customHeight="1">
      <c r="A288" t="s" s="21">
        <v>2401</v>
      </c>
      <c r="B288" t="s" s="5">
        <v>97</v>
      </c>
      <c r="C288" t="s" s="23">
        <v>2863</v>
      </c>
      <c r="D288" t="s" s="7">
        <v>151</v>
      </c>
      <c r="E288" s="8">
        <v>45576</v>
      </c>
      <c r="F288" t="s" s="5">
        <v>13</v>
      </c>
      <c r="G288" t="s" s="249">
        <v>2467</v>
      </c>
      <c r="H288" t="s" s="113">
        <v>2864</v>
      </c>
      <c r="I288" t="s" s="21">
        <v>2865</v>
      </c>
      <c r="J288" s="25">
        <v>45605</v>
      </c>
      <c r="K288" t="s" s="5">
        <v>13</v>
      </c>
      <c r="L288" t="s" s="5">
        <v>13</v>
      </c>
      <c r="M288" s="254">
        <v>18.93</v>
      </c>
      <c r="N288" s="223"/>
      <c r="O288" s="252">
        <v>7</v>
      </c>
      <c r="P288" s="226"/>
      <c r="Q288" s="226"/>
      <c r="R288" s="226"/>
      <c r="S288" s="227"/>
      <c r="T288" s="222"/>
      <c r="U288" s="226"/>
      <c r="V288" s="227"/>
    </row>
    <row r="289" ht="27.7" customHeight="1">
      <c r="A289" t="s" s="17">
        <v>2470</v>
      </c>
      <c r="B289" t="s" s="5">
        <v>97</v>
      </c>
      <c r="C289" t="s" s="124">
        <v>1922</v>
      </c>
      <c r="D289" t="s" s="7">
        <v>246</v>
      </c>
      <c r="E289" s="8">
        <v>45583</v>
      </c>
      <c r="F289" t="s" s="5">
        <v>13</v>
      </c>
      <c r="G289" t="s" s="249">
        <v>2467</v>
      </c>
      <c r="H289" t="s" s="113">
        <v>2866</v>
      </c>
      <c r="I289" s="256"/>
      <c r="J289" s="25"/>
      <c r="K289" t="s" s="5">
        <v>13</v>
      </c>
      <c r="L289" t="s" s="5">
        <v>13</v>
      </c>
      <c r="M289" s="222"/>
      <c r="N289" s="223"/>
      <c r="O289" t="s" s="229">
        <v>24</v>
      </c>
      <c r="P289" s="226"/>
      <c r="Q289" s="226"/>
      <c r="R289" s="226"/>
      <c r="S289" s="227"/>
      <c r="T289" s="222"/>
      <c r="U289" s="226"/>
      <c r="V289" s="227"/>
    </row>
    <row r="290" ht="27.7" customHeight="1">
      <c r="A290" t="s" s="21">
        <v>2401</v>
      </c>
      <c r="B290" t="s" s="5">
        <v>97</v>
      </c>
      <c r="C290" t="s" s="23">
        <v>623</v>
      </c>
      <c r="D290" t="s" s="7">
        <v>545</v>
      </c>
      <c r="E290" s="8">
        <v>45595</v>
      </c>
      <c r="F290" t="s" s="5">
        <v>13</v>
      </c>
      <c r="G290" t="s" s="249">
        <v>2612</v>
      </c>
      <c r="H290" s="113"/>
      <c r="I290" t="s" s="256">
        <v>2867</v>
      </c>
      <c r="J290" s="25"/>
      <c r="K290" t="s" s="268">
        <v>2404</v>
      </c>
      <c r="L290" s="123"/>
      <c r="M290" s="222"/>
      <c r="N290" s="223"/>
      <c r="O290" t="s" s="229">
        <v>24</v>
      </c>
      <c r="P290" s="226"/>
      <c r="Q290" s="226"/>
      <c r="R290" s="226"/>
      <c r="S290" s="227"/>
      <c r="T290" s="222"/>
      <c r="U290" s="226"/>
      <c r="V290" s="227"/>
    </row>
    <row r="291" ht="27.7" customHeight="1">
      <c r="A291" t="s" s="21">
        <v>2401</v>
      </c>
      <c r="B291" t="s" s="5">
        <v>97</v>
      </c>
      <c r="C291" t="s" s="23">
        <v>2868</v>
      </c>
      <c r="D291" t="s" s="7">
        <v>468</v>
      </c>
      <c r="E291" s="8">
        <v>45616</v>
      </c>
      <c r="F291" t="s" s="5">
        <v>13</v>
      </c>
      <c r="G291" t="s" s="249">
        <v>2461</v>
      </c>
      <c r="H291" t="s" s="113">
        <v>2869</v>
      </c>
      <c r="I291" t="s" s="270">
        <v>2870</v>
      </c>
      <c r="J291" s="25">
        <v>45630</v>
      </c>
      <c r="K291" s="220"/>
      <c r="L291" s="123"/>
      <c r="M291" s="222"/>
      <c r="N291" s="223"/>
      <c r="O291" t="s" s="229">
        <v>24</v>
      </c>
      <c r="P291" s="226"/>
      <c r="Q291" s="226"/>
      <c r="R291" s="226"/>
      <c r="S291" s="227"/>
      <c r="T291" s="222"/>
      <c r="U291" s="226"/>
      <c r="V291" s="227"/>
    </row>
    <row r="292" ht="27.7" customHeight="1">
      <c r="A292" t="s" s="17">
        <v>2871</v>
      </c>
      <c r="B292" t="s" s="5">
        <v>97</v>
      </c>
      <c r="C292" t="s" s="6">
        <v>228</v>
      </c>
      <c r="D292" t="s" s="7">
        <v>206</v>
      </c>
      <c r="E292" s="8">
        <v>45623</v>
      </c>
      <c r="F292" t="s" s="5">
        <v>13</v>
      </c>
      <c r="G292" s="250"/>
      <c r="H292" s="113"/>
      <c r="I292" s="256"/>
      <c r="J292" s="25"/>
      <c r="K292" s="220"/>
      <c r="L292" s="123"/>
      <c r="M292" s="222"/>
      <c r="N292" s="223"/>
      <c r="O292" t="s" s="229">
        <v>24</v>
      </c>
      <c r="P292" s="226"/>
      <c r="Q292" s="226"/>
      <c r="R292" s="226"/>
      <c r="S292" s="227"/>
      <c r="T292" s="222"/>
      <c r="U292" s="226"/>
      <c r="V292" s="227"/>
    </row>
    <row r="293" ht="27.7" customHeight="1">
      <c r="A293" t="s" s="21">
        <v>2401</v>
      </c>
      <c r="B293" t="s" s="5">
        <v>97</v>
      </c>
      <c r="C293" t="s" s="23">
        <v>1678</v>
      </c>
      <c r="D293" t="s" s="7">
        <v>1368</v>
      </c>
      <c r="E293" s="8">
        <v>45623</v>
      </c>
      <c r="F293" t="s" s="5">
        <v>13</v>
      </c>
      <c r="G293" t="s" s="249">
        <v>2467</v>
      </c>
      <c r="H293" t="s" s="113">
        <v>2872</v>
      </c>
      <c r="I293" t="s" s="270">
        <v>2873</v>
      </c>
      <c r="J293" s="25"/>
      <c r="K293" t="s" s="268">
        <v>13</v>
      </c>
      <c r="L293" s="123"/>
      <c r="M293" s="222"/>
      <c r="N293" s="223"/>
      <c r="O293" t="s" s="229">
        <v>24</v>
      </c>
      <c r="P293" s="226"/>
      <c r="Q293" s="226"/>
      <c r="R293" s="226"/>
      <c r="S293" s="227"/>
      <c r="T293" s="222"/>
      <c r="U293" s="226"/>
      <c r="V293" s="227"/>
    </row>
    <row r="294" ht="27.7" customHeight="1">
      <c r="A294" t="s" s="21">
        <v>2401</v>
      </c>
      <c r="B294" t="s" s="5">
        <v>97</v>
      </c>
      <c r="C294" t="s" s="23">
        <v>791</v>
      </c>
      <c r="D294" t="s" s="7">
        <v>390</v>
      </c>
      <c r="E294" s="8">
        <v>45678</v>
      </c>
      <c r="F294" t="s" s="5">
        <v>13</v>
      </c>
      <c r="G294" t="s" s="249">
        <v>2467</v>
      </c>
      <c r="H294" t="s" s="113">
        <v>2874</v>
      </c>
      <c r="I294" t="s" s="270">
        <v>2875</v>
      </c>
      <c r="J294" s="8"/>
      <c r="K294" t="s" s="268">
        <v>13</v>
      </c>
      <c r="L294" s="123"/>
      <c r="M294" s="222"/>
      <c r="N294" s="223"/>
      <c r="O294" s="224"/>
      <c r="P294" s="226"/>
      <c r="Q294" s="226"/>
      <c r="R294" s="226"/>
      <c r="S294" s="227"/>
      <c r="T294" s="222"/>
      <c r="U294" s="226"/>
      <c r="V294" s="227"/>
    </row>
    <row r="295" ht="27.7" customHeight="1">
      <c r="A295" t="s" s="21">
        <v>2401</v>
      </c>
      <c r="B295" t="s" s="5">
        <v>97</v>
      </c>
      <c r="C295" t="s" s="23">
        <v>1922</v>
      </c>
      <c r="D295" t="s" s="7">
        <v>246</v>
      </c>
      <c r="E295" s="8">
        <v>45678</v>
      </c>
      <c r="F295" t="s" s="5">
        <v>13</v>
      </c>
      <c r="G295" t="s" s="249">
        <v>2461</v>
      </c>
      <c r="H295" t="s" s="113">
        <v>2876</v>
      </c>
      <c r="I295" t="s" s="256">
        <v>2877</v>
      </c>
      <c r="J295" s="8"/>
      <c r="K295" s="32"/>
      <c r="L295" s="123"/>
      <c r="M295" s="222"/>
      <c r="N295" s="223"/>
      <c r="O295" s="224"/>
      <c r="P295" s="226"/>
      <c r="Q295" s="226"/>
      <c r="R295" s="226"/>
      <c r="S295" s="227"/>
      <c r="T295" s="222"/>
      <c r="U295" s="226"/>
      <c r="V295" s="227"/>
    </row>
    <row r="296" ht="27.7" customHeight="1">
      <c r="A296" t="s" s="21">
        <v>2401</v>
      </c>
      <c r="B296" t="s" s="5">
        <v>97</v>
      </c>
      <c r="C296" t="s" s="23">
        <v>450</v>
      </c>
      <c r="D296" t="s" s="7">
        <v>451</v>
      </c>
      <c r="E296" s="8">
        <v>45694</v>
      </c>
      <c r="F296" t="s" s="5">
        <v>13</v>
      </c>
      <c r="G296" t="s" s="249">
        <v>2461</v>
      </c>
      <c r="H296" t="s" s="14">
        <v>2878</v>
      </c>
      <c r="I296" t="s" s="256">
        <v>2879</v>
      </c>
      <c r="J296" s="8"/>
      <c r="K296" s="32"/>
      <c r="L296" s="123"/>
      <c r="M296" s="222"/>
      <c r="N296" s="223"/>
      <c r="O296" t="s" s="229">
        <v>24</v>
      </c>
      <c r="P296" s="226"/>
      <c r="Q296" s="226"/>
      <c r="R296" s="226"/>
      <c r="S296" s="227"/>
      <c r="T296" s="222"/>
      <c r="U296" s="226"/>
      <c r="V296" s="227"/>
    </row>
    <row r="297" ht="27.7" customHeight="1">
      <c r="A297" t="s" s="21">
        <v>2401</v>
      </c>
      <c r="B297" t="s" s="5">
        <v>97</v>
      </c>
      <c r="C297" t="s" s="23">
        <v>405</v>
      </c>
      <c r="D297" t="s" s="7">
        <v>151</v>
      </c>
      <c r="E297" s="8">
        <v>45729</v>
      </c>
      <c r="F297" t="s" s="5">
        <v>13</v>
      </c>
      <c r="G297" t="s" s="249">
        <v>2467</v>
      </c>
      <c r="H297" t="s" s="113">
        <v>2880</v>
      </c>
      <c r="I297" t="s" s="256">
        <v>2881</v>
      </c>
      <c r="J297" s="8"/>
      <c r="K297" s="32"/>
      <c r="L297" s="123"/>
      <c r="M297" s="222"/>
      <c r="N297" s="223"/>
      <c r="O297" s="224"/>
      <c r="P297" s="226"/>
      <c r="Q297" s="226"/>
      <c r="R297" s="226"/>
      <c r="S297" s="227"/>
      <c r="T297" s="222"/>
      <c r="U297" s="226"/>
      <c r="V297" s="227"/>
    </row>
    <row r="298" ht="27.7" customHeight="1">
      <c r="A298" t="s" s="21">
        <v>2401</v>
      </c>
      <c r="B298" t="s" s="5">
        <v>97</v>
      </c>
      <c r="C298" t="s" s="23">
        <v>1922</v>
      </c>
      <c r="D298" t="s" s="7">
        <v>246</v>
      </c>
      <c r="E298" s="8">
        <v>45729</v>
      </c>
      <c r="F298" t="s" s="5">
        <v>13</v>
      </c>
      <c r="G298" t="s" s="249">
        <v>2461</v>
      </c>
      <c r="H298" t="s" s="113">
        <v>2882</v>
      </c>
      <c r="I298" t="s" s="256">
        <v>2883</v>
      </c>
      <c r="J298" s="8"/>
      <c r="K298" s="32"/>
      <c r="L298" s="123"/>
      <c r="M298" s="222"/>
      <c r="N298" s="223"/>
      <c r="O298" s="224"/>
      <c r="P298" s="226"/>
      <c r="Q298" s="226"/>
      <c r="R298" s="226"/>
      <c r="S298" s="227"/>
      <c r="T298" s="222"/>
      <c r="U298" s="226"/>
      <c r="V298" s="227"/>
    </row>
    <row r="299" ht="27.7" customHeight="1">
      <c r="A299" t="s" s="21">
        <v>2401</v>
      </c>
      <c r="B299" t="s" s="5">
        <v>97</v>
      </c>
      <c r="C299" t="s" s="23">
        <v>1429</v>
      </c>
      <c r="D299" t="s" s="7">
        <v>884</v>
      </c>
      <c r="E299" s="8">
        <v>45737</v>
      </c>
      <c r="F299" t="s" s="5">
        <v>13</v>
      </c>
      <c r="G299" t="s" s="249">
        <v>2467</v>
      </c>
      <c r="H299" t="s" s="113">
        <v>2884</v>
      </c>
      <c r="I299" t="s" s="256">
        <v>2885</v>
      </c>
      <c r="J299" s="8"/>
      <c r="K299" s="32"/>
      <c r="L299" s="123"/>
      <c r="M299" s="222"/>
      <c r="N299" s="223"/>
      <c r="O299" s="224"/>
      <c r="P299" s="226"/>
      <c r="Q299" s="226"/>
      <c r="R299" s="226"/>
      <c r="S299" s="227"/>
      <c r="T299" s="222"/>
      <c r="U299" s="226"/>
      <c r="V299" s="227"/>
    </row>
    <row r="300" ht="27.7" customHeight="1">
      <c r="A300" t="s" s="17">
        <v>2425</v>
      </c>
      <c r="B300" t="s" s="5">
        <v>97</v>
      </c>
      <c r="C300" t="s" s="124">
        <v>1622</v>
      </c>
      <c r="D300" t="s" s="7">
        <v>884</v>
      </c>
      <c r="E300" s="8">
        <v>45772</v>
      </c>
      <c r="F300" t="s" s="268">
        <v>13</v>
      </c>
      <c r="G300" t="s" s="269">
        <v>2467</v>
      </c>
      <c r="H300" t="s" s="14">
        <v>2886</v>
      </c>
      <c r="I300" s="10"/>
      <c r="J300" s="8"/>
      <c r="K300" s="32"/>
      <c r="L300" s="123"/>
      <c r="M300" s="222"/>
      <c r="N300" s="223"/>
      <c r="O300" s="224"/>
      <c r="P300" s="226"/>
      <c r="Q300" s="226"/>
      <c r="R300" s="226"/>
      <c r="S300" s="227"/>
      <c r="T300" s="222"/>
      <c r="U300" s="226"/>
      <c r="V300" s="227"/>
    </row>
    <row r="301" ht="27.7" customHeight="1">
      <c r="A301" t="s" s="21">
        <v>2401</v>
      </c>
      <c r="B301" t="s" s="5">
        <v>97</v>
      </c>
      <c r="C301" t="s" s="23">
        <v>1622</v>
      </c>
      <c r="D301" t="s" s="7">
        <v>884</v>
      </c>
      <c r="E301" s="8">
        <v>45772</v>
      </c>
      <c r="F301" t="s" s="5">
        <v>13</v>
      </c>
      <c r="G301" t="s" s="249">
        <v>2461</v>
      </c>
      <c r="H301" t="s" s="113">
        <v>2887</v>
      </c>
      <c r="I301" t="s" s="256">
        <v>2888</v>
      </c>
      <c r="J301" s="8"/>
      <c r="K301" s="32"/>
      <c r="L301" s="123"/>
      <c r="M301" s="222"/>
      <c r="N301" s="223"/>
      <c r="O301" s="224"/>
      <c r="P301" s="226"/>
      <c r="Q301" s="226"/>
      <c r="R301" s="226"/>
      <c r="S301" s="227"/>
      <c r="T301" s="222"/>
      <c r="U301" s="226"/>
      <c r="V301" s="227"/>
    </row>
    <row r="302" ht="27.7" customHeight="1">
      <c r="A302" t="s" s="17">
        <v>2470</v>
      </c>
      <c r="B302" t="s" s="268">
        <v>97</v>
      </c>
      <c r="C302" t="s" s="124">
        <v>1132</v>
      </c>
      <c r="D302" t="s" s="344">
        <v>683</v>
      </c>
      <c r="E302" s="8">
        <v>45777</v>
      </c>
      <c r="F302" t="s" s="268">
        <v>13</v>
      </c>
      <c r="G302" t="s" s="269">
        <v>2461</v>
      </c>
      <c r="H302" t="s" s="14">
        <v>2889</v>
      </c>
      <c r="I302" t="s" s="10">
        <v>2890</v>
      </c>
      <c r="J302" s="8"/>
      <c r="K302" s="32"/>
      <c r="L302" s="123"/>
      <c r="M302" s="222"/>
      <c r="N302" s="223"/>
      <c r="O302" s="224"/>
      <c r="P302" s="226"/>
      <c r="Q302" s="226"/>
      <c r="R302" s="226"/>
      <c r="S302" s="227"/>
      <c r="T302" s="222"/>
      <c r="U302" s="226"/>
      <c r="V302" s="227"/>
    </row>
    <row r="303" ht="27.7" customHeight="1">
      <c r="A303" t="s" s="21">
        <v>2401</v>
      </c>
      <c r="B303" t="s" s="5">
        <v>97</v>
      </c>
      <c r="C303" t="s" s="23">
        <v>1132</v>
      </c>
      <c r="D303" t="s" s="7">
        <v>683</v>
      </c>
      <c r="E303" s="8">
        <v>45777</v>
      </c>
      <c r="F303" t="s" s="5">
        <v>13</v>
      </c>
      <c r="G303" t="s" s="249">
        <v>2461</v>
      </c>
      <c r="H303" t="s" s="113">
        <v>2891</v>
      </c>
      <c r="I303" t="s" s="256">
        <v>2892</v>
      </c>
      <c r="J303" s="8"/>
      <c r="K303" s="32"/>
      <c r="L303" s="123"/>
      <c r="M303" s="222"/>
      <c r="N303" s="223"/>
      <c r="O303" s="224"/>
      <c r="P303" s="226"/>
      <c r="Q303" s="226"/>
      <c r="R303" s="226"/>
      <c r="S303" s="227"/>
      <c r="T303" s="222"/>
      <c r="U303" s="226"/>
      <c r="V303" s="227"/>
    </row>
    <row r="304" ht="27.7" customHeight="1">
      <c r="A304" t="s" s="21">
        <v>2401</v>
      </c>
      <c r="B304" t="s" s="5">
        <v>97</v>
      </c>
      <c r="C304" t="s" s="23">
        <v>1768</v>
      </c>
      <c r="D304" t="s" s="7">
        <v>468</v>
      </c>
      <c r="E304" s="8">
        <v>45777</v>
      </c>
      <c r="F304" t="s" s="5">
        <v>13</v>
      </c>
      <c r="G304" t="s" s="249">
        <v>2461</v>
      </c>
      <c r="H304" t="s" s="113">
        <v>2893</v>
      </c>
      <c r="I304" t="s" s="256">
        <v>2894</v>
      </c>
      <c r="J304" s="8"/>
      <c r="K304" s="32"/>
      <c r="L304" s="123"/>
      <c r="M304" s="222"/>
      <c r="N304" s="223"/>
      <c r="O304" s="224"/>
      <c r="P304" s="226"/>
      <c r="Q304" s="226"/>
      <c r="R304" s="226"/>
      <c r="S304" s="227"/>
      <c r="T304" s="222"/>
      <c r="U304" s="226"/>
      <c r="V304" s="227"/>
    </row>
    <row r="305" ht="27.7" customHeight="1">
      <c r="A305" t="s" s="21">
        <v>2401</v>
      </c>
      <c r="B305" t="s" s="5">
        <v>97</v>
      </c>
      <c r="C305" t="s" s="23">
        <v>2504</v>
      </c>
      <c r="D305" t="s" s="7">
        <v>206</v>
      </c>
      <c r="E305" s="8">
        <v>45777</v>
      </c>
      <c r="F305" t="s" s="5">
        <v>13</v>
      </c>
      <c r="G305" t="s" s="249">
        <v>2461</v>
      </c>
      <c r="H305" t="s" s="113">
        <v>2895</v>
      </c>
      <c r="I305" t="s" s="256">
        <v>2896</v>
      </c>
      <c r="J305" s="8"/>
      <c r="K305" s="32"/>
      <c r="L305" s="123"/>
      <c r="M305" s="222"/>
      <c r="N305" s="223"/>
      <c r="O305" s="224"/>
      <c r="P305" s="226"/>
      <c r="Q305" s="226"/>
      <c r="R305" s="226"/>
      <c r="S305" s="227"/>
      <c r="T305" s="222"/>
      <c r="U305" s="226"/>
      <c r="V305" s="227"/>
    </row>
    <row r="306" ht="27.7" customHeight="1">
      <c r="A306" t="s" s="21">
        <v>2401</v>
      </c>
      <c r="B306" t="s" s="5">
        <v>97</v>
      </c>
      <c r="C306" t="s" s="23">
        <v>450</v>
      </c>
      <c r="D306" t="s" s="7">
        <v>451</v>
      </c>
      <c r="E306" s="8">
        <v>45785</v>
      </c>
      <c r="F306" t="s" s="5">
        <v>13</v>
      </c>
      <c r="G306" t="s" s="249">
        <v>2461</v>
      </c>
      <c r="H306" t="s" s="113">
        <v>2897</v>
      </c>
      <c r="I306" t="s" s="256">
        <v>2898</v>
      </c>
      <c r="J306" s="8"/>
      <c r="K306" s="32"/>
      <c r="L306" s="123"/>
      <c r="M306" s="222"/>
      <c r="N306" s="223"/>
      <c r="O306" s="224"/>
      <c r="P306" s="226"/>
      <c r="Q306" s="226"/>
      <c r="R306" s="226"/>
      <c r="S306" s="227"/>
      <c r="T306" s="222"/>
      <c r="U306" s="226"/>
      <c r="V306" s="227"/>
    </row>
    <row r="307" ht="27.7" customHeight="1">
      <c r="A307" t="s" s="21">
        <v>2401</v>
      </c>
      <c r="B307" t="s" s="5">
        <v>97</v>
      </c>
      <c r="C307" t="s" s="23">
        <v>1588</v>
      </c>
      <c r="D307" t="s" s="7">
        <v>1270</v>
      </c>
      <c r="E307" s="8">
        <v>45793</v>
      </c>
      <c r="F307" t="s" s="5">
        <v>13</v>
      </c>
      <c r="G307" t="s" s="249">
        <v>2461</v>
      </c>
      <c r="H307" t="s" s="113">
        <v>2899</v>
      </c>
      <c r="I307" t="s" s="256">
        <v>2900</v>
      </c>
      <c r="J307" s="8"/>
      <c r="K307" s="32"/>
      <c r="L307" s="123"/>
      <c r="M307" s="222"/>
      <c r="N307" s="223"/>
      <c r="O307" s="224"/>
      <c r="P307" s="226"/>
      <c r="Q307" s="226"/>
      <c r="R307" s="226"/>
      <c r="S307" s="227"/>
      <c r="T307" s="222"/>
      <c r="U307" s="226"/>
      <c r="V307" s="227"/>
    </row>
    <row r="308" ht="27.7" customHeight="1">
      <c r="A308" t="s" s="274">
        <v>2401</v>
      </c>
      <c r="B308" t="s" s="5">
        <v>97</v>
      </c>
      <c r="C308" t="s" s="23">
        <v>1249</v>
      </c>
      <c r="D308" t="s" s="7">
        <v>129</v>
      </c>
      <c r="E308" s="8">
        <v>45793</v>
      </c>
      <c r="F308" t="s" s="5">
        <v>13</v>
      </c>
      <c r="G308" t="s" s="249">
        <v>2461</v>
      </c>
      <c r="H308" t="s" s="113">
        <v>2901</v>
      </c>
      <c r="I308" t="s" s="256">
        <v>2902</v>
      </c>
      <c r="J308" s="8"/>
      <c r="K308" s="32"/>
      <c r="L308" s="123"/>
      <c r="M308" s="222"/>
      <c r="N308" s="223"/>
      <c r="O308" s="224"/>
      <c r="P308" s="226"/>
      <c r="Q308" s="226"/>
      <c r="R308" s="226"/>
      <c r="S308" s="227"/>
      <c r="T308" s="222"/>
      <c r="U308" s="226"/>
      <c r="V308" s="227"/>
    </row>
    <row r="309" ht="27.7" customHeight="1">
      <c r="A309" t="s" s="130">
        <v>2425</v>
      </c>
      <c r="B309" t="s" s="61">
        <v>97</v>
      </c>
      <c r="C309" t="s" s="124">
        <v>353</v>
      </c>
      <c r="D309" t="s" s="7">
        <v>319</v>
      </c>
      <c r="E309" s="8">
        <v>45793</v>
      </c>
      <c r="F309" t="s" s="268">
        <v>13</v>
      </c>
      <c r="G309" t="s" s="269">
        <v>2461</v>
      </c>
      <c r="H309" t="s" s="14">
        <v>2903</v>
      </c>
      <c r="I309" t="s" s="10">
        <v>2904</v>
      </c>
      <c r="J309" s="8"/>
      <c r="K309" s="32"/>
      <c r="L309" s="123"/>
      <c r="M309" s="222"/>
      <c r="N309" s="223"/>
      <c r="O309" s="224"/>
      <c r="P309" s="226"/>
      <c r="Q309" s="226"/>
      <c r="R309" s="226"/>
      <c r="S309" s="227"/>
      <c r="T309" s="222"/>
      <c r="U309" s="226"/>
      <c r="V309" s="227"/>
    </row>
    <row r="310" ht="27.7" customHeight="1">
      <c r="A310" t="s" s="291">
        <v>2401</v>
      </c>
      <c r="B310" t="s" s="5">
        <v>97</v>
      </c>
      <c r="C310" t="s" s="23">
        <v>334</v>
      </c>
      <c r="D310" t="s" s="7">
        <v>319</v>
      </c>
      <c r="E310" s="8">
        <v>45800</v>
      </c>
      <c r="F310" t="s" s="5">
        <v>13</v>
      </c>
      <c r="G310" t="s" s="249">
        <v>2461</v>
      </c>
      <c r="H310" t="s" s="113">
        <v>2905</v>
      </c>
      <c r="I310" t="s" s="256">
        <v>2906</v>
      </c>
      <c r="J310" s="8"/>
      <c r="K310" s="32"/>
      <c r="L310" s="123"/>
      <c r="M310" s="222"/>
      <c r="N310" s="223"/>
      <c r="O310" s="224"/>
      <c r="P310" s="226"/>
      <c r="Q310" s="226"/>
      <c r="R310" s="226"/>
      <c r="S310" s="227"/>
      <c r="T310" s="222"/>
      <c r="U310" s="226"/>
      <c r="V310" s="227"/>
    </row>
    <row r="311" ht="27.7" customHeight="1">
      <c r="A311" t="s" s="21">
        <v>2401</v>
      </c>
      <c r="B311" t="s" s="5">
        <v>97</v>
      </c>
      <c r="C311" t="s" s="23">
        <v>1922</v>
      </c>
      <c r="D311" t="s" s="7">
        <v>246</v>
      </c>
      <c r="E311" s="8">
        <v>45785</v>
      </c>
      <c r="F311" t="s" s="5">
        <v>13</v>
      </c>
      <c r="G311" t="s" s="249">
        <v>2461</v>
      </c>
      <c r="H311" t="s" s="113">
        <v>2907</v>
      </c>
      <c r="I311" t="s" s="256">
        <v>2908</v>
      </c>
      <c r="J311" s="8"/>
      <c r="K311" s="32"/>
      <c r="L311" s="123"/>
      <c r="M311" s="222"/>
      <c r="N311" s="223"/>
      <c r="O311" s="224"/>
      <c r="P311" s="226"/>
      <c r="Q311" s="226"/>
      <c r="R311" s="226"/>
      <c r="S311" s="227"/>
      <c r="T311" s="222"/>
      <c r="U311" s="226"/>
      <c r="V311" s="227"/>
    </row>
    <row r="312" ht="27.7" customHeight="1">
      <c r="A312" t="s" s="21">
        <v>2401</v>
      </c>
      <c r="B312" t="s" s="5">
        <v>97</v>
      </c>
      <c r="C312" t="s" s="23">
        <v>1811</v>
      </c>
      <c r="D312" t="s" s="7">
        <v>468</v>
      </c>
      <c r="E312" s="8">
        <v>45800</v>
      </c>
      <c r="F312" t="s" s="5">
        <v>13</v>
      </c>
      <c r="G312" t="s" s="249">
        <v>2461</v>
      </c>
      <c r="H312" t="s" s="113">
        <v>2909</v>
      </c>
      <c r="I312" t="s" s="256">
        <v>2910</v>
      </c>
      <c r="J312" s="8"/>
      <c r="K312" s="32"/>
      <c r="L312" s="123"/>
      <c r="M312" s="222"/>
      <c r="N312" s="223"/>
      <c r="O312" s="224"/>
      <c r="P312" s="226"/>
      <c r="Q312" s="226"/>
      <c r="R312" s="226"/>
      <c r="S312" s="227"/>
      <c r="T312" s="222"/>
      <c r="U312" s="226"/>
      <c r="V312" s="227"/>
    </row>
    <row r="313" ht="27.7" customHeight="1">
      <c r="A313" t="s" s="21">
        <v>2401</v>
      </c>
      <c r="B313" t="s" s="5">
        <v>97</v>
      </c>
      <c r="C313" t="s" s="23">
        <v>1429</v>
      </c>
      <c r="D313" t="s" s="7">
        <v>884</v>
      </c>
      <c r="E313" s="8">
        <v>45831</v>
      </c>
      <c r="F313" t="s" s="5">
        <v>13</v>
      </c>
      <c r="G313" t="s" s="249">
        <v>2467</v>
      </c>
      <c r="H313" t="s" s="113">
        <v>2911</v>
      </c>
      <c r="I313" t="s" s="113">
        <v>2912</v>
      </c>
      <c r="J313" s="8"/>
      <c r="K313" s="32"/>
      <c r="L313" s="123"/>
      <c r="M313" s="222"/>
      <c r="N313" s="223"/>
      <c r="O313" s="224"/>
      <c r="P313" s="226"/>
      <c r="Q313" s="226"/>
      <c r="R313" s="226"/>
      <c r="S313" s="227"/>
      <c r="T313" s="222"/>
      <c r="U313" s="226"/>
      <c r="V313" s="227"/>
    </row>
    <row r="314" ht="27.7" customHeight="1">
      <c r="A314" t="s" s="17">
        <v>2470</v>
      </c>
      <c r="B314" t="s" s="5">
        <v>97</v>
      </c>
      <c r="C314" t="s" s="124">
        <v>1016</v>
      </c>
      <c r="D314" t="s" s="7">
        <v>706</v>
      </c>
      <c r="E314" s="8">
        <v>45832</v>
      </c>
      <c r="F314" t="s" s="268">
        <v>13</v>
      </c>
      <c r="G314" t="s" s="269">
        <v>2461</v>
      </c>
      <c r="H314" t="s" s="14">
        <v>2913</v>
      </c>
      <c r="I314" t="s" s="14">
        <v>2914</v>
      </c>
      <c r="J314" s="8"/>
      <c r="K314" s="32"/>
      <c r="L314" s="123"/>
      <c r="M314" s="222"/>
      <c r="N314" s="223"/>
      <c r="O314" s="224"/>
      <c r="P314" s="226"/>
      <c r="Q314" s="226"/>
      <c r="R314" s="226"/>
      <c r="S314" s="227"/>
      <c r="T314" s="222"/>
      <c r="U314" s="226"/>
      <c r="V314" s="227"/>
    </row>
    <row r="315" ht="27.7" customHeight="1">
      <c r="A315" t="s" s="21">
        <v>2401</v>
      </c>
      <c r="B315" t="s" s="5">
        <v>97</v>
      </c>
      <c r="C315" t="s" s="23">
        <v>1016</v>
      </c>
      <c r="D315" t="s" s="7">
        <v>706</v>
      </c>
      <c r="E315" s="8">
        <v>45832</v>
      </c>
      <c r="F315" t="s" s="5">
        <v>13</v>
      </c>
      <c r="G315" t="s" s="249">
        <v>2461</v>
      </c>
      <c r="H315" t="s" s="113">
        <v>2915</v>
      </c>
      <c r="I315" t="s" s="113">
        <v>2916</v>
      </c>
      <c r="J315" s="8"/>
      <c r="K315" s="32"/>
      <c r="L315" s="123"/>
      <c r="M315" s="222"/>
      <c r="N315" s="223"/>
      <c r="O315" s="224"/>
      <c r="P315" s="226"/>
      <c r="Q315" s="226"/>
      <c r="R315" s="226"/>
      <c r="S315" s="227"/>
      <c r="T315" s="222"/>
      <c r="U315" s="226"/>
      <c r="V315" s="227"/>
    </row>
    <row r="316" ht="27.7" customHeight="1">
      <c r="A316" t="s" s="21">
        <v>2401</v>
      </c>
      <c r="B316" t="s" s="5">
        <v>97</v>
      </c>
      <c r="C316" t="s" s="23">
        <v>1118</v>
      </c>
      <c r="D316" t="s" s="7">
        <v>90</v>
      </c>
      <c r="E316" s="8">
        <v>45877</v>
      </c>
      <c r="F316" t="s" s="5">
        <v>13</v>
      </c>
      <c r="G316" t="s" s="249">
        <v>2461</v>
      </c>
      <c r="H316" t="s" s="113">
        <v>2917</v>
      </c>
      <c r="I316" t="s" s="113">
        <v>2918</v>
      </c>
      <c r="J316" s="8"/>
      <c r="K316" s="32"/>
      <c r="L316" s="123"/>
      <c r="M316" s="222"/>
      <c r="N316" s="223"/>
      <c r="O316" s="224"/>
      <c r="P316" s="226"/>
      <c r="Q316" s="226"/>
      <c r="R316" s="226"/>
      <c r="S316" s="227"/>
      <c r="T316" s="222"/>
      <c r="U316" s="226"/>
      <c r="V316" s="227"/>
    </row>
    <row r="317" ht="27.7" customHeight="1">
      <c r="A317" t="s" s="47">
        <v>2751</v>
      </c>
      <c r="B317" t="s" s="5">
        <v>97</v>
      </c>
      <c r="C317" t="s" s="23">
        <v>313</v>
      </c>
      <c r="D317" t="s" s="7">
        <v>314</v>
      </c>
      <c r="E317" s="8">
        <v>45856</v>
      </c>
      <c r="F317" t="s" s="5">
        <v>13</v>
      </c>
      <c r="G317" t="s" s="249">
        <v>2467</v>
      </c>
      <c r="H317" t="s" s="113">
        <v>2919</v>
      </c>
      <c r="I317" s="14"/>
      <c r="J317" s="8"/>
      <c r="K317" s="32"/>
      <c r="L317" s="123"/>
      <c r="M317" s="222"/>
      <c r="N317" s="223"/>
      <c r="O317" s="224"/>
      <c r="P317" s="226"/>
      <c r="Q317" s="226"/>
      <c r="R317" s="226"/>
      <c r="S317" s="227"/>
      <c r="T317" s="222"/>
      <c r="U317" s="226"/>
      <c r="V317" s="227"/>
    </row>
    <row r="318" ht="27.7" customHeight="1">
      <c r="A318" s="32"/>
      <c r="B318" t="s" s="5">
        <v>97</v>
      </c>
      <c r="C318" t="s" s="6">
        <v>89</v>
      </c>
      <c r="D318" t="s" s="7">
        <v>90</v>
      </c>
      <c r="E318" s="8">
        <v>45891</v>
      </c>
      <c r="F318" s="220"/>
      <c r="G318" s="221"/>
      <c r="H318" s="14"/>
      <c r="I318" s="14"/>
      <c r="J318" s="8"/>
      <c r="K318" s="32"/>
      <c r="L318" s="123"/>
      <c r="M318" s="222"/>
      <c r="N318" s="223"/>
      <c r="O318" s="224"/>
      <c r="P318" s="226"/>
      <c r="Q318" s="226"/>
      <c r="R318" s="226"/>
      <c r="S318" s="227"/>
      <c r="T318" s="222"/>
      <c r="U318" s="226"/>
      <c r="V318" s="227"/>
    </row>
    <row r="319" ht="27.7" customHeight="1">
      <c r="A319" t="s" s="47">
        <v>2751</v>
      </c>
      <c r="B319" t="s" s="5">
        <v>97</v>
      </c>
      <c r="C319" t="s" s="23">
        <v>1495</v>
      </c>
      <c r="D319" t="s" s="7">
        <v>15</v>
      </c>
      <c r="E319" s="8">
        <v>45898</v>
      </c>
      <c r="F319" s="220"/>
      <c r="G319" s="221"/>
      <c r="H319" s="14"/>
      <c r="I319" s="14"/>
      <c r="J319" s="8"/>
      <c r="K319" s="32"/>
      <c r="L319" s="123"/>
      <c r="M319" s="222"/>
      <c r="N319" s="223"/>
      <c r="O319" s="224"/>
      <c r="P319" s="226"/>
      <c r="Q319" s="226"/>
      <c r="R319" s="226"/>
      <c r="S319" s="227"/>
      <c r="T319" s="222"/>
      <c r="U319" s="226"/>
      <c r="V319" s="227"/>
    </row>
    <row r="320" ht="27.7" customHeight="1">
      <c r="A320" t="s" s="17">
        <v>2425</v>
      </c>
      <c r="B320" t="s" s="5">
        <v>97</v>
      </c>
      <c r="C320" t="s" s="124">
        <v>1975</v>
      </c>
      <c r="D320" t="s" s="7">
        <v>81</v>
      </c>
      <c r="E320" s="8">
        <v>45898</v>
      </c>
      <c r="F320" t="s" s="268">
        <v>13</v>
      </c>
      <c r="G320" t="s" s="269">
        <v>2467</v>
      </c>
      <c r="H320" t="s" s="14">
        <v>2920</v>
      </c>
      <c r="I320" s="14"/>
      <c r="J320" s="8"/>
      <c r="K320" s="32"/>
      <c r="L320" s="123"/>
      <c r="M320" s="222"/>
      <c r="N320" s="223"/>
      <c r="O320" s="224"/>
      <c r="P320" s="226"/>
      <c r="Q320" s="226"/>
      <c r="R320" s="226"/>
      <c r="S320" s="227"/>
      <c r="T320" s="222"/>
      <c r="U320" s="226"/>
      <c r="V320" s="227"/>
    </row>
    <row r="321" ht="27.7" customHeight="1">
      <c r="A321" t="s" s="21">
        <v>2401</v>
      </c>
      <c r="B321" t="s" s="5">
        <v>97</v>
      </c>
      <c r="C321" t="s" s="23">
        <v>1678</v>
      </c>
      <c r="D321" t="s" s="7">
        <v>1368</v>
      </c>
      <c r="E321" s="8">
        <v>45915</v>
      </c>
      <c r="F321" t="s" s="5">
        <v>13</v>
      </c>
      <c r="G321" t="s" s="249">
        <v>2467</v>
      </c>
      <c r="H321" t="s" s="113">
        <v>2921</v>
      </c>
      <c r="I321" t="s" s="113">
        <v>2922</v>
      </c>
      <c r="J321" s="8"/>
      <c r="K321" s="32"/>
      <c r="L321" s="123"/>
      <c r="M321" s="222"/>
      <c r="N321" s="223"/>
      <c r="O321" s="224"/>
      <c r="P321" s="226"/>
      <c r="Q321" s="226"/>
      <c r="R321" s="226"/>
      <c r="S321" s="227"/>
      <c r="T321" s="222"/>
      <c r="U321" s="226"/>
      <c r="V321" s="227"/>
    </row>
    <row r="322" ht="27.7" customHeight="1">
      <c r="A322" t="s" s="47">
        <v>2923</v>
      </c>
      <c r="B322" t="s" s="5">
        <v>97</v>
      </c>
      <c r="C322" t="s" s="23">
        <v>1305</v>
      </c>
      <c r="D322" t="s" s="7">
        <v>379</v>
      </c>
      <c r="E322" s="8">
        <v>45919</v>
      </c>
      <c r="F322" t="s" s="5">
        <v>13</v>
      </c>
      <c r="G322" t="s" s="249">
        <v>2461</v>
      </c>
      <c r="H322" s="14"/>
      <c r="I322" s="14"/>
      <c r="J322" s="8"/>
      <c r="K322" s="32"/>
      <c r="L322" s="123"/>
      <c r="M322" s="222"/>
      <c r="N322" s="223"/>
      <c r="O322" s="224"/>
      <c r="P322" s="226"/>
      <c r="Q322" s="226"/>
      <c r="R322" s="226"/>
      <c r="S322" s="227"/>
      <c r="T322" s="222"/>
      <c r="U322" s="226"/>
      <c r="V322" s="227"/>
    </row>
    <row r="323" ht="27.7" customHeight="1">
      <c r="A323" t="s" s="47">
        <v>2751</v>
      </c>
      <c r="B323" t="s" s="5">
        <v>97</v>
      </c>
      <c r="C323" t="s" s="6">
        <v>1922</v>
      </c>
      <c r="D323" t="s" s="7">
        <v>246</v>
      </c>
      <c r="E323" s="8">
        <v>45944</v>
      </c>
      <c r="F323" t="s" s="5">
        <v>13</v>
      </c>
      <c r="G323" t="s" s="249">
        <v>2467</v>
      </c>
      <c r="H323" t="s" s="113">
        <v>2924</v>
      </c>
      <c r="I323" s="256"/>
      <c r="J323" s="8"/>
      <c r="K323" s="32"/>
      <c r="L323" s="123"/>
      <c r="M323" s="222"/>
      <c r="N323" s="223"/>
      <c r="O323" s="224"/>
      <c r="P323" s="226"/>
      <c r="Q323" s="226"/>
      <c r="R323" s="226"/>
      <c r="S323" s="227"/>
      <c r="T323" s="222"/>
      <c r="U323" s="226"/>
      <c r="V323" s="227"/>
    </row>
    <row r="324" ht="27.7" customHeight="1">
      <c r="A324" s="357"/>
      <c r="B324" t="s" s="5">
        <v>97</v>
      </c>
      <c r="C324" t="s" s="6">
        <v>405</v>
      </c>
      <c r="D324" t="s" s="7">
        <v>151</v>
      </c>
      <c r="E324" s="8">
        <v>45944</v>
      </c>
      <c r="F324" t="s" s="5">
        <v>13</v>
      </c>
      <c r="G324" t="s" s="249">
        <v>2461</v>
      </c>
      <c r="H324" s="113"/>
      <c r="I324" s="256"/>
      <c r="J324" s="8"/>
      <c r="K324" s="32"/>
      <c r="L324" s="123"/>
      <c r="M324" s="222"/>
      <c r="N324" s="223"/>
      <c r="O324" s="224"/>
      <c r="P324" s="226"/>
      <c r="Q324" s="226"/>
      <c r="R324" s="226"/>
      <c r="S324" s="227"/>
      <c r="T324" s="222"/>
      <c r="U324" s="226"/>
      <c r="V324" s="227"/>
    </row>
    <row r="325" ht="27.7" customHeight="1">
      <c r="A325" s="357"/>
      <c r="B325" t="s" s="5">
        <v>97</v>
      </c>
      <c r="C325" t="s" s="6">
        <v>1178</v>
      </c>
      <c r="D325" t="s" s="7">
        <v>117</v>
      </c>
      <c r="E325" s="8">
        <v>45947</v>
      </c>
      <c r="F325" t="s" s="5">
        <v>13</v>
      </c>
      <c r="G325" t="s" s="249">
        <v>2467</v>
      </c>
      <c r="H325" s="113"/>
      <c r="I325" s="256"/>
      <c r="J325" s="8"/>
      <c r="K325" s="32"/>
      <c r="L325" s="123"/>
      <c r="M325" s="222"/>
      <c r="N325" s="223"/>
      <c r="O325" s="224"/>
      <c r="P325" s="226"/>
      <c r="Q325" s="226"/>
      <c r="R325" s="226"/>
      <c r="S325" s="227"/>
      <c r="T325" s="222"/>
      <c r="U325" s="226"/>
      <c r="V325" s="227"/>
    </row>
    <row r="326" ht="27.7" customHeight="1">
      <c r="A326" s="32"/>
      <c r="B326" s="123"/>
      <c r="C326" s="6"/>
      <c r="D326" s="7"/>
      <c r="E326" s="8"/>
      <c r="F326" s="220"/>
      <c r="G326" s="221"/>
      <c r="H326" s="14"/>
      <c r="I326" s="14"/>
      <c r="J326" s="8"/>
      <c r="K326" s="32"/>
      <c r="L326" s="123"/>
      <c r="M326" s="222"/>
      <c r="N326" s="223"/>
      <c r="O326" s="224"/>
      <c r="P326" s="226"/>
      <c r="Q326" s="226"/>
      <c r="R326" s="226"/>
      <c r="S326" s="227"/>
      <c r="T326" s="222"/>
      <c r="U326" s="226"/>
      <c r="V326" s="227"/>
    </row>
    <row r="327" ht="27.7" customHeight="1">
      <c r="A327" t="s" s="21">
        <v>2401</v>
      </c>
      <c r="B327" t="s" s="5">
        <v>61</v>
      </c>
      <c r="C327" t="s" s="6">
        <v>1225</v>
      </c>
      <c r="D327" t="s" s="7">
        <v>451</v>
      </c>
      <c r="E327" s="8">
        <v>45762</v>
      </c>
      <c r="F327" t="s" s="5">
        <v>13</v>
      </c>
      <c r="G327" t="s" s="249">
        <v>2461</v>
      </c>
      <c r="H327" t="s" s="113">
        <v>2925</v>
      </c>
      <c r="I327" t="s" s="256">
        <v>2926</v>
      </c>
      <c r="J327" s="8"/>
      <c r="K327" s="358"/>
      <c r="L327" s="359"/>
      <c r="M327" s="222"/>
      <c r="N327" s="223"/>
      <c r="O327" s="224"/>
      <c r="P327" s="226"/>
      <c r="Q327" s="226"/>
      <c r="R327" s="226"/>
      <c r="S327" s="227"/>
      <c r="T327" s="222"/>
      <c r="U327" s="226"/>
      <c r="V327" s="227"/>
    </row>
    <row r="328" ht="27.7" customHeight="1">
      <c r="A328" t="s" s="21">
        <v>2401</v>
      </c>
      <c r="B328" t="s" s="5">
        <v>61</v>
      </c>
      <c r="C328" t="s" s="6">
        <v>1887</v>
      </c>
      <c r="D328" t="s" s="7">
        <v>683</v>
      </c>
      <c r="E328" s="8">
        <v>45845</v>
      </c>
      <c r="F328" t="s" s="5">
        <v>13</v>
      </c>
      <c r="G328" t="s" s="249">
        <v>2461</v>
      </c>
      <c r="H328" t="s" s="113">
        <v>2927</v>
      </c>
      <c r="I328" t="s" s="256">
        <v>2928</v>
      </c>
      <c r="J328" s="251"/>
      <c r="K328" t="s" s="131">
        <v>13</v>
      </c>
      <c r="L328" t="s" s="131">
        <v>13</v>
      </c>
      <c r="M328" s="360"/>
      <c r="N328" s="223"/>
      <c r="O328" s="224"/>
      <c r="P328" s="226"/>
      <c r="Q328" s="226"/>
      <c r="R328" s="226"/>
      <c r="S328" s="227"/>
      <c r="T328" s="222"/>
      <c r="U328" s="226"/>
      <c r="V328" s="227"/>
    </row>
    <row r="329" ht="27.7" customHeight="1">
      <c r="A329" t="s" s="274">
        <v>2401</v>
      </c>
      <c r="B329" t="s" s="5">
        <v>61</v>
      </c>
      <c r="C329" t="s" s="6">
        <v>436</v>
      </c>
      <c r="D329" t="s" s="7">
        <v>15</v>
      </c>
      <c r="E329" s="8">
        <v>45845</v>
      </c>
      <c r="F329" t="s" s="5">
        <v>13</v>
      </c>
      <c r="G329" t="s" s="249">
        <v>2461</v>
      </c>
      <c r="H329" t="s" s="113">
        <v>2929</v>
      </c>
      <c r="I329" t="s" s="256">
        <v>2930</v>
      </c>
      <c r="J329" s="251"/>
      <c r="K329" t="s" s="131">
        <v>13</v>
      </c>
      <c r="L329" t="s" s="131">
        <v>13</v>
      </c>
      <c r="M329" s="360"/>
      <c r="N329" s="223"/>
      <c r="O329" s="224"/>
      <c r="P329" s="226"/>
      <c r="Q329" s="226"/>
      <c r="R329" s="226"/>
      <c r="S329" s="227"/>
      <c r="T329" s="222"/>
      <c r="U329" s="226"/>
      <c r="V329" s="227"/>
    </row>
    <row r="330" ht="27.7" customHeight="1">
      <c r="A330" t="s" s="361">
        <v>12</v>
      </c>
      <c r="B330" t="s" s="61">
        <v>61</v>
      </c>
      <c r="C330" t="s" s="23">
        <v>1768</v>
      </c>
      <c r="D330" t="s" s="7">
        <v>465</v>
      </c>
      <c r="E330" s="8">
        <v>45845</v>
      </c>
      <c r="F330" t="s" s="268">
        <v>13</v>
      </c>
      <c r="G330" t="s" s="269">
        <v>2461</v>
      </c>
      <c r="H330" t="s" s="47">
        <v>2931</v>
      </c>
      <c r="I330" t="s" s="47">
        <v>2932</v>
      </c>
      <c r="J330" s="8"/>
      <c r="K330" s="362"/>
      <c r="L330" s="272"/>
      <c r="M330" s="363"/>
      <c r="N330" t="s" s="346">
        <v>2710</v>
      </c>
      <c r="O330" s="364"/>
      <c r="P330" s="226"/>
      <c r="Q330" s="226"/>
      <c r="R330" s="226"/>
      <c r="S330" s="227"/>
      <c r="T330" s="222"/>
      <c r="U330" s="226"/>
      <c r="V330" s="227"/>
    </row>
    <row r="331" ht="27.7" customHeight="1">
      <c r="A331" t="s" s="21">
        <v>2401</v>
      </c>
      <c r="B331" t="s" s="230">
        <v>61</v>
      </c>
      <c r="C331" t="s" s="365">
        <v>1132</v>
      </c>
      <c r="D331" t="s" s="366">
        <v>683</v>
      </c>
      <c r="E331" s="367">
        <v>45878</v>
      </c>
      <c r="F331" t="s" s="174">
        <v>13</v>
      </c>
      <c r="G331" t="s" s="231">
        <v>2461</v>
      </c>
      <c r="H331" t="s" s="368">
        <v>2933</v>
      </c>
      <c r="I331" t="s" s="113">
        <v>2934</v>
      </c>
      <c r="J331" s="369"/>
      <c r="K331" s="370"/>
      <c r="L331" s="371"/>
      <c r="M331" s="310"/>
      <c r="N331" t="s" s="298">
        <v>2935</v>
      </c>
      <c r="O331" s="186"/>
      <c r="P331" s="300"/>
      <c r="Q331" s="300"/>
      <c r="R331" s="372"/>
      <c r="S331" s="301"/>
      <c r="T331" s="373"/>
      <c r="U331" s="300"/>
      <c r="V331" s="301"/>
    </row>
    <row r="332" ht="27.7" customHeight="1">
      <c r="A332" t="s" s="374">
        <v>2401</v>
      </c>
      <c r="B332" t="s" s="271">
        <v>97</v>
      </c>
      <c r="C332" t="s" s="23">
        <v>1999</v>
      </c>
      <c r="D332" t="s" s="7">
        <v>319</v>
      </c>
      <c r="E332" s="25">
        <v>46051</v>
      </c>
      <c r="F332" t="s" s="303">
        <v>13</v>
      </c>
      <c r="G332" t="s" s="239">
        <v>2461</v>
      </c>
      <c r="H332" t="s" s="375">
        <v>2936</v>
      </c>
      <c r="I332" t="s" s="113">
        <v>2937</v>
      </c>
      <c r="J332" s="376"/>
      <c r="K332" s="370"/>
      <c r="L332" s="158"/>
      <c r="M332" s="310"/>
      <c r="N332" s="139"/>
      <c r="O332" s="186"/>
      <c r="P332" s="144"/>
      <c r="Q332" s="144"/>
      <c r="R332" s="153"/>
      <c r="S332" s="136"/>
      <c r="T332" s="377"/>
      <c r="U332" s="144"/>
      <c r="V332" s="136"/>
    </row>
    <row r="333" ht="27.7" customHeight="1">
      <c r="A333" t="s" s="378">
        <v>2492</v>
      </c>
      <c r="B333" t="s" s="131">
        <v>61</v>
      </c>
      <c r="C333" t="s" s="379">
        <v>1511</v>
      </c>
      <c r="D333" t="s" s="176">
        <v>206</v>
      </c>
      <c r="E333" s="294">
        <v>46052</v>
      </c>
      <c r="F333" t="s" s="131">
        <v>13</v>
      </c>
      <c r="G333" t="s" s="239">
        <v>2461</v>
      </c>
      <c r="H333" t="s" s="375">
        <v>2938</v>
      </c>
      <c r="I333" t="s" s="113">
        <v>2939</v>
      </c>
      <c r="J333" s="376"/>
      <c r="K333" s="370"/>
      <c r="L333" s="158"/>
      <c r="M333" s="310"/>
      <c r="N333" s="139"/>
      <c r="O333" s="186"/>
      <c r="P333" s="144"/>
      <c r="Q333" s="144"/>
      <c r="R333" s="153"/>
      <c r="S333" s="136"/>
      <c r="T333" s="377"/>
      <c r="U333" s="144"/>
      <c r="V333" s="136"/>
    </row>
    <row r="334" ht="27.7" customHeight="1">
      <c r="A334" s="163"/>
      <c r="B334" s="158"/>
      <c r="C334" s="143"/>
      <c r="D334" s="133"/>
      <c r="E334" s="134"/>
      <c r="F334" s="318"/>
      <c r="G334" s="319"/>
      <c r="H334" s="375"/>
      <c r="I334" s="113"/>
      <c r="J334" s="376"/>
      <c r="K334" s="370"/>
      <c r="L334" s="158"/>
      <c r="M334" s="310"/>
      <c r="N334" s="139"/>
      <c r="O334" s="186"/>
      <c r="P334" s="144"/>
      <c r="Q334" s="144"/>
      <c r="R334" s="153"/>
      <c r="S334" s="136"/>
      <c r="T334" s="377"/>
      <c r="U334" s="144"/>
      <c r="V334" s="136"/>
    </row>
    <row r="335" ht="27.7" customHeight="1">
      <c r="A335" s="163"/>
      <c r="B335" s="158"/>
      <c r="C335" s="143"/>
      <c r="D335" s="133"/>
      <c r="E335" s="134"/>
      <c r="F335" s="318"/>
      <c r="G335" s="319"/>
      <c r="H335" s="375"/>
      <c r="I335" s="113"/>
      <c r="J335" s="376"/>
      <c r="K335" s="370"/>
      <c r="L335" s="158"/>
      <c r="M335" s="310"/>
      <c r="N335" s="139"/>
      <c r="O335" s="186"/>
      <c r="P335" s="144"/>
      <c r="Q335" s="144"/>
      <c r="R335" s="153"/>
      <c r="S335" s="136"/>
      <c r="T335" s="377"/>
      <c r="U335" s="144"/>
      <c r="V335" s="136"/>
    </row>
    <row r="336" ht="27.7" customHeight="1">
      <c r="A336" s="163"/>
      <c r="B336" s="158"/>
      <c r="C336" s="143"/>
      <c r="D336" s="133"/>
      <c r="E336" s="134"/>
      <c r="F336" s="318"/>
      <c r="G336" s="319"/>
      <c r="H336" s="375"/>
      <c r="I336" s="113"/>
      <c r="J336" s="376"/>
      <c r="K336" s="370"/>
      <c r="L336" s="158"/>
      <c r="M336" s="310"/>
      <c r="N336" s="139"/>
      <c r="O336" s="186"/>
      <c r="P336" s="144"/>
      <c r="Q336" s="144"/>
      <c r="R336" s="153"/>
      <c r="S336" s="136"/>
      <c r="T336" s="377"/>
      <c r="U336" s="144"/>
      <c r="V336" s="136"/>
    </row>
    <row r="337" ht="27.7" customHeight="1">
      <c r="A337" t="s" s="130">
        <v>2425</v>
      </c>
      <c r="B337" t="s" s="131">
        <v>488</v>
      </c>
      <c r="C337" t="s" s="143">
        <v>2133</v>
      </c>
      <c r="D337" t="s" s="133">
        <v>640</v>
      </c>
      <c r="E337" s="134">
        <v>45405</v>
      </c>
      <c r="F337" t="s" s="189">
        <v>13</v>
      </c>
      <c r="G337" t="s" s="380">
        <v>2467</v>
      </c>
      <c r="H337" t="s" s="375">
        <v>2940</v>
      </c>
      <c r="I337" t="s" s="113">
        <v>24</v>
      </c>
      <c r="J337" s="376"/>
      <c r="K337" t="s" s="381">
        <v>13</v>
      </c>
      <c r="L337" t="s" s="165">
        <v>24</v>
      </c>
      <c r="M337" s="310">
        <v>0</v>
      </c>
      <c r="N337" s="139"/>
      <c r="O337" t="s" s="179">
        <v>2604</v>
      </c>
      <c r="P337" s="144"/>
      <c r="Q337" s="144"/>
      <c r="R337" s="153">
        <v>45435</v>
      </c>
      <c r="S337" s="136">
        <v>2830.8</v>
      </c>
      <c r="T337" s="382"/>
      <c r="U337" s="144"/>
      <c r="V337" s="136"/>
    </row>
    <row r="338" ht="27.7" customHeight="1">
      <c r="A338" t="s" s="378">
        <v>2401</v>
      </c>
      <c r="B338" t="s" s="131">
        <v>488</v>
      </c>
      <c r="C338" t="s" s="383">
        <v>1373</v>
      </c>
      <c r="D338" t="s" s="133">
        <v>117</v>
      </c>
      <c r="E338" s="134">
        <v>45405</v>
      </c>
      <c r="F338" t="s" s="131">
        <v>13</v>
      </c>
      <c r="G338" t="s" s="239">
        <v>2467</v>
      </c>
      <c r="H338" t="s" s="283">
        <v>2941</v>
      </c>
      <c r="I338" t="s" s="277">
        <v>2942</v>
      </c>
      <c r="J338" s="307"/>
      <c r="K338" t="s" s="384">
        <v>13</v>
      </c>
      <c r="L338" t="s" s="5">
        <v>13</v>
      </c>
      <c r="M338" s="335">
        <v>18.93</v>
      </c>
      <c r="N338" s="139"/>
      <c r="O338" s="385">
        <v>1</v>
      </c>
      <c r="P338" s="137">
        <v>45435</v>
      </c>
      <c r="Q338" s="144"/>
      <c r="R338" s="137">
        <v>45435</v>
      </c>
      <c r="S338" s="136">
        <v>4854.19</v>
      </c>
      <c r="T338" s="142">
        <v>4854.19</v>
      </c>
      <c r="U338" s="144"/>
      <c r="V338" s="136"/>
    </row>
    <row r="339" ht="27.7" customHeight="1">
      <c r="A339" t="s" s="378">
        <v>2401</v>
      </c>
      <c r="B339" t="s" s="131">
        <v>488</v>
      </c>
      <c r="C339" t="s" s="383">
        <v>1459</v>
      </c>
      <c r="D339" t="s" s="133">
        <v>1460</v>
      </c>
      <c r="E339" s="134">
        <v>45405</v>
      </c>
      <c r="F339" t="s" s="131">
        <v>13</v>
      </c>
      <c r="G339" t="s" s="239">
        <v>2461</v>
      </c>
      <c r="H339" t="s" s="283">
        <v>2943</v>
      </c>
      <c r="I339" t="s" s="284">
        <v>2944</v>
      </c>
      <c r="J339" s="134"/>
      <c r="K339" t="s" s="131">
        <v>13</v>
      </c>
      <c r="L339" t="s" s="174">
        <v>13</v>
      </c>
      <c r="M339" s="339">
        <v>21.68</v>
      </c>
      <c r="N339" t="s" s="139">
        <v>2543</v>
      </c>
      <c r="O339" s="385">
        <v>1</v>
      </c>
      <c r="P339" s="137">
        <v>45446</v>
      </c>
      <c r="Q339" s="144"/>
      <c r="R339" s="153">
        <v>45435</v>
      </c>
      <c r="S339" s="136">
        <v>5860.2</v>
      </c>
      <c r="T339" s="311"/>
      <c r="U339" s="144"/>
      <c r="V339" s="136"/>
    </row>
    <row r="340" ht="27.7" customHeight="1">
      <c r="A340" t="s" s="378">
        <v>2401</v>
      </c>
      <c r="B340" t="s" s="131">
        <v>488</v>
      </c>
      <c r="C340" t="s" s="386">
        <v>1811</v>
      </c>
      <c r="D340" t="s" s="133">
        <v>468</v>
      </c>
      <c r="E340" s="134">
        <v>45405</v>
      </c>
      <c r="F340" t="s" s="131">
        <v>13</v>
      </c>
      <c r="G340" t="s" s="282">
        <v>2467</v>
      </c>
      <c r="H340" t="s" s="283">
        <v>2945</v>
      </c>
      <c r="I340" t="s" s="284">
        <v>2946</v>
      </c>
      <c r="J340" s="134"/>
      <c r="K340" t="s" s="165">
        <v>13</v>
      </c>
      <c r="L340" t="s" s="131">
        <v>13</v>
      </c>
      <c r="M340" s="339">
        <v>18.93</v>
      </c>
      <c r="N340" s="139"/>
      <c r="O340" s="385">
        <v>1</v>
      </c>
      <c r="P340" s="137">
        <v>45435</v>
      </c>
      <c r="Q340" s="144"/>
      <c r="R340" s="137">
        <v>45435</v>
      </c>
      <c r="S340" s="136">
        <v>2856.15</v>
      </c>
      <c r="T340" s="142">
        <v>2856.15</v>
      </c>
      <c r="U340" s="144"/>
      <c r="V340" s="136"/>
    </row>
    <row r="341" ht="27.7" customHeight="1">
      <c r="A341" t="s" s="130">
        <v>2425</v>
      </c>
      <c r="B341" t="s" s="387">
        <v>488</v>
      </c>
      <c r="C341" t="s" s="388">
        <v>1811</v>
      </c>
      <c r="D341" t="s" s="389">
        <v>465</v>
      </c>
      <c r="E341" s="134">
        <v>45853</v>
      </c>
      <c r="F341" t="s" s="387">
        <v>13</v>
      </c>
      <c r="G341" t="s" s="249">
        <v>2461</v>
      </c>
      <c r="H341" t="s" s="390">
        <v>2947</v>
      </c>
      <c r="I341" t="s" s="306">
        <v>2948</v>
      </c>
      <c r="J341" s="307"/>
      <c r="K341" s="391"/>
      <c r="L341" s="314"/>
      <c r="M341" s="310"/>
      <c r="N341" t="s" s="139">
        <v>2949</v>
      </c>
      <c r="O341" s="186"/>
      <c r="P341" s="144"/>
      <c r="Q341" s="144"/>
      <c r="R341" s="144"/>
      <c r="S341" s="136"/>
      <c r="T341" s="311"/>
      <c r="U341" s="144"/>
      <c r="V341" s="136"/>
    </row>
    <row r="342" ht="27.7" customHeight="1">
      <c r="A342" t="s" s="378">
        <v>2401</v>
      </c>
      <c r="B342" t="s" s="131">
        <v>488</v>
      </c>
      <c r="C342" t="s" s="392">
        <v>464</v>
      </c>
      <c r="D342" t="s" s="133">
        <v>468</v>
      </c>
      <c r="E342" s="134">
        <v>46064</v>
      </c>
      <c r="F342" t="s" s="131">
        <v>13</v>
      </c>
      <c r="G342" t="s" s="231">
        <v>2461</v>
      </c>
      <c r="H342" t="s" s="375">
        <v>2950</v>
      </c>
      <c r="I342" t="s" s="113">
        <v>2951</v>
      </c>
      <c r="J342" s="376"/>
      <c r="K342" s="370"/>
      <c r="L342" s="158"/>
      <c r="M342" s="310"/>
      <c r="N342" s="139"/>
      <c r="O342" s="186"/>
      <c r="P342" s="144"/>
      <c r="Q342" s="144"/>
      <c r="R342" s="153"/>
      <c r="S342" s="136"/>
      <c r="T342" s="311"/>
      <c r="U342" s="144"/>
      <c r="V342" s="136"/>
    </row>
    <row r="343" ht="27.7" customHeight="1">
      <c r="A343" s="163"/>
      <c r="B343" s="158"/>
      <c r="C343" s="143"/>
      <c r="D343" s="133"/>
      <c r="E343" s="134"/>
      <c r="F343" s="318"/>
      <c r="G343" s="319"/>
      <c r="H343" s="152"/>
      <c r="I343" s="295"/>
      <c r="J343" s="307"/>
      <c r="K343" s="393"/>
      <c r="L343" s="314"/>
      <c r="M343" s="310"/>
      <c r="N343" s="139"/>
      <c r="O343" s="186"/>
      <c r="P343" s="144"/>
      <c r="Q343" s="144"/>
      <c r="R343" s="144"/>
      <c r="S343" s="136"/>
      <c r="T343" s="311"/>
      <c r="U343" s="144"/>
      <c r="V343" s="136"/>
    </row>
    <row r="344" ht="27.7" customHeight="1">
      <c r="A344" s="163"/>
      <c r="B344" s="158"/>
      <c r="C344" s="143"/>
      <c r="D344" s="133"/>
      <c r="E344" s="134"/>
      <c r="F344" s="318"/>
      <c r="G344" s="319"/>
      <c r="H344" s="152"/>
      <c r="I344" s="315"/>
      <c r="J344" s="307"/>
      <c r="K344" s="308"/>
      <c r="L344" s="314"/>
      <c r="M344" s="310"/>
      <c r="N344" s="139"/>
      <c r="O344" s="186"/>
      <c r="P344" s="144"/>
      <c r="Q344" s="144"/>
      <c r="R344" s="144"/>
      <c r="S344" s="136"/>
      <c r="T344" s="311"/>
      <c r="U344" s="144"/>
      <c r="V344" s="136"/>
    </row>
    <row r="345" ht="27.7" customHeight="1">
      <c r="A345" t="s" s="320">
        <v>2425</v>
      </c>
      <c r="B345" t="s" s="165">
        <v>68</v>
      </c>
      <c r="C345" t="s" s="166">
        <v>1851</v>
      </c>
      <c r="D345" t="s" s="167">
        <v>683</v>
      </c>
      <c r="E345" s="321">
        <v>45425</v>
      </c>
      <c r="F345" t="s" s="322">
        <v>13</v>
      </c>
      <c r="G345" t="s" s="323">
        <v>2467</v>
      </c>
      <c r="H345" t="s" s="324">
        <v>2952</v>
      </c>
      <c r="I345" t="s" s="306">
        <v>24</v>
      </c>
      <c r="J345" s="325"/>
      <c r="K345" t="s" s="316">
        <v>13</v>
      </c>
      <c r="L345" t="s" s="326">
        <v>24</v>
      </c>
      <c r="M345" s="327">
        <v>0</v>
      </c>
      <c r="N345" s="287"/>
      <c r="O345" t="s" s="328">
        <v>2604</v>
      </c>
      <c r="P345" s="248"/>
      <c r="Q345" s="248"/>
      <c r="R345" s="248"/>
      <c r="S345" s="329"/>
      <c r="T345" s="330"/>
      <c r="U345" s="248"/>
      <c r="V345" s="329"/>
    </row>
    <row r="346" ht="27.7" customHeight="1">
      <c r="A346" t="s" s="21">
        <v>2401</v>
      </c>
      <c r="B346" t="s" s="5">
        <v>68</v>
      </c>
      <c r="C346" t="s" s="6">
        <v>1403</v>
      </c>
      <c r="D346" t="s" s="7">
        <v>206</v>
      </c>
      <c r="E346" s="25">
        <v>45812</v>
      </c>
      <c r="F346" t="s" s="5">
        <v>2397</v>
      </c>
      <c r="G346" t="s" s="249">
        <v>2461</v>
      </c>
      <c r="H346" t="s" s="113">
        <v>2953</v>
      </c>
      <c r="I346" t="s" s="256">
        <v>2954</v>
      </c>
      <c r="J346" s="8"/>
      <c r="K346" s="32"/>
      <c r="L346" s="123"/>
      <c r="M346" s="222"/>
      <c r="N346" s="235"/>
      <c r="O346" t="s" s="229">
        <v>24</v>
      </c>
      <c r="P346" s="226"/>
      <c r="Q346" s="226"/>
      <c r="R346" s="226"/>
      <c r="S346" s="227"/>
      <c r="T346" s="222"/>
      <c r="U346" s="226"/>
      <c r="V346" s="227"/>
    </row>
    <row r="347" ht="27.7" customHeight="1">
      <c r="A347" t="s" s="394">
        <v>2425</v>
      </c>
      <c r="B347" t="s" s="61">
        <v>68</v>
      </c>
      <c r="C347" t="s" s="124">
        <v>421</v>
      </c>
      <c r="D347" t="s" s="7">
        <v>90</v>
      </c>
      <c r="E347" s="8">
        <v>45831</v>
      </c>
      <c r="F347" t="s" s="268">
        <v>13</v>
      </c>
      <c r="G347" t="s" s="269">
        <v>2461</v>
      </c>
      <c r="H347" t="s" s="14">
        <v>2955</v>
      </c>
      <c r="I347" t="s" s="10">
        <v>2956</v>
      </c>
      <c r="J347" s="8"/>
      <c r="K347" s="32"/>
      <c r="L347" s="123"/>
      <c r="M347" s="222"/>
      <c r="N347" s="235"/>
      <c r="O347" s="224"/>
      <c r="P347" s="226"/>
      <c r="Q347" s="226"/>
      <c r="R347" s="226"/>
      <c r="S347" s="227"/>
      <c r="T347" s="222"/>
      <c r="U347" s="226"/>
      <c r="V347" s="227"/>
    </row>
    <row r="348" ht="27.7" customHeight="1">
      <c r="A348" t="s" s="130">
        <v>2425</v>
      </c>
      <c r="B348" t="s" s="61">
        <v>68</v>
      </c>
      <c r="C348" t="s" s="124">
        <v>421</v>
      </c>
      <c r="D348" t="s" s="7">
        <v>90</v>
      </c>
      <c r="E348" s="8">
        <v>45831</v>
      </c>
      <c r="F348" t="s" s="268">
        <v>13</v>
      </c>
      <c r="G348" t="s" s="269">
        <v>2461</v>
      </c>
      <c r="H348" t="s" s="14">
        <v>2957</v>
      </c>
      <c r="I348" t="s" s="10">
        <v>2958</v>
      </c>
      <c r="J348" s="8"/>
      <c r="K348" s="32"/>
      <c r="L348" s="123"/>
      <c r="M348" s="222"/>
      <c r="N348" t="s" s="346">
        <v>2710</v>
      </c>
      <c r="O348" s="224"/>
      <c r="P348" s="226"/>
      <c r="Q348" s="226"/>
      <c r="R348" s="226"/>
      <c r="S348" s="227"/>
      <c r="T348" s="222"/>
      <c r="U348" s="226"/>
      <c r="V348" s="227"/>
    </row>
    <row r="349" ht="27.7" customHeight="1">
      <c r="A349" t="s" s="291">
        <v>2401</v>
      </c>
      <c r="B349" t="s" s="5">
        <v>68</v>
      </c>
      <c r="C349" t="s" s="6">
        <v>2476</v>
      </c>
      <c r="D349" t="s" s="7">
        <v>545</v>
      </c>
      <c r="E349" s="8">
        <v>45859</v>
      </c>
      <c r="F349" t="s" s="5">
        <v>13</v>
      </c>
      <c r="G349" t="s" s="249">
        <v>2467</v>
      </c>
      <c r="H349" t="s" s="113">
        <v>2959</v>
      </c>
      <c r="I349" t="s" s="256">
        <v>2960</v>
      </c>
      <c r="J349" s="8"/>
      <c r="K349" s="32"/>
      <c r="L349" s="123"/>
      <c r="M349" s="222"/>
      <c r="N349" s="235"/>
      <c r="O349" t="s" s="229">
        <v>24</v>
      </c>
      <c r="P349" s="226"/>
      <c r="Q349" s="226"/>
      <c r="R349" s="226"/>
      <c r="S349" s="227"/>
      <c r="T349" s="222"/>
      <c r="U349" s="226"/>
      <c r="V349" s="227"/>
    </row>
    <row r="350" ht="27.7" customHeight="1">
      <c r="A350" t="s" s="21">
        <v>2401</v>
      </c>
      <c r="B350" t="s" s="5">
        <v>68</v>
      </c>
      <c r="C350" t="s" s="6">
        <v>353</v>
      </c>
      <c r="D350" t="s" s="7">
        <v>319</v>
      </c>
      <c r="E350" s="8">
        <v>45866</v>
      </c>
      <c r="F350" t="s" s="5">
        <v>13</v>
      </c>
      <c r="G350" t="s" s="249">
        <v>2461</v>
      </c>
      <c r="H350" t="s" s="113">
        <v>2961</v>
      </c>
      <c r="I350" t="s" s="256">
        <v>2962</v>
      </c>
      <c r="J350" s="8"/>
      <c r="K350" s="32"/>
      <c r="L350" s="123"/>
      <c r="M350" s="222"/>
      <c r="N350" t="s" s="235">
        <v>2963</v>
      </c>
      <c r="O350" s="224"/>
      <c r="P350" s="226"/>
      <c r="Q350" s="226"/>
      <c r="R350" s="226"/>
      <c r="S350" s="227"/>
      <c r="T350" s="222"/>
      <c r="U350" s="226"/>
      <c r="V350" s="227"/>
    </row>
    <row r="351" ht="27.7" customHeight="1">
      <c r="A351" t="s" s="21">
        <v>2492</v>
      </c>
      <c r="B351" t="s" s="5">
        <v>68</v>
      </c>
      <c r="C351" t="s" s="6">
        <v>205</v>
      </c>
      <c r="D351" t="s" s="7">
        <v>206</v>
      </c>
      <c r="E351" s="8">
        <v>46062</v>
      </c>
      <c r="F351" t="s" s="5">
        <v>13</v>
      </c>
      <c r="G351" t="s" s="249">
        <v>2461</v>
      </c>
      <c r="H351" t="s" s="113">
        <v>2964</v>
      </c>
      <c r="I351" t="s" s="10">
        <v>2965</v>
      </c>
      <c r="J351" s="8"/>
      <c r="K351" s="32"/>
      <c r="L351" s="123"/>
      <c r="M351" s="222"/>
      <c r="N351" s="235"/>
      <c r="O351" t="s" s="229">
        <v>24</v>
      </c>
      <c r="P351" s="226"/>
      <c r="Q351" s="226"/>
      <c r="R351" s="226"/>
      <c r="S351" s="227"/>
      <c r="T351" s="222"/>
      <c r="U351" s="226"/>
      <c r="V351" s="227"/>
    </row>
    <row r="352" ht="27.7" customHeight="1">
      <c r="A352" s="32"/>
      <c r="B352" s="123"/>
      <c r="C352" s="6"/>
      <c r="D352" s="7"/>
      <c r="E352" s="8"/>
      <c r="F352" s="123"/>
      <c r="G352" s="250"/>
      <c r="H352" s="14"/>
      <c r="I352" s="10"/>
      <c r="J352" s="8"/>
      <c r="K352" s="32"/>
      <c r="L352" s="123"/>
      <c r="M352" s="222"/>
      <c r="N352" s="223"/>
      <c r="O352" t="s" s="229">
        <v>24</v>
      </c>
      <c r="P352" s="226"/>
      <c r="Q352" s="226"/>
      <c r="R352" s="226"/>
      <c r="S352" s="227"/>
      <c r="T352" s="222"/>
      <c r="U352" s="226"/>
      <c r="V352" s="227"/>
    </row>
    <row r="353" ht="27.7" customHeight="1">
      <c r="A353" s="32"/>
      <c r="B353" s="123"/>
      <c r="C353" s="124"/>
      <c r="D353" s="7"/>
      <c r="E353" s="8"/>
      <c r="F353" s="123"/>
      <c r="G353" s="250"/>
      <c r="H353" s="14"/>
      <c r="I353" s="10"/>
      <c r="J353" s="8"/>
      <c r="K353" s="32"/>
      <c r="L353" s="123"/>
      <c r="M353" s="222"/>
      <c r="N353" s="223"/>
      <c r="O353" t="s" s="229">
        <v>24</v>
      </c>
      <c r="P353" s="226"/>
      <c r="Q353" s="226"/>
      <c r="R353" s="226"/>
      <c r="S353" s="227"/>
      <c r="T353" s="222"/>
      <c r="U353" s="226"/>
      <c r="V353" s="227"/>
    </row>
    <row r="354" ht="27.7" customHeight="1">
      <c r="A354" s="32"/>
      <c r="B354" s="123"/>
      <c r="C354" s="124"/>
      <c r="D354" s="7"/>
      <c r="E354" s="8"/>
      <c r="F354" s="123"/>
      <c r="G354" s="250"/>
      <c r="H354" s="14"/>
      <c r="I354" s="10"/>
      <c r="J354" s="8"/>
      <c r="K354" s="32"/>
      <c r="L354" s="123"/>
      <c r="M354" s="222"/>
      <c r="N354" s="223"/>
      <c r="O354" t="s" s="229">
        <v>24</v>
      </c>
      <c r="P354" s="226"/>
      <c r="Q354" s="226"/>
      <c r="R354" s="226"/>
      <c r="S354" s="227"/>
      <c r="T354" s="222"/>
      <c r="U354" s="226"/>
      <c r="V354" s="227"/>
    </row>
    <row r="355" ht="27.7" customHeight="1">
      <c r="A355" s="32"/>
      <c r="B355" s="123"/>
      <c r="C355" s="124"/>
      <c r="D355" s="7"/>
      <c r="E355" s="8"/>
      <c r="F355" s="123"/>
      <c r="G355" s="250"/>
      <c r="H355" s="14"/>
      <c r="I355" s="10"/>
      <c r="J355" s="8"/>
      <c r="K355" s="32"/>
      <c r="L355" s="123"/>
      <c r="M355" s="222"/>
      <c r="N355" s="223"/>
      <c r="O355" t="s" s="229">
        <v>24</v>
      </c>
      <c r="P355" s="226"/>
      <c r="Q355" s="226"/>
      <c r="R355" s="226"/>
      <c r="S355" s="227"/>
      <c r="T355" s="222"/>
      <c r="U355" s="226"/>
      <c r="V355" s="227"/>
    </row>
    <row r="356" ht="27.7" customHeight="1">
      <c r="A356" s="32"/>
      <c r="B356" s="123"/>
      <c r="C356" s="124"/>
      <c r="D356" s="7"/>
      <c r="E356" s="8"/>
      <c r="F356" s="123"/>
      <c r="G356" s="250"/>
      <c r="H356" s="14"/>
      <c r="I356" s="10"/>
      <c r="J356" s="8"/>
      <c r="K356" s="32"/>
      <c r="L356" s="123"/>
      <c r="M356" s="222"/>
      <c r="N356" s="223"/>
      <c r="O356" t="s" s="229">
        <v>24</v>
      </c>
      <c r="P356" s="226"/>
      <c r="Q356" s="226"/>
      <c r="R356" s="226"/>
      <c r="S356" s="227"/>
      <c r="T356" s="222"/>
      <c r="U356" s="226"/>
      <c r="V356" s="227"/>
    </row>
    <row r="357" ht="27.7" customHeight="1">
      <c r="A357" s="32"/>
      <c r="B357" s="123"/>
      <c r="C357" s="6"/>
      <c r="D357" s="7"/>
      <c r="E357" s="8"/>
      <c r="F357" s="123"/>
      <c r="G357" s="250"/>
      <c r="H357" s="14"/>
      <c r="I357" s="10"/>
      <c r="J357" s="8"/>
      <c r="K357" s="32"/>
      <c r="L357" s="123"/>
      <c r="M357" s="222"/>
      <c r="N357" s="223"/>
      <c r="O357" t="s" s="229">
        <v>24</v>
      </c>
      <c r="P357" s="226"/>
      <c r="Q357" s="226"/>
      <c r="R357" s="226"/>
      <c r="S357" s="227"/>
      <c r="T357" s="222"/>
      <c r="U357" s="226"/>
      <c r="V357" s="227"/>
    </row>
    <row r="358" ht="27.7" customHeight="1">
      <c r="A358" s="32"/>
      <c r="B358" s="123"/>
      <c r="C358" s="6"/>
      <c r="D358" s="7"/>
      <c r="E358" s="8"/>
      <c r="F358" s="123"/>
      <c r="G358" s="250"/>
      <c r="H358" s="14"/>
      <c r="I358" s="10"/>
      <c r="J358" s="8"/>
      <c r="K358" s="32"/>
      <c r="L358" s="123"/>
      <c r="M358" s="222"/>
      <c r="N358" s="223"/>
      <c r="O358" t="s" s="229">
        <v>24</v>
      </c>
      <c r="P358" s="226"/>
      <c r="Q358" s="226"/>
      <c r="R358" s="226"/>
      <c r="S358" s="227"/>
      <c r="T358" s="222"/>
      <c r="U358" s="226"/>
      <c r="V358" s="227"/>
    </row>
    <row r="359" ht="27.7" customHeight="1">
      <c r="A359" s="32"/>
      <c r="B359" s="123"/>
      <c r="C359" s="124"/>
      <c r="D359" s="7"/>
      <c r="E359" s="8"/>
      <c r="F359" s="123"/>
      <c r="G359" s="250"/>
      <c r="H359" s="14"/>
      <c r="I359" s="10"/>
      <c r="J359" s="8"/>
      <c r="K359" s="32"/>
      <c r="L359" s="123"/>
      <c r="M359" s="222"/>
      <c r="N359" s="223"/>
      <c r="O359" t="s" s="229">
        <v>24</v>
      </c>
      <c r="P359" s="226"/>
      <c r="Q359" s="226"/>
      <c r="R359" s="226"/>
      <c r="S359" s="227"/>
      <c r="T359" s="222"/>
      <c r="U359" s="226"/>
      <c r="V359" s="227"/>
    </row>
    <row r="360" ht="27.7" customHeight="1">
      <c r="A360" s="32"/>
      <c r="B360" s="123"/>
      <c r="C360" s="6"/>
      <c r="D360" s="7"/>
      <c r="E360" s="8"/>
      <c r="F360" s="123"/>
      <c r="G360" s="250"/>
      <c r="H360" s="14"/>
      <c r="I360" s="10"/>
      <c r="J360" s="8"/>
      <c r="K360" s="32"/>
      <c r="L360" s="123"/>
      <c r="M360" s="222"/>
      <c r="N360" s="223"/>
      <c r="O360" t="s" s="229">
        <v>24</v>
      </c>
      <c r="P360" s="226"/>
      <c r="Q360" s="226"/>
      <c r="R360" s="226"/>
      <c r="S360" s="227"/>
      <c r="T360" s="222"/>
      <c r="U360" s="226"/>
      <c r="V360" s="227"/>
    </row>
    <row r="361" ht="27.7" customHeight="1">
      <c r="A361" s="32"/>
      <c r="B361" s="123"/>
      <c r="C361" s="6"/>
      <c r="D361" s="7"/>
      <c r="E361" s="8"/>
      <c r="F361" s="123"/>
      <c r="G361" s="250"/>
      <c r="H361" s="14"/>
      <c r="I361" s="10"/>
      <c r="J361" s="8"/>
      <c r="K361" s="32"/>
      <c r="L361" s="123"/>
      <c r="M361" s="222"/>
      <c r="N361" s="223"/>
      <c r="O361" t="s" s="229">
        <v>24</v>
      </c>
      <c r="P361" s="226"/>
      <c r="Q361" s="226"/>
      <c r="R361" s="226"/>
      <c r="S361" s="227"/>
      <c r="T361" s="222"/>
      <c r="U361" s="226"/>
      <c r="V361" s="227"/>
    </row>
    <row r="362" ht="27.7" customHeight="1">
      <c r="A362" s="32"/>
      <c r="B362" s="123"/>
      <c r="C362" s="6"/>
      <c r="D362" s="7"/>
      <c r="E362" s="8"/>
      <c r="F362" s="123"/>
      <c r="G362" s="250"/>
      <c r="H362" s="14"/>
      <c r="I362" s="10"/>
      <c r="J362" s="8"/>
      <c r="K362" s="32"/>
      <c r="L362" s="123"/>
      <c r="M362" s="222"/>
      <c r="N362" s="223"/>
      <c r="O362" s="224"/>
      <c r="P362" s="226"/>
      <c r="Q362" s="226"/>
      <c r="R362" s="226"/>
      <c r="S362" s="227"/>
      <c r="T362" s="222"/>
      <c r="U362" s="226"/>
      <c r="V362" s="227"/>
    </row>
    <row r="363" ht="27.7" customHeight="1">
      <c r="A363" s="32"/>
      <c r="B363" s="123"/>
      <c r="C363" s="6"/>
      <c r="D363" s="7"/>
      <c r="E363" s="8"/>
      <c r="F363" s="123"/>
      <c r="G363" s="250"/>
      <c r="H363" s="14"/>
      <c r="I363" s="10"/>
      <c r="J363" s="8"/>
      <c r="K363" s="32"/>
      <c r="L363" s="123"/>
      <c r="M363" s="222"/>
      <c r="N363" s="223"/>
      <c r="O363" t="s" s="229">
        <v>24</v>
      </c>
      <c r="P363" s="226"/>
      <c r="Q363" s="226"/>
      <c r="R363" s="226"/>
      <c r="S363" s="227"/>
      <c r="T363" s="222"/>
      <c r="U363" s="226"/>
      <c r="V363" s="227"/>
    </row>
    <row r="364" ht="27.7" customHeight="1">
      <c r="A364" s="32"/>
      <c r="B364" s="123"/>
      <c r="C364" s="124"/>
      <c r="D364" s="7"/>
      <c r="E364" s="8"/>
      <c r="F364" s="123"/>
      <c r="G364" s="250"/>
      <c r="H364" s="14"/>
      <c r="I364" s="10"/>
      <c r="J364" s="8"/>
      <c r="K364" s="32"/>
      <c r="L364" s="123"/>
      <c r="M364" s="222"/>
      <c r="N364" s="223"/>
      <c r="O364" t="s" s="229">
        <v>24</v>
      </c>
      <c r="P364" s="226"/>
      <c r="Q364" s="226"/>
      <c r="R364" s="226"/>
      <c r="S364" s="227"/>
      <c r="T364" s="222"/>
      <c r="U364" s="226"/>
      <c r="V364" s="227"/>
    </row>
    <row r="365" ht="27.7" customHeight="1">
      <c r="A365" s="32"/>
      <c r="B365" s="123"/>
      <c r="C365" s="6"/>
      <c r="D365" s="7"/>
      <c r="E365" s="8"/>
      <c r="F365" s="123"/>
      <c r="G365" s="250"/>
      <c r="H365" s="14"/>
      <c r="I365" s="10"/>
      <c r="J365" s="8"/>
      <c r="K365" s="32"/>
      <c r="L365" s="123"/>
      <c r="M365" s="222"/>
      <c r="N365" s="223"/>
      <c r="O365" s="224"/>
      <c r="P365" s="226"/>
      <c r="Q365" s="226"/>
      <c r="R365" s="226"/>
      <c r="S365" s="227"/>
      <c r="T365" s="222"/>
      <c r="U365" s="226"/>
      <c r="V365" s="227"/>
    </row>
    <row r="366" ht="27.7" customHeight="1">
      <c r="A366" s="32"/>
      <c r="B366" s="123"/>
      <c r="C366" s="6"/>
      <c r="D366" s="7"/>
      <c r="E366" s="8"/>
      <c r="F366" s="123"/>
      <c r="G366" s="250"/>
      <c r="H366" s="14"/>
      <c r="I366" s="10"/>
      <c r="J366" s="8"/>
      <c r="K366" s="32"/>
      <c r="L366" s="123"/>
      <c r="M366" s="222"/>
      <c r="N366" s="223"/>
      <c r="O366" t="s" s="229">
        <v>24</v>
      </c>
      <c r="P366" s="226"/>
      <c r="Q366" s="226"/>
      <c r="R366" s="226"/>
      <c r="S366" s="227"/>
      <c r="T366" s="222"/>
      <c r="U366" s="226"/>
      <c r="V366" s="227"/>
    </row>
    <row r="367" ht="27.7" customHeight="1">
      <c r="A367" s="32"/>
      <c r="B367" s="123"/>
      <c r="C367" s="6"/>
      <c r="D367" s="7"/>
      <c r="E367" s="8"/>
      <c r="F367" s="123"/>
      <c r="G367" s="250"/>
      <c r="H367" s="14"/>
      <c r="I367" s="10"/>
      <c r="J367" s="8"/>
      <c r="K367" s="32"/>
      <c r="L367" s="123"/>
      <c r="M367" s="222"/>
      <c r="N367" s="223"/>
      <c r="O367" t="s" s="229">
        <v>24</v>
      </c>
      <c r="P367" s="226"/>
      <c r="Q367" s="226"/>
      <c r="R367" s="226"/>
      <c r="S367" s="227"/>
      <c r="T367" s="222"/>
      <c r="U367" s="226"/>
      <c r="V367" s="227"/>
    </row>
    <row r="368" ht="27.7" customHeight="1">
      <c r="A368" s="32"/>
      <c r="B368" s="123"/>
      <c r="C368" s="6"/>
      <c r="D368" s="7"/>
      <c r="E368" s="8"/>
      <c r="F368" s="123"/>
      <c r="G368" s="250"/>
      <c r="H368" s="14"/>
      <c r="I368" s="10"/>
      <c r="J368" s="8"/>
      <c r="K368" s="32"/>
      <c r="L368" s="123"/>
      <c r="M368" s="222"/>
      <c r="N368" s="223"/>
      <c r="O368" s="224"/>
      <c r="P368" s="226"/>
      <c r="Q368" s="226"/>
      <c r="R368" s="226"/>
      <c r="S368" s="227"/>
      <c r="T368" s="222"/>
      <c r="U368" s="226"/>
      <c r="V368" s="227"/>
    </row>
    <row r="369" ht="27.7" customHeight="1">
      <c r="A369" s="32"/>
      <c r="B369" s="123"/>
      <c r="C369" s="6"/>
      <c r="D369" s="7"/>
      <c r="E369" s="8"/>
      <c r="F369" s="123"/>
      <c r="G369" s="250"/>
      <c r="H369" s="14"/>
      <c r="I369" s="10"/>
      <c r="J369" s="8"/>
      <c r="K369" s="32"/>
      <c r="L369" s="123"/>
      <c r="M369" s="222"/>
      <c r="N369" s="223"/>
      <c r="O369" s="224"/>
      <c r="P369" s="226"/>
      <c r="Q369" s="226"/>
      <c r="R369" s="226"/>
      <c r="S369" s="227"/>
      <c r="T369" s="222"/>
      <c r="U369" s="226"/>
      <c r="V369" s="227"/>
    </row>
    <row r="370" ht="27.7" customHeight="1">
      <c r="A370" s="32"/>
      <c r="B370" s="123"/>
      <c r="C370" s="6"/>
      <c r="D370" s="7"/>
      <c r="E370" s="8"/>
      <c r="F370" s="123"/>
      <c r="G370" s="250"/>
      <c r="H370" s="14"/>
      <c r="I370" s="10"/>
      <c r="J370" s="8"/>
      <c r="K370" s="32"/>
      <c r="L370" s="123"/>
      <c r="M370" s="222"/>
      <c r="N370" s="223"/>
      <c r="O370" s="224"/>
      <c r="P370" s="226"/>
      <c r="Q370" s="226"/>
      <c r="R370" s="226"/>
      <c r="S370" s="227"/>
      <c r="T370" s="222"/>
      <c r="U370" s="226"/>
      <c r="V370" s="227"/>
    </row>
    <row r="371" ht="27.7" customHeight="1">
      <c r="A371" s="17"/>
      <c r="B371" s="5"/>
      <c r="C371" s="6"/>
      <c r="D371" s="7"/>
      <c r="E371" s="8"/>
      <c r="F371" s="5"/>
      <c r="G371" s="249"/>
      <c r="H371" s="14"/>
      <c r="I371" s="10"/>
      <c r="J371" s="8"/>
      <c r="K371" s="32"/>
      <c r="L371" s="123"/>
      <c r="M371" s="222"/>
      <c r="N371" s="223"/>
      <c r="O371" s="224"/>
      <c r="P371" s="226"/>
      <c r="Q371" s="226"/>
      <c r="R371" s="226"/>
      <c r="S371" s="227"/>
      <c r="T371" s="222"/>
      <c r="U371" s="226"/>
      <c r="V371" s="227"/>
    </row>
    <row r="372" ht="27.7" customHeight="1">
      <c r="A372" s="32"/>
      <c r="B372" s="123"/>
      <c r="C372" s="6"/>
      <c r="D372" s="7"/>
      <c r="E372" s="8"/>
      <c r="F372" s="123"/>
      <c r="G372" s="250"/>
      <c r="H372" s="14"/>
      <c r="I372" s="10"/>
      <c r="J372" s="8"/>
      <c r="K372" s="32"/>
      <c r="L372" s="123"/>
      <c r="M372" s="222"/>
      <c r="N372" s="223"/>
      <c r="O372" t="s" s="229">
        <v>24</v>
      </c>
      <c r="P372" s="226"/>
      <c r="Q372" s="226"/>
      <c r="R372" s="226"/>
      <c r="S372" s="227"/>
      <c r="T372" s="222"/>
      <c r="U372" s="226"/>
      <c r="V372" s="227"/>
    </row>
    <row r="373" ht="27.7" customHeight="1">
      <c r="A373" s="32"/>
      <c r="B373" s="123"/>
      <c r="C373" s="6"/>
      <c r="D373" s="7"/>
      <c r="E373" s="8"/>
      <c r="F373" s="123"/>
      <c r="G373" s="250"/>
      <c r="H373" s="14"/>
      <c r="I373" s="10"/>
      <c r="J373" s="8"/>
      <c r="K373" s="32"/>
      <c r="L373" s="123"/>
      <c r="M373" s="222"/>
      <c r="N373" s="223"/>
      <c r="O373" t="s" s="229">
        <v>24</v>
      </c>
      <c r="P373" s="226"/>
      <c r="Q373" s="226"/>
      <c r="R373" s="226"/>
      <c r="S373" s="227"/>
      <c r="T373" s="222"/>
      <c r="U373" s="226"/>
      <c r="V373" s="227"/>
    </row>
    <row r="374" ht="27.7" customHeight="1">
      <c r="A374" s="32"/>
      <c r="B374" s="123"/>
      <c r="C374" s="6"/>
      <c r="D374" s="7"/>
      <c r="E374" s="8"/>
      <c r="F374" s="123"/>
      <c r="G374" s="250"/>
      <c r="H374" s="14"/>
      <c r="I374" s="10"/>
      <c r="J374" s="8"/>
      <c r="K374" s="32"/>
      <c r="L374" s="123"/>
      <c r="M374" s="222"/>
      <c r="N374" s="223"/>
      <c r="O374" t="s" s="229">
        <v>24</v>
      </c>
      <c r="P374" s="226"/>
      <c r="Q374" s="226"/>
      <c r="R374" s="226"/>
      <c r="S374" s="227"/>
      <c r="T374" s="222"/>
      <c r="U374" s="226"/>
      <c r="V374" s="227"/>
    </row>
    <row r="375" ht="27.7" customHeight="1">
      <c r="A375" s="32"/>
      <c r="B375" s="123"/>
      <c r="C375" s="6"/>
      <c r="D375" s="7"/>
      <c r="E375" s="8"/>
      <c r="F375" s="123"/>
      <c r="G375" s="250"/>
      <c r="H375" s="14"/>
      <c r="I375" s="10"/>
      <c r="J375" s="8"/>
      <c r="K375" s="32"/>
      <c r="L375" s="123"/>
      <c r="M375" s="222"/>
      <c r="N375" s="223"/>
      <c r="O375" t="s" s="229">
        <v>24</v>
      </c>
      <c r="P375" s="226"/>
      <c r="Q375" s="226"/>
      <c r="R375" s="226"/>
      <c r="S375" s="227"/>
      <c r="T375" s="222"/>
      <c r="U375" s="226"/>
      <c r="V375" s="227"/>
    </row>
    <row r="376" ht="27.7" customHeight="1">
      <c r="A376" s="32"/>
      <c r="B376" s="123"/>
      <c r="C376" s="6"/>
      <c r="D376" s="7"/>
      <c r="E376" s="8"/>
      <c r="F376" s="123"/>
      <c r="G376" s="250"/>
      <c r="H376" s="14"/>
      <c r="I376" s="10"/>
      <c r="J376" s="8"/>
      <c r="K376" s="32"/>
      <c r="L376" s="123"/>
      <c r="M376" s="222"/>
      <c r="N376" s="223"/>
      <c r="O376" s="224"/>
      <c r="P376" s="226"/>
      <c r="Q376" s="226"/>
      <c r="R376" s="226"/>
      <c r="S376" s="227"/>
      <c r="T376" s="222"/>
      <c r="U376" s="226"/>
      <c r="V376" s="227"/>
    </row>
    <row r="377" ht="27.7" customHeight="1">
      <c r="A377" s="32"/>
      <c r="B377" s="123"/>
      <c r="C377" s="6"/>
      <c r="D377" s="7"/>
      <c r="E377" s="8"/>
      <c r="F377" s="123"/>
      <c r="G377" s="250"/>
      <c r="H377" s="14"/>
      <c r="I377" s="10"/>
      <c r="J377" s="8"/>
      <c r="K377" s="32"/>
      <c r="L377" s="123"/>
      <c r="M377" s="222"/>
      <c r="N377" s="223"/>
      <c r="O377" s="224"/>
      <c r="P377" s="226"/>
      <c r="Q377" s="226"/>
      <c r="R377" s="226"/>
      <c r="S377" s="227"/>
      <c r="T377" s="222"/>
      <c r="U377" s="226"/>
      <c r="V377" s="227"/>
    </row>
    <row r="378" ht="27.7" customHeight="1">
      <c r="A378" s="32"/>
      <c r="B378" s="123"/>
      <c r="C378" s="6"/>
      <c r="D378" s="7"/>
      <c r="E378" s="8"/>
      <c r="F378" s="123"/>
      <c r="G378" s="250"/>
      <c r="H378" s="14"/>
      <c r="I378" s="10"/>
      <c r="J378" s="8"/>
      <c r="K378" s="32"/>
      <c r="L378" s="123"/>
      <c r="M378" s="222"/>
      <c r="N378" s="223"/>
      <c r="O378" s="224"/>
      <c r="P378" s="226"/>
      <c r="Q378" s="226"/>
      <c r="R378" s="226"/>
      <c r="S378" s="227"/>
      <c r="T378" s="222"/>
      <c r="U378" s="226"/>
      <c r="V378" s="227"/>
    </row>
    <row r="379" ht="27.7" customHeight="1">
      <c r="A379" s="32"/>
      <c r="B379" s="123"/>
      <c r="C379" s="6"/>
      <c r="D379" s="7"/>
      <c r="E379" s="8"/>
      <c r="F379" s="123"/>
      <c r="G379" s="250"/>
      <c r="H379" s="14"/>
      <c r="I379" s="10"/>
      <c r="J379" s="8"/>
      <c r="K379" s="32"/>
      <c r="L379" s="123"/>
      <c r="M379" s="222"/>
      <c r="N379" s="223"/>
      <c r="O379" s="224"/>
      <c r="P379" s="226"/>
      <c r="Q379" s="226"/>
      <c r="R379" s="226"/>
      <c r="S379" s="227"/>
      <c r="T379" s="222"/>
      <c r="U379" s="226"/>
      <c r="V379" s="227"/>
    </row>
    <row r="380" ht="27.7" customHeight="1">
      <c r="A380" s="32"/>
      <c r="B380" s="123"/>
      <c r="C380" s="6"/>
      <c r="D380" s="7"/>
      <c r="E380" s="8"/>
      <c r="F380" s="123"/>
      <c r="G380" s="250"/>
      <c r="H380" s="14"/>
      <c r="I380" s="10"/>
      <c r="J380" s="8"/>
      <c r="K380" s="32"/>
      <c r="L380" s="123"/>
      <c r="M380" s="222"/>
      <c r="N380" s="223"/>
      <c r="O380" s="224"/>
      <c r="P380" s="226"/>
      <c r="Q380" s="226"/>
      <c r="R380" s="226"/>
      <c r="S380" s="227"/>
      <c r="T380" s="222"/>
      <c r="U380" s="226"/>
      <c r="V380" s="227"/>
    </row>
    <row r="381" ht="27.7" customHeight="1">
      <c r="A381" s="32"/>
      <c r="B381" s="123"/>
      <c r="C381" s="6"/>
      <c r="D381" s="7"/>
      <c r="E381" s="8"/>
      <c r="F381" s="123"/>
      <c r="G381" s="250"/>
      <c r="H381" s="14"/>
      <c r="I381" s="10"/>
      <c r="J381" s="8"/>
      <c r="K381" s="32"/>
      <c r="L381" s="123"/>
      <c r="M381" s="222"/>
      <c r="N381" s="223"/>
      <c r="O381" s="224"/>
      <c r="P381" s="226"/>
      <c r="Q381" s="226"/>
      <c r="R381" s="226"/>
      <c r="S381" s="227"/>
      <c r="T381" s="222"/>
      <c r="U381" s="226"/>
      <c r="V381" s="227"/>
    </row>
    <row r="382" ht="27.7" customHeight="1">
      <c r="A382" s="32"/>
      <c r="B382" s="123"/>
      <c r="C382" s="6"/>
      <c r="D382" s="7"/>
      <c r="E382" s="8"/>
      <c r="F382" s="123"/>
      <c r="G382" s="250"/>
      <c r="H382" s="14"/>
      <c r="I382" s="10"/>
      <c r="J382" s="8"/>
      <c r="K382" s="32"/>
      <c r="L382" s="123"/>
      <c r="M382" s="222"/>
      <c r="N382" s="223"/>
      <c r="O382" s="224"/>
      <c r="P382" s="226"/>
      <c r="Q382" s="226"/>
      <c r="R382" s="226"/>
      <c r="S382" s="227"/>
      <c r="T382" s="222"/>
      <c r="U382" s="226"/>
      <c r="V382" s="227"/>
    </row>
    <row r="383" ht="171" customHeight="1">
      <c r="A383" s="32"/>
      <c r="B383" s="123"/>
      <c r="C383" t="s" s="124">
        <v>2966</v>
      </c>
      <c r="D383" t="s" s="344">
        <v>2967</v>
      </c>
      <c r="E383" t="s" s="10">
        <v>2968</v>
      </c>
      <c r="F383" s="123"/>
      <c r="G383" t="s" s="349">
        <v>2969</v>
      </c>
      <c r="H383" s="14"/>
      <c r="I383" s="10"/>
      <c r="J383" s="8"/>
      <c r="K383" s="32"/>
      <c r="L383" s="123"/>
      <c r="M383" s="222"/>
      <c r="N383" s="223"/>
      <c r="O383" s="351"/>
      <c r="P383" s="226"/>
      <c r="Q383" s="226"/>
      <c r="R383" s="226"/>
      <c r="S383" s="227"/>
      <c r="T383" s="222"/>
      <c r="U383" s="226"/>
      <c r="V383" s="227"/>
    </row>
    <row r="384" ht="171" customHeight="1">
      <c r="A384" s="32"/>
      <c r="B384" s="123"/>
      <c r="C384" t="s" s="124">
        <v>2970</v>
      </c>
      <c r="D384" t="s" s="344">
        <v>2971</v>
      </c>
      <c r="E384" t="s" s="10">
        <v>2972</v>
      </c>
      <c r="F384" s="123"/>
      <c r="G384" t="s" s="349">
        <v>2973</v>
      </c>
      <c r="H384" s="14"/>
      <c r="I384" s="10"/>
      <c r="J384" s="8"/>
      <c r="K384" s="32"/>
      <c r="L384" s="123"/>
      <c r="M384" s="222"/>
      <c r="N384" s="223"/>
      <c r="O384" s="351"/>
      <c r="P384" s="226"/>
      <c r="Q384" s="226"/>
      <c r="R384" s="226"/>
      <c r="S384" s="227"/>
      <c r="T384" s="222"/>
      <c r="U384" s="226"/>
      <c r="V384" s="227"/>
    </row>
    <row r="385" ht="27.7" customHeight="1">
      <c r="A385" s="32"/>
      <c r="B385" s="123"/>
      <c r="C385" s="6"/>
      <c r="D385" s="7"/>
      <c r="E385" s="8"/>
      <c r="F385" s="123"/>
      <c r="G385" s="250"/>
      <c r="H385" s="14"/>
      <c r="I385" s="10"/>
      <c r="J385" s="8"/>
      <c r="K385" s="32"/>
      <c r="L385" s="123"/>
      <c r="M385" s="222"/>
      <c r="N385" s="223"/>
      <c r="O385" t="s" s="229">
        <v>24</v>
      </c>
      <c r="P385" s="226"/>
      <c r="Q385" s="226"/>
      <c r="R385" s="226"/>
      <c r="S385" s="227"/>
      <c r="T385" s="222"/>
      <c r="U385" s="226"/>
      <c r="V385" s="227"/>
    </row>
    <row r="386" ht="27.7" customHeight="1">
      <c r="A386" s="32"/>
      <c r="B386" s="123"/>
      <c r="C386" t="s" s="6">
        <v>2974</v>
      </c>
      <c r="D386" t="s" s="7">
        <v>2975</v>
      </c>
      <c r="E386" t="s" s="256">
        <v>2976</v>
      </c>
      <c r="F386" s="123"/>
      <c r="G386" s="250"/>
      <c r="H386" s="14"/>
      <c r="I386" s="10"/>
      <c r="J386" s="8"/>
      <c r="K386" s="32"/>
      <c r="L386" s="123"/>
      <c r="M386" s="222"/>
      <c r="N386" s="223"/>
      <c r="O386" t="s" s="229">
        <v>24</v>
      </c>
      <c r="P386" s="226"/>
      <c r="Q386" s="226"/>
      <c r="R386" s="226"/>
      <c r="S386" s="227"/>
      <c r="T386" s="222"/>
      <c r="U386" s="226"/>
      <c r="V386" s="227"/>
    </row>
    <row r="387" ht="27.7" customHeight="1">
      <c r="A387" s="32"/>
      <c r="B387" s="123"/>
      <c r="C387" t="s" s="124">
        <v>2977</v>
      </c>
      <c r="D387" t="s" s="7">
        <v>2978</v>
      </c>
      <c r="E387" s="8">
        <v>45588</v>
      </c>
      <c r="F387" s="123"/>
      <c r="G387" s="250"/>
      <c r="H387" s="14"/>
      <c r="I387" s="10"/>
      <c r="J387" s="8"/>
      <c r="K387" s="32"/>
      <c r="L387" s="123"/>
      <c r="M387" s="222"/>
      <c r="N387" s="223"/>
      <c r="O387" t="s" s="229">
        <v>24</v>
      </c>
      <c r="P387" s="226"/>
      <c r="Q387" s="226"/>
      <c r="R387" s="226"/>
      <c r="S387" s="227"/>
      <c r="T387" s="222"/>
      <c r="U387" s="226"/>
      <c r="V387" s="227"/>
    </row>
    <row r="388" ht="27.7" customHeight="1">
      <c r="A388" s="32"/>
      <c r="B388" s="123"/>
      <c r="C388" t="s" s="124">
        <v>2979</v>
      </c>
      <c r="D388" t="s" s="7">
        <v>2980</v>
      </c>
      <c r="E388" s="8">
        <v>45588</v>
      </c>
      <c r="F388" s="123"/>
      <c r="G388" s="250"/>
      <c r="H388" s="14"/>
      <c r="I388" s="10"/>
      <c r="J388" s="8"/>
      <c r="K388" s="32"/>
      <c r="L388" s="123"/>
      <c r="M388" s="222"/>
      <c r="N388" s="223"/>
      <c r="O388" t="s" s="229">
        <v>24</v>
      </c>
      <c r="P388" s="226"/>
      <c r="Q388" s="226"/>
      <c r="R388" s="226"/>
      <c r="S388" s="227"/>
      <c r="T388" s="222"/>
      <c r="U388" s="226"/>
      <c r="V388" s="227"/>
    </row>
    <row r="389" ht="27.7" customHeight="1">
      <c r="A389" s="32"/>
      <c r="B389" s="123"/>
      <c r="C389" s="6"/>
      <c r="D389" s="7"/>
      <c r="E389" s="8"/>
      <c r="F389" s="123"/>
      <c r="G389" s="250"/>
      <c r="H389" s="14"/>
      <c r="I389" s="10"/>
      <c r="J389" s="8"/>
      <c r="K389" s="32"/>
      <c r="L389" s="123"/>
      <c r="M389" s="222"/>
      <c r="N389" s="223"/>
      <c r="O389" t="s" s="229">
        <v>24</v>
      </c>
      <c r="P389" s="226"/>
      <c r="Q389" s="226"/>
      <c r="R389" s="226"/>
      <c r="S389" s="227"/>
      <c r="T389" s="222"/>
      <c r="U389" s="226"/>
      <c r="V389" s="227"/>
    </row>
    <row r="390" ht="27.7" customHeight="1">
      <c r="A390" t="s" s="47">
        <v>2492</v>
      </c>
      <c r="B390" t="s" s="5">
        <v>21</v>
      </c>
      <c r="C390" t="s" s="118">
        <v>685</v>
      </c>
      <c r="D390" t="s" s="7">
        <v>689</v>
      </c>
      <c r="E390" s="8">
        <v>46065</v>
      </c>
      <c r="F390" s="123"/>
      <c r="G390" s="250"/>
      <c r="H390" s="14"/>
      <c r="I390" s="10"/>
      <c r="J390" s="8"/>
      <c r="K390" s="32"/>
      <c r="L390" s="123"/>
      <c r="M390" s="222"/>
      <c r="N390" s="223"/>
      <c r="O390" s="224"/>
      <c r="P390" s="226"/>
      <c r="Q390" s="226"/>
      <c r="R390" s="226"/>
      <c r="S390" s="227"/>
      <c r="T390" s="222"/>
      <c r="U390" s="226"/>
      <c r="V390" s="227"/>
    </row>
  </sheetData>
  <mergeCells count="1">
    <mergeCell ref="A1:V1"/>
  </mergeCells>
  <dataValidations count="14">
    <dataValidation type="list" allowBlank="1" showInputMessage="1" showErrorMessage="1" sqref="B2">
      <formula1>",Fornecedor,MADEFLONA,GABRIELENSE,MAD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A3:A123 A125:A126 A128:A139 A141:A370 A372:A390">
      <formula1>",-,CONFERIR,Revisar,EM REVISÃO,?,OK,OK (Pastinha),OK (Enviar),OK (Enviado),OK (Envelope),Contato Cliente,Solicitar Envio,Acompanhar,ENVIAR,PEPINO,LUCIANO,Gerar Autorização,Agendar Coleta,Aguardando Postagem,Aguardando Coleta (1),Aguardando Coleta (2)"</formula1>
    </dataValidation>
    <dataValidation type="list" allowBlank="1" showInputMessage="1" showErrorMessage="1" sqref="B3:B5 B7:B26 B29 B34:B35 B48:B49 B91:B92 B131:B134 B146:B147 B152:B154 B224:B227 B331 B333:B340 B343:B345">
      <formula1>",MADEFLONA,GABRIELENSE,MAD VITORIA,MADEPOL / PANDA,MADERAZI,BRASIL FLORA,IMPERIO WOODS,KL ART. DE MADEIRAS,SERRARIA BROCADO,MAD TAMARINO,CICHELERO,PORTERIT,TREVISO,NORTE SUL,WD NEUHAUS,D.S. DE OLIVEIRA,MARINHO / LF SANTOS,EPG / EMERSON,LH PORTAS,HM PORTAS"</formula1>
    </dataValidation>
    <dataValidation type="list" allowBlank="1" showInputMessage="1" showErrorMessage="1" sqref="F3:F5">
      <formula1>",MADEFLONA,GABRIELENSE,MAD VITORIA,MADEPOL / PANDA,MADERAZI,BRASIL FLORA,IMPERIO WOODS,KL ART. DE MADEIRAS,SERRARIA BROCADO,MAD TAMARINO,CICHELERO,PORTERIT,TREVISO,NORTE SUL,WD NEUHAUS,D.S. DE OLIVEIRA,MARINHO / LF SANTOS,EPG / EMERSON,LH PORTAS,HM PORTAS"</formula1>
    </dataValidation>
    <dataValidation type="list" allowBlank="1" showInputMessage="1" showErrorMessage="1" sqref="G3:G5">
      <formula1>",-,CONFERIR,Revisar,EM REVISÃO,?,OK,OK (Pastinha),OK (Enviar),OK (Enviado),OK (Envelope),Contato Cliente,Solicitar Envio,Acompanhar,ENVIAR,PEPINO,LUCIANO,Gerar Autorização,Agendar Coleta,Aguardando Postagem,Aguardando Coleta (1),Aguardando Coleta (2)"</formula1>
    </dataValidation>
    <dataValidation type="list" allowBlank="1" showInputMessage="1" showErrorMessage="1" sqref="K3:K5">
      <formula1>",-,CONFERIR,Revisar,EM REVISÃO,?,OK,OK (Pastinha),OK (Enviar),OK (Enviado),OK (Envelope),Contato Cliente,Solicitar Envio,Acompanhar,ENVIAR,PEPINO,LUCIANO,Gerar Autorização,Agendar Coleta,Aguardando Postagem,Aguardando Coleta (1),Aguardando Coleta (2)"</formula1>
    </dataValidation>
    <dataValidation type="list" allowBlank="1" showInputMessage="1" showErrorMessage="1" sqref="L3:L229 L231:L370 L372:L390">
      <formula1>",-,MADEFLONA,GABRIELENSE,MAD VITORIA,MADEPOL / PANDA,MADERAZI,BRASIL FLORA,IMPERIO WOODS,KL ART. DE MADEIRAS,SERRARIA BROCADO,MAD TAMARINO,CICHELERO,PORTERIT,TREVISO,NORTE SUL,WD NEUHAUS,D.S. DE OLIVEIRA,MARINHO / LF SANTOS,EPG / EMERSON,LH PORTAS"</formula1>
    </dataValidation>
    <dataValidation type="list" allowBlank="1" showInputMessage="1" showErrorMessage="1" sqref="B6 B43 B50:B61 B77:B79 B84:B85 B90 B93:B110 B135:B139 B144:B145 B148:B149 B151 B155:B188 B222:B223 B228 B232:B253 B326 B346 F346 B359:B360 B364">
      <formula1>",MADEFLONA,GABRIELENSE,MAD VITORIA,MADEPOL / PANDA,MADERAZI,BRASIL FLORA,IMPERIO WOODS,KL ART. DE MADEIRAS,SERRARIA BROCADO,MAD TAMARINO,CICHELERO,PORTERIT,TREVISO,NORTE SUL,WD NEUHAUS,D.S. DE OLIVEIRA,MARINHO / LF SANTOS,EPG / EMERSON,LH PORTAS,HM PORTAS"</formula1>
    </dataValidation>
    <dataValidation type="list" allowBlank="1" showInputMessage="1" showErrorMessage="1" sqref="F6:F345 F347:F370 F372:F390">
      <formula1>",MADEFLONA,GABRIELENSE,MAD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G6:G370 G372:G382 G385:G390">
      <formula1>",-,?,Autorização (Cliente) - PAC,Autorização (Cliente) - Sedex,Coleta (Cliente) - PAC,Coleta (Cliente) - Sedex,Coleta (Ogura) - PAC,Coleta (Ogura) - Sedex,Postagem (Cliente) - PAC,Postagem (Cliente) - Sedex,Postagem (Ogura) - PAC,Postagem (Ogura) - Sedex"</formula1>
    </dataValidation>
    <dataValidation type="list" allowBlank="1" showInputMessage="1" showErrorMessage="1" sqref="O6:O370 O372:O390">
      <formula1>",-,1,2,3,4,5,6,7,8,9,Sem Fatura"</formula1>
    </dataValidation>
    <dataValidation type="list" allowBlank="1" showInputMessage="1" showErrorMessage="1" sqref="B27:B28 B30:B33 B36:B42 B44:B47 B67:B72 B74 B76 B86:B88 B141:B143 B229:B231 B274:B312 B327 B352:B358 B361:B363 B365:B370 B372:B389">
      <formula1>",MADEFLONA,GABRIELENSE,MAD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B62:B66 B73 B75 B80:B83 B89 B111:B130 B140 B150 B189:B221 B254:B273 B313:B325 B328:B330 B332 B341:B342 B347:B351 B390">
      <formula1>",MADEFLONA,GABRIELENSE,MAD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A124 A127 A140">
      <formula1>",-,RECEBER,CONFERIR,REVISAR,?,SOLICITAR ENVIO,LUCIANO,PEPINO,ENVIAR,OK,OK (Pastinha),OK (Enviar),OK (Enviado),OK (Envelope),PAGANDO...,ATRASADO,Revisar,EM REVISÃO,Contato Cliente,Solicitar Envio,Acompanhar,REVISÃO,Envio Solicitado,New Item,BOLETAR"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53"/>
  <sheetViews>
    <sheetView workbookViewId="0" showGridLines="0" defaultGridColor="1"/>
  </sheetViews>
  <sheetFormatPr defaultColWidth="16.3333" defaultRowHeight="19.9" customHeight="1" outlineLevelRow="0" outlineLevelCol="0"/>
  <cols>
    <col min="1" max="2" width="18.3516" style="395" customWidth="1"/>
    <col min="3" max="3" width="20" style="395" customWidth="1"/>
    <col min="4" max="5" width="18.3516" style="395" customWidth="1"/>
    <col min="6" max="9" width="19.9844" style="395" customWidth="1"/>
    <col min="10" max="15" width="19.5234" style="467" customWidth="1"/>
    <col min="16" max="16384" width="16.3516" style="467" customWidth="1"/>
  </cols>
  <sheetData>
    <row r="1" ht="41.75" customHeight="1">
      <c r="A1" t="s" s="396">
        <v>2981</v>
      </c>
      <c r="B1" s="397"/>
      <c r="C1" s="397"/>
      <c r="D1" s="397"/>
      <c r="E1" s="398"/>
      <c r="F1" t="s" s="399">
        <v>2982</v>
      </c>
      <c r="G1" s="397"/>
      <c r="H1" s="397"/>
      <c r="I1" s="398"/>
    </row>
    <row r="2" ht="41.75" customHeight="1">
      <c r="A2" t="s" s="400">
        <v>2983</v>
      </c>
      <c r="B2" t="s" s="401">
        <v>2984</v>
      </c>
      <c r="C2" t="s" s="401">
        <v>2985</v>
      </c>
      <c r="D2" t="s" s="401">
        <v>2986</v>
      </c>
      <c r="E2" t="s" s="402">
        <v>2987</v>
      </c>
      <c r="F2" t="s" s="403">
        <v>2988</v>
      </c>
      <c r="G2" t="s" s="404">
        <v>2989</v>
      </c>
      <c r="H2" t="s" s="404">
        <v>2990</v>
      </c>
      <c r="I2" t="s" s="405">
        <v>2983</v>
      </c>
    </row>
    <row r="3" ht="34.8" customHeight="1">
      <c r="A3" t="s" s="406">
        <v>2991</v>
      </c>
      <c r="B3" t="s" s="407">
        <v>142</v>
      </c>
      <c r="C3" s="408">
        <v>11349.2</v>
      </c>
      <c r="D3" s="409">
        <f>C3+C6</f>
        <v>28419.6</v>
      </c>
      <c r="E3" s="410">
        <f>I3-D3</f>
        <v>1036.4</v>
      </c>
      <c r="F3" s="411">
        <v>45850</v>
      </c>
      <c r="G3" s="412">
        <v>1724</v>
      </c>
      <c r="H3" s="412">
        <f>G3+G4+G5</f>
        <v>14557</v>
      </c>
      <c r="I3" s="413">
        <f>H3+H6</f>
        <v>29456</v>
      </c>
    </row>
    <row r="4" ht="34.8" customHeight="1">
      <c r="A4" s="414"/>
      <c r="B4" s="415"/>
      <c r="C4" s="416"/>
      <c r="D4" s="416"/>
      <c r="E4" s="417"/>
      <c r="F4" s="418">
        <v>45863</v>
      </c>
      <c r="G4" s="419">
        <v>10833</v>
      </c>
      <c r="H4" s="416"/>
      <c r="I4" s="417"/>
    </row>
    <row r="5" ht="34.8" customHeight="1">
      <c r="A5" s="414"/>
      <c r="B5" s="420"/>
      <c r="C5" s="421"/>
      <c r="D5" s="416"/>
      <c r="E5" s="417"/>
      <c r="F5" s="422">
        <v>45868</v>
      </c>
      <c r="G5" s="423">
        <v>2000</v>
      </c>
      <c r="H5" s="421"/>
      <c r="I5" s="417"/>
    </row>
    <row r="6" ht="34.8" customHeight="1">
      <c r="A6" s="414"/>
      <c r="B6" t="s" s="424">
        <v>2992</v>
      </c>
      <c r="C6" s="425">
        <v>17070.4</v>
      </c>
      <c r="D6" s="416"/>
      <c r="E6" s="417"/>
      <c r="F6" s="426">
        <v>45888</v>
      </c>
      <c r="G6" s="427">
        <v>2066</v>
      </c>
      <c r="H6" s="427">
        <f>G6+G7+G8</f>
        <v>14899</v>
      </c>
      <c r="I6" s="417"/>
    </row>
    <row r="7" ht="34.8" customHeight="1">
      <c r="A7" s="414"/>
      <c r="B7" s="415"/>
      <c r="C7" s="416"/>
      <c r="D7" s="416"/>
      <c r="E7" s="417"/>
      <c r="F7" s="418">
        <v>45894</v>
      </c>
      <c r="G7" s="419">
        <v>10833</v>
      </c>
      <c r="H7" s="416"/>
      <c r="I7" s="417"/>
    </row>
    <row r="8" ht="34.8" customHeight="1">
      <c r="A8" s="428"/>
      <c r="B8" s="429"/>
      <c r="C8" s="430"/>
      <c r="D8" s="430"/>
      <c r="E8" s="431"/>
      <c r="F8" s="432">
        <v>45899</v>
      </c>
      <c r="G8" s="433">
        <v>2000</v>
      </c>
      <c r="H8" s="430"/>
      <c r="I8" s="431"/>
    </row>
    <row r="9" ht="34.8" customHeight="1">
      <c r="A9" t="s" s="434">
        <v>2993</v>
      </c>
      <c r="B9" t="s" s="435">
        <v>2994</v>
      </c>
      <c r="C9" s="436">
        <v>16844.4</v>
      </c>
      <c r="D9" s="437">
        <f>C9+C12</f>
        <v>33688.8</v>
      </c>
      <c r="E9" s="410">
        <f>I10-D9</f>
        <v>-12289.8</v>
      </c>
      <c r="F9" t="s" s="438">
        <v>2995</v>
      </c>
      <c r="G9" s="397"/>
      <c r="H9" t="s" s="439">
        <v>2996</v>
      </c>
      <c r="I9" s="440">
        <f>E9+E3</f>
        <v>-11253.4</v>
      </c>
    </row>
    <row r="10" ht="34.8" customHeight="1">
      <c r="A10" s="414"/>
      <c r="B10" s="441"/>
      <c r="C10" s="441"/>
      <c r="D10" s="416"/>
      <c r="E10" s="417"/>
      <c r="F10" s="442">
        <v>45901</v>
      </c>
      <c r="G10" s="443">
        <v>2500</v>
      </c>
      <c r="H10" s="419">
        <f>G10+G11</f>
        <v>6500</v>
      </c>
      <c r="I10" s="444">
        <f>H12+H10</f>
        <v>21399</v>
      </c>
    </row>
    <row r="11" ht="34.8" customHeight="1">
      <c r="A11" s="414"/>
      <c r="B11" s="421"/>
      <c r="C11" s="421"/>
      <c r="D11" s="416"/>
      <c r="E11" s="417"/>
      <c r="F11" s="445">
        <v>45916</v>
      </c>
      <c r="G11" s="446">
        <v>4000</v>
      </c>
      <c r="H11" s="421"/>
      <c r="I11" s="417"/>
    </row>
    <row r="12" ht="34.8" customHeight="1">
      <c r="A12" s="414"/>
      <c r="B12" t="s" s="424">
        <v>2997</v>
      </c>
      <c r="C12" s="425">
        <v>16844.4</v>
      </c>
      <c r="D12" s="416"/>
      <c r="E12" s="417"/>
      <c r="F12" s="426">
        <v>45919</v>
      </c>
      <c r="G12" s="427">
        <v>2066</v>
      </c>
      <c r="H12" s="427">
        <f>G12+G13+G14</f>
        <v>14899</v>
      </c>
      <c r="I12" s="417"/>
    </row>
    <row r="13" ht="34.8" customHeight="1">
      <c r="A13" s="414"/>
      <c r="B13" s="416"/>
      <c r="C13" s="416"/>
      <c r="D13" s="416"/>
      <c r="E13" s="417"/>
      <c r="F13" s="418">
        <v>45925</v>
      </c>
      <c r="G13" s="419">
        <v>10833</v>
      </c>
      <c r="H13" s="416"/>
      <c r="I13" s="417"/>
    </row>
    <row r="14" ht="34.8" customHeight="1">
      <c r="A14" s="428"/>
      <c r="B14" s="430"/>
      <c r="C14" s="430"/>
      <c r="D14" s="430"/>
      <c r="E14" s="431"/>
      <c r="F14" s="432">
        <v>45930</v>
      </c>
      <c r="G14" s="433">
        <v>2000</v>
      </c>
      <c r="H14" s="430"/>
      <c r="I14" s="431"/>
    </row>
    <row r="15" ht="34.8" customHeight="1">
      <c r="A15" t="s" s="447">
        <v>2998</v>
      </c>
      <c r="B15" t="s" s="407">
        <v>2999</v>
      </c>
      <c r="C15" s="408">
        <v>14061.9</v>
      </c>
      <c r="D15" s="448">
        <f>C15+C18</f>
        <v>26039.4</v>
      </c>
      <c r="E15" s="410">
        <f>I15-D15</f>
        <v>-501</v>
      </c>
      <c r="F15" s="449">
        <v>45931</v>
      </c>
      <c r="G15" s="450">
        <v>2500</v>
      </c>
      <c r="H15" s="412">
        <f>G15+G16+G17</f>
        <v>4439.5</v>
      </c>
      <c r="I15" s="451">
        <f>H15+H18</f>
        <v>25538.4</v>
      </c>
    </row>
    <row r="16" ht="34.8" customHeight="1">
      <c r="A16" s="414"/>
      <c r="B16" s="416"/>
      <c r="C16" s="416"/>
      <c r="D16" s="416"/>
      <c r="E16" s="417"/>
      <c r="F16" s="418">
        <v>45940</v>
      </c>
      <c r="G16" s="419">
        <v>939.5</v>
      </c>
      <c r="H16" s="421"/>
      <c r="I16" s="417"/>
    </row>
    <row r="17" ht="34.8" customHeight="1">
      <c r="A17" s="414"/>
      <c r="B17" s="421"/>
      <c r="C17" s="421"/>
      <c r="D17" s="416"/>
      <c r="E17" s="417"/>
      <c r="F17" s="422">
        <v>45946</v>
      </c>
      <c r="G17" s="423">
        <v>1000</v>
      </c>
      <c r="H17" s="441"/>
      <c r="I17" s="417"/>
    </row>
    <row r="18" ht="34.8" customHeight="1">
      <c r="A18" s="414"/>
      <c r="B18" t="s" s="424">
        <v>3000</v>
      </c>
      <c r="C18" s="425">
        <v>11977.5</v>
      </c>
      <c r="D18" s="416"/>
      <c r="E18" s="417"/>
      <c r="F18" s="426">
        <v>45950</v>
      </c>
      <c r="G18" s="427">
        <v>2500</v>
      </c>
      <c r="H18" s="419">
        <f>G18+G19+G20+G21+G22</f>
        <v>21098.9</v>
      </c>
      <c r="I18" s="417"/>
    </row>
    <row r="19" ht="34.8" customHeight="1">
      <c r="A19" s="414"/>
      <c r="B19" s="415"/>
      <c r="C19" s="416"/>
      <c r="D19" s="416"/>
      <c r="E19" s="417"/>
      <c r="F19" s="418">
        <v>45953</v>
      </c>
      <c r="G19" s="419">
        <v>4272.9</v>
      </c>
      <c r="H19" s="416"/>
      <c r="I19" s="417"/>
    </row>
    <row r="20" ht="34.8" customHeight="1">
      <c r="A20" s="414"/>
      <c r="B20" s="415"/>
      <c r="C20" s="416"/>
      <c r="D20" s="416"/>
      <c r="E20" s="417"/>
      <c r="F20" s="418">
        <v>45955</v>
      </c>
      <c r="G20" s="419">
        <v>10833</v>
      </c>
      <c r="H20" s="416"/>
      <c r="I20" s="417"/>
    </row>
    <row r="21" ht="34.8" customHeight="1">
      <c r="A21" s="414"/>
      <c r="B21" s="415"/>
      <c r="C21" s="416"/>
      <c r="D21" s="416"/>
      <c r="E21" s="417"/>
      <c r="F21" s="418">
        <v>45955</v>
      </c>
      <c r="G21" s="419">
        <v>1493</v>
      </c>
      <c r="H21" s="416"/>
      <c r="I21" s="431"/>
    </row>
    <row r="22" ht="34.8" customHeight="1">
      <c r="A22" s="428"/>
      <c r="B22" s="429"/>
      <c r="C22" s="430"/>
      <c r="D22" s="430"/>
      <c r="E22" s="431"/>
      <c r="F22" s="432">
        <v>45960</v>
      </c>
      <c r="G22" s="433">
        <v>2000</v>
      </c>
      <c r="H22" s="430"/>
      <c r="I22" s="452"/>
    </row>
    <row r="23" ht="34.8" customHeight="1">
      <c r="A23" t="s" s="453">
        <v>3001</v>
      </c>
      <c r="B23" t="s" s="407">
        <v>3002</v>
      </c>
      <c r="C23" s="408">
        <v>9144.5</v>
      </c>
      <c r="D23" s="454">
        <f>C23+C26</f>
        <v>18289</v>
      </c>
      <c r="E23" s="410">
        <f>I23-D23</f>
        <v>6292.5</v>
      </c>
      <c r="F23" s="411">
        <v>45971</v>
      </c>
      <c r="G23" s="412">
        <v>2187.5</v>
      </c>
      <c r="H23" s="455">
        <f>G23+G24+G25</f>
        <v>4272.5</v>
      </c>
      <c r="I23" s="456">
        <f>H23+H26</f>
        <v>24581.5</v>
      </c>
    </row>
    <row r="24" ht="34.8" customHeight="1">
      <c r="A24" s="414"/>
      <c r="B24" s="416"/>
      <c r="C24" s="416"/>
      <c r="D24" s="416"/>
      <c r="E24" s="417"/>
      <c r="F24" s="418">
        <v>45977</v>
      </c>
      <c r="G24" s="419">
        <v>1085</v>
      </c>
      <c r="H24" s="416"/>
      <c r="I24" s="417"/>
    </row>
    <row r="25" ht="34.8" customHeight="1">
      <c r="A25" s="414"/>
      <c r="B25" s="421"/>
      <c r="C25" s="421"/>
      <c r="D25" s="416"/>
      <c r="E25" s="417"/>
      <c r="F25" s="422">
        <v>45977</v>
      </c>
      <c r="G25" s="423">
        <v>1000</v>
      </c>
      <c r="H25" s="421"/>
      <c r="I25" s="417"/>
    </row>
    <row r="26" ht="34.8" customHeight="1">
      <c r="A26" s="414"/>
      <c r="B26" t="s" s="424">
        <v>3003</v>
      </c>
      <c r="C26" s="425">
        <v>9144.5</v>
      </c>
      <c r="D26" s="416"/>
      <c r="E26" s="417"/>
      <c r="F26" s="426">
        <v>45980</v>
      </c>
      <c r="G26" s="427">
        <v>2066</v>
      </c>
      <c r="H26" s="457">
        <f>G26+G27+G28+G29+G30</f>
        <v>20309</v>
      </c>
      <c r="I26" s="417"/>
    </row>
    <row r="27" ht="34.8" customHeight="1">
      <c r="A27" s="414"/>
      <c r="B27" s="416"/>
      <c r="C27" s="416"/>
      <c r="D27" s="416"/>
      <c r="E27" s="417"/>
      <c r="F27" s="418">
        <v>45981</v>
      </c>
      <c r="G27" s="419">
        <v>1410</v>
      </c>
      <c r="H27" s="441"/>
      <c r="I27" s="417"/>
    </row>
    <row r="28" ht="34.8" customHeight="1">
      <c r="A28" s="414"/>
      <c r="B28" s="416"/>
      <c r="C28" s="416"/>
      <c r="D28" s="416"/>
      <c r="E28" s="417"/>
      <c r="F28" s="418">
        <v>45981</v>
      </c>
      <c r="G28" s="419">
        <v>2500</v>
      </c>
      <c r="H28" s="416"/>
      <c r="I28" s="417"/>
    </row>
    <row r="29" ht="34.8" customHeight="1">
      <c r="A29" s="414"/>
      <c r="B29" s="416"/>
      <c r="C29" s="416"/>
      <c r="D29" s="416"/>
      <c r="E29" s="417"/>
      <c r="F29" s="418">
        <v>45986</v>
      </c>
      <c r="G29" s="419">
        <v>10833</v>
      </c>
      <c r="H29" s="416"/>
      <c r="I29" s="417"/>
    </row>
    <row r="30" ht="34.8" customHeight="1">
      <c r="A30" s="428"/>
      <c r="B30" s="430"/>
      <c r="C30" s="430"/>
      <c r="D30" s="430"/>
      <c r="E30" s="431"/>
      <c r="F30" s="432">
        <v>45991</v>
      </c>
      <c r="G30" s="433">
        <v>3500</v>
      </c>
      <c r="H30" s="430"/>
      <c r="I30" s="431"/>
    </row>
    <row r="31" ht="34.8" customHeight="1">
      <c r="A31" t="s" s="458">
        <v>3004</v>
      </c>
      <c r="B31" t="s" s="407">
        <v>3005</v>
      </c>
      <c r="C31" s="408">
        <v>9144.5</v>
      </c>
      <c r="D31" s="459">
        <f>C31</f>
        <v>9144.5</v>
      </c>
      <c r="E31" s="410">
        <f>-D31</f>
        <v>-9144.5</v>
      </c>
      <c r="F31" t="s" s="438">
        <v>3005</v>
      </c>
      <c r="G31" s="397"/>
      <c r="H31" t="s" s="439">
        <v>2996</v>
      </c>
      <c r="I31" s="440">
        <f>E15+E23-D31</f>
        <v>-3353</v>
      </c>
    </row>
    <row r="32" ht="53.8" customHeight="1">
      <c r="A32" t="s" s="460">
        <v>3006</v>
      </c>
      <c r="B32" s="430"/>
      <c r="C32" s="461">
        <f>SUM(C3:C31)</f>
        <v>115581.3</v>
      </c>
      <c r="D32" s="462"/>
      <c r="E32" s="463"/>
      <c r="F32" t="s" s="464">
        <v>3006</v>
      </c>
      <c r="G32" s="461">
        <f>SUM(G3:G31)</f>
        <v>100974.9</v>
      </c>
      <c r="H32" t="s" s="465">
        <v>3007</v>
      </c>
      <c r="I32" s="466">
        <f>C32-G32</f>
        <v>14606.4</v>
      </c>
    </row>
    <row r="34" ht="41.55" customHeight="1">
      <c r="J34" t="s" s="468">
        <v>3008</v>
      </c>
      <c r="K34" s="469"/>
      <c r="L34" s="470"/>
      <c r="M34" t="s" s="471">
        <v>3009</v>
      </c>
      <c r="N34" s="472"/>
      <c r="O34" t="s" s="473">
        <v>3007</v>
      </c>
    </row>
    <row r="35" ht="41.55" customHeight="1">
      <c r="J35" t="s" s="474">
        <v>3010</v>
      </c>
      <c r="K35" t="s" s="475">
        <v>2087</v>
      </c>
      <c r="L35" t="s" s="476">
        <v>3011</v>
      </c>
      <c r="M35" t="s" s="474">
        <v>2988</v>
      </c>
      <c r="N35" t="s" s="475">
        <v>2989</v>
      </c>
      <c r="O35" s="477"/>
    </row>
    <row r="36" ht="41.55" customHeight="1">
      <c r="J36" t="s" s="478">
        <v>3012</v>
      </c>
      <c r="K36" s="479">
        <v>45950</v>
      </c>
      <c r="L36" s="480">
        <v>8411.360000000001</v>
      </c>
      <c r="M36" s="481">
        <v>45961</v>
      </c>
      <c r="N36" s="482">
        <v>4940</v>
      </c>
      <c r="O36" s="483">
        <f>N36-L36</f>
        <v>-3471.36</v>
      </c>
    </row>
    <row r="37" ht="41.55" customHeight="1">
      <c r="J37" t="s" s="478">
        <v>3013</v>
      </c>
      <c r="K37" s="479">
        <v>45965</v>
      </c>
      <c r="L37" s="480">
        <v>8411.33</v>
      </c>
      <c r="M37" s="481">
        <v>45962</v>
      </c>
      <c r="N37" s="482">
        <v>1930</v>
      </c>
      <c r="O37" s="483">
        <f>N37-L37</f>
        <v>-6481.33</v>
      </c>
    </row>
    <row r="38" ht="41.55" customHeight="1">
      <c r="J38" t="s" s="484">
        <v>3014</v>
      </c>
      <c r="K38" s="485">
        <v>45980</v>
      </c>
      <c r="L38" s="486">
        <v>8411.33</v>
      </c>
      <c r="M38" s="487">
        <v>45981</v>
      </c>
      <c r="N38" s="488">
        <v>7000</v>
      </c>
      <c r="O38" s="489">
        <f>N38+N39-L38</f>
        <v>3528.67</v>
      </c>
    </row>
    <row r="39" ht="41.55" customHeight="1">
      <c r="J39" s="490"/>
      <c r="K39" s="491"/>
      <c r="L39" s="492"/>
      <c r="M39" s="493">
        <v>45989</v>
      </c>
      <c r="N39" s="494">
        <v>4940</v>
      </c>
      <c r="O39" s="495"/>
    </row>
    <row r="40" ht="41.55" customHeight="1">
      <c r="J40" t="s" s="478">
        <v>3015</v>
      </c>
      <c r="K40" s="479">
        <v>45995</v>
      </c>
      <c r="L40" s="480">
        <v>8411.33</v>
      </c>
      <c r="M40" s="481">
        <v>45992</v>
      </c>
      <c r="N40" s="482">
        <v>1940</v>
      </c>
      <c r="O40" s="483">
        <f>N40-L40</f>
        <v>-6471.33</v>
      </c>
    </row>
    <row r="41" ht="41.55" customHeight="1">
      <c r="J41" t="s" s="478">
        <v>3016</v>
      </c>
      <c r="K41" s="479">
        <v>46010</v>
      </c>
      <c r="L41" s="480">
        <v>8411.33</v>
      </c>
      <c r="M41" s="481">
        <v>46021</v>
      </c>
      <c r="N41" s="482">
        <v>3000</v>
      </c>
      <c r="O41" s="483">
        <f>N41-L41</f>
        <v>-5411.33</v>
      </c>
    </row>
    <row r="42" ht="41.55" customHeight="1">
      <c r="J42" t="s" s="484">
        <v>3017</v>
      </c>
      <c r="K42" s="485">
        <v>46025</v>
      </c>
      <c r="L42" s="486">
        <v>8411.33</v>
      </c>
      <c r="M42" s="487">
        <v>46023</v>
      </c>
      <c r="N42" s="488">
        <v>1950</v>
      </c>
      <c r="O42" s="489">
        <f>N42+N43-L42</f>
        <v>-1521.33</v>
      </c>
    </row>
    <row r="43" ht="41.55" customHeight="1">
      <c r="J43" s="490"/>
      <c r="K43" s="491"/>
      <c r="L43" s="492"/>
      <c r="M43" s="493">
        <v>46024</v>
      </c>
      <c r="N43" s="494">
        <v>4940</v>
      </c>
      <c r="O43" s="495"/>
    </row>
    <row r="44" ht="41.55" customHeight="1">
      <c r="J44" t="s" s="484">
        <v>3018</v>
      </c>
      <c r="K44" s="485">
        <v>46040</v>
      </c>
      <c r="L44" s="486">
        <v>8411.33</v>
      </c>
      <c r="M44" s="487">
        <v>46052</v>
      </c>
      <c r="N44" s="488">
        <v>3000</v>
      </c>
      <c r="O44" s="489">
        <f>N44+N45-L44</f>
        <v>-471.33</v>
      </c>
    </row>
    <row r="45" ht="41.55" customHeight="1">
      <c r="J45" s="490"/>
      <c r="K45" s="491"/>
      <c r="L45" s="492"/>
      <c r="M45" s="493">
        <v>46053</v>
      </c>
      <c r="N45" s="494">
        <v>4940</v>
      </c>
      <c r="O45" s="495"/>
    </row>
    <row r="46" ht="41.55" customHeight="1">
      <c r="J46" t="s" s="478">
        <v>3019</v>
      </c>
      <c r="K46" s="479">
        <v>46055</v>
      </c>
      <c r="L46" s="480">
        <v>8411.33</v>
      </c>
      <c r="M46" s="481">
        <v>46054</v>
      </c>
      <c r="N46" s="482">
        <v>1955</v>
      </c>
      <c r="O46" s="483">
        <f>N46-L46</f>
        <v>-6456.33</v>
      </c>
    </row>
    <row r="47" ht="41.55" customHeight="1">
      <c r="J47" t="s" s="484">
        <v>3020</v>
      </c>
      <c r="K47" s="485">
        <v>46070</v>
      </c>
      <c r="L47" s="486">
        <v>8411.33</v>
      </c>
      <c r="M47" s="487">
        <v>46079</v>
      </c>
      <c r="N47" s="488">
        <v>4940</v>
      </c>
      <c r="O47" s="489">
        <f>N47+N48-L47</f>
        <v>-471.33</v>
      </c>
    </row>
    <row r="48" ht="41.55" customHeight="1">
      <c r="J48" s="490"/>
      <c r="K48" s="491"/>
      <c r="L48" s="492"/>
      <c r="M48" s="493">
        <v>45716</v>
      </c>
      <c r="N48" s="494">
        <v>3000</v>
      </c>
      <c r="O48" s="495"/>
    </row>
    <row r="49" ht="9.95" customHeight="1">
      <c r="J49" s="496"/>
      <c r="K49" s="497"/>
      <c r="L49" s="498"/>
      <c r="M49" s="499"/>
      <c r="N49" s="500"/>
      <c r="O49" s="501"/>
    </row>
    <row r="50" ht="41.55" customHeight="1">
      <c r="J50" t="s" s="502">
        <v>3021</v>
      </c>
      <c r="K50" s="503">
        <v>45720</v>
      </c>
      <c r="L50" s="480"/>
      <c r="M50" s="481">
        <v>45717</v>
      </c>
      <c r="N50" s="482">
        <v>1960</v>
      </c>
      <c r="O50" s="483">
        <f>N50-L50</f>
        <v>1960</v>
      </c>
    </row>
    <row r="51" ht="41.55" customHeight="1">
      <c r="J51" t="s" s="504">
        <v>3022</v>
      </c>
      <c r="K51" s="505">
        <v>46100</v>
      </c>
      <c r="L51" s="486"/>
      <c r="M51" s="487">
        <v>46107</v>
      </c>
      <c r="N51" s="488">
        <v>4940</v>
      </c>
      <c r="O51" s="489">
        <f>N51+N52-L51</f>
        <v>7940</v>
      </c>
    </row>
    <row r="52" ht="41.55" customHeight="1">
      <c r="J52" s="490"/>
      <c r="K52" s="491"/>
      <c r="L52" s="492"/>
      <c r="M52" s="493">
        <v>46111</v>
      </c>
      <c r="N52" s="494">
        <v>3000</v>
      </c>
      <c r="O52" s="495"/>
    </row>
    <row r="53" ht="41.55" customHeight="1">
      <c r="J53" t="s" s="506">
        <v>3023</v>
      </c>
      <c r="K53" s="507"/>
      <c r="L53" s="508">
        <f>SUM(L36:L52)</f>
        <v>75702</v>
      </c>
      <c r="M53" s="509"/>
      <c r="N53" s="510">
        <f>SUM(N36:N52)</f>
        <v>58375</v>
      </c>
      <c r="O53" s="508">
        <f>N53-L53</f>
        <v>-17327</v>
      </c>
    </row>
  </sheetData>
  <mergeCells count="49">
    <mergeCell ref="H6:H8"/>
    <mergeCell ref="H18:H22"/>
    <mergeCell ref="I10:I14"/>
    <mergeCell ref="H3:H5"/>
    <mergeCell ref="I3:I8"/>
    <mergeCell ref="B3:B5"/>
    <mergeCell ref="B6:B8"/>
    <mergeCell ref="B18:B22"/>
    <mergeCell ref="C3:C5"/>
    <mergeCell ref="C6:C8"/>
    <mergeCell ref="C18:C22"/>
    <mergeCell ref="D3:D8"/>
    <mergeCell ref="D9:D14"/>
    <mergeCell ref="D23:D30"/>
    <mergeCell ref="A3:A8"/>
    <mergeCell ref="A9:A14"/>
    <mergeCell ref="A23:A30"/>
    <mergeCell ref="E3:E8"/>
    <mergeCell ref="E9:E14"/>
    <mergeCell ref="F9:G9"/>
    <mergeCell ref="H26:H30"/>
    <mergeCell ref="B26:B30"/>
    <mergeCell ref="C26:C30"/>
    <mergeCell ref="B23:B25"/>
    <mergeCell ref="C23:C25"/>
    <mergeCell ref="E23:E30"/>
    <mergeCell ref="I23:I30"/>
    <mergeCell ref="H23:H25"/>
    <mergeCell ref="A15:A22"/>
    <mergeCell ref="B15:B17"/>
    <mergeCell ref="C15:C17"/>
    <mergeCell ref="D15:D22"/>
    <mergeCell ref="E15:E22"/>
    <mergeCell ref="B12:B14"/>
    <mergeCell ref="C12:C14"/>
    <mergeCell ref="B9:B11"/>
    <mergeCell ref="C9:C11"/>
    <mergeCell ref="H10:H11"/>
    <mergeCell ref="H12:H14"/>
    <mergeCell ref="H15:H17"/>
    <mergeCell ref="I15:I22"/>
    <mergeCell ref="F31:G31"/>
    <mergeCell ref="A1:E1"/>
    <mergeCell ref="F1:I1"/>
    <mergeCell ref="A32:B32"/>
    <mergeCell ref="J53:K53"/>
    <mergeCell ref="J34:L34"/>
    <mergeCell ref="M34:N34"/>
    <mergeCell ref="O34:O3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9"/>
  <sheetViews>
    <sheetView workbookViewId="0" showGridLines="0" defaultGridColor="1"/>
  </sheetViews>
  <sheetFormatPr defaultColWidth="9.43958" defaultRowHeight="21.95" customHeight="1" outlineLevelRow="0" outlineLevelCol="0"/>
  <cols>
    <col min="1" max="1" width="13.3828" style="511" customWidth="1"/>
    <col min="2" max="2" width="16.8438" style="511" customWidth="1"/>
    <col min="3" max="3" width="16.625" style="511" customWidth="1"/>
    <col min="4" max="4" width="19.5234" style="511" customWidth="1"/>
    <col min="5" max="5" width="13.8359" style="511" customWidth="1"/>
    <col min="6" max="6" width="19.5234" style="511" customWidth="1"/>
    <col min="7" max="16384" width="9.4375" style="511" customWidth="1"/>
  </cols>
  <sheetData>
    <row r="1" ht="41.55" customHeight="1">
      <c r="A1" t="s" s="512">
        <v>3008</v>
      </c>
      <c r="B1" s="513"/>
      <c r="C1" s="514"/>
      <c r="D1" t="s" s="515">
        <v>3009</v>
      </c>
      <c r="E1" s="516"/>
      <c r="F1" s="517"/>
    </row>
    <row r="2" ht="41.55" customHeight="1">
      <c r="A2" t="s" s="518">
        <v>3010</v>
      </c>
      <c r="B2" t="s" s="519">
        <v>2087</v>
      </c>
      <c r="C2" t="s" s="520">
        <v>3011</v>
      </c>
      <c r="D2" t="s" s="518">
        <v>2988</v>
      </c>
      <c r="E2" t="s" s="519">
        <v>3024</v>
      </c>
      <c r="F2" t="s" s="520">
        <v>2989</v>
      </c>
    </row>
    <row r="3" ht="41.55" customHeight="1">
      <c r="A3" t="s" s="521">
        <v>3012</v>
      </c>
      <c r="B3" s="522">
        <v>45920</v>
      </c>
      <c r="C3" s="523">
        <v>11333.4</v>
      </c>
      <c r="D3" s="524">
        <v>45943</v>
      </c>
      <c r="E3" s="525">
        <v>2531</v>
      </c>
      <c r="F3" s="526">
        <v>6672.9</v>
      </c>
    </row>
    <row r="4" ht="41.55" customHeight="1">
      <c r="A4" s="527"/>
      <c r="B4" s="528"/>
      <c r="C4" s="529"/>
      <c r="D4" s="530">
        <v>45944</v>
      </c>
      <c r="E4" s="531">
        <v>701288</v>
      </c>
      <c r="F4" s="532">
        <v>215</v>
      </c>
    </row>
    <row r="5" ht="41.55" customHeight="1">
      <c r="A5" s="533"/>
      <c r="B5" s="534"/>
      <c r="C5" s="535"/>
      <c r="D5" s="530">
        <v>45945</v>
      </c>
      <c r="E5" s="531">
        <v>700022</v>
      </c>
      <c r="F5" s="532">
        <v>3970</v>
      </c>
    </row>
    <row r="6" ht="41.55" customHeight="1">
      <c r="A6" s="536"/>
      <c r="B6" s="537"/>
      <c r="C6" s="538"/>
      <c r="D6" s="539">
        <v>45948</v>
      </c>
      <c r="E6" s="540">
        <v>11375</v>
      </c>
      <c r="F6" s="541">
        <v>475.5</v>
      </c>
    </row>
    <row r="7" ht="41.55" customHeight="1">
      <c r="A7" t="s" s="518">
        <v>3014</v>
      </c>
      <c r="B7" s="542">
        <v>45959</v>
      </c>
      <c r="C7" s="543">
        <v>11333</v>
      </c>
      <c r="D7" s="544">
        <v>45950</v>
      </c>
      <c r="E7" s="545">
        <v>2532</v>
      </c>
      <c r="F7" s="546">
        <v>11333</v>
      </c>
    </row>
    <row r="8" ht="41.55" customHeight="1">
      <c r="A8" t="s" s="518">
        <v>3016</v>
      </c>
      <c r="B8" s="542">
        <v>45990</v>
      </c>
      <c r="C8" s="543">
        <v>11333</v>
      </c>
      <c r="D8" s="547">
        <v>45957</v>
      </c>
      <c r="E8" s="548">
        <v>2533</v>
      </c>
      <c r="F8" s="546">
        <v>11333</v>
      </c>
    </row>
    <row r="9" ht="41.55" customHeight="1">
      <c r="A9" t="s" s="549">
        <v>3023</v>
      </c>
      <c r="B9" s="550"/>
      <c r="C9" s="551">
        <f>SUM(C3:C8)</f>
        <v>33999.4</v>
      </c>
      <c r="D9" s="552"/>
      <c r="E9" s="553"/>
      <c r="F9" s="551">
        <f>SUM(F3:F8)</f>
        <v>33999.4</v>
      </c>
    </row>
  </sheetData>
  <mergeCells count="7">
    <mergeCell ref="A9:B9"/>
    <mergeCell ref="A1:C1"/>
    <mergeCell ref="A3:A6"/>
    <mergeCell ref="B3:B6"/>
    <mergeCell ref="C3:C6"/>
    <mergeCell ref="D1:F1"/>
    <mergeCell ref="D9:E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8"/>
  <sheetViews>
    <sheetView workbookViewId="0" showGridLines="0" defaultGridColor="1"/>
  </sheetViews>
  <sheetFormatPr defaultColWidth="9.43958" defaultRowHeight="21.95" customHeight="1" outlineLevelRow="0" outlineLevelCol="0"/>
  <cols>
    <col min="1" max="1" width="13.3828" style="554" customWidth="1"/>
    <col min="2" max="2" width="16.8438" style="554" customWidth="1"/>
    <col min="3" max="3" width="16.625" style="554" customWidth="1"/>
    <col min="4" max="4" width="17.5" style="554" customWidth="1"/>
    <col min="5" max="5" width="16" style="554" customWidth="1"/>
    <col min="6" max="6" width="11.7969" style="554" customWidth="1"/>
    <col min="7" max="7" width="18.5234" style="554" customWidth="1"/>
    <col min="8" max="8" width="18.4531" style="554" customWidth="1"/>
    <col min="9" max="10" width="17.5234" style="554" customWidth="1"/>
    <col min="11" max="16384" width="9.4375" style="554" customWidth="1"/>
  </cols>
  <sheetData>
    <row r="1" ht="41.55" customHeight="1">
      <c r="A1" t="s" s="555">
        <v>3008</v>
      </c>
      <c r="B1" s="513"/>
      <c r="C1" s="514"/>
      <c r="D1" s="556"/>
      <c r="E1" t="s" s="557">
        <v>3009</v>
      </c>
      <c r="F1" s="516"/>
      <c r="G1" s="517"/>
      <c r="H1" s="517"/>
      <c r="I1" s="558"/>
      <c r="J1" s="559"/>
    </row>
    <row r="2" ht="41.55" customHeight="1">
      <c r="A2" t="s" s="560">
        <v>3010</v>
      </c>
      <c r="B2" t="s" s="561">
        <v>2087</v>
      </c>
      <c r="C2" t="s" s="562">
        <v>3011</v>
      </c>
      <c r="D2" t="s" s="563">
        <v>3025</v>
      </c>
      <c r="E2" t="s" s="560">
        <v>2988</v>
      </c>
      <c r="F2" t="s" s="561">
        <v>3024</v>
      </c>
      <c r="G2" t="s" s="561">
        <v>3026</v>
      </c>
      <c r="H2" t="s" s="562">
        <v>2989</v>
      </c>
      <c r="I2" t="s" s="564">
        <v>3025</v>
      </c>
      <c r="J2" t="s" s="565">
        <v>8</v>
      </c>
    </row>
    <row r="3" ht="41.55" customHeight="1">
      <c r="A3" t="s" s="518">
        <v>3012</v>
      </c>
      <c r="B3" s="566">
        <v>46019</v>
      </c>
      <c r="C3" s="543">
        <v>7109.18</v>
      </c>
      <c r="D3" s="567">
        <f>C3+C4+C6</f>
        <v>21327.54</v>
      </c>
      <c r="E3" t="s" s="568">
        <v>24</v>
      </c>
      <c r="F3" t="s" s="569">
        <v>24</v>
      </c>
      <c r="G3" t="s" s="569">
        <v>24</v>
      </c>
      <c r="H3" s="546"/>
      <c r="I3" s="570">
        <f>SUM(H3:H8)</f>
        <v>15087.54</v>
      </c>
      <c r="J3" s="571">
        <f>I3-D3</f>
        <v>-6240</v>
      </c>
    </row>
    <row r="4" ht="41.55" customHeight="1">
      <c r="A4" t="s" s="572">
        <v>3013</v>
      </c>
      <c r="B4" s="573">
        <v>46034</v>
      </c>
      <c r="C4" s="574">
        <v>7109.18</v>
      </c>
      <c r="D4" s="575"/>
      <c r="E4" s="524">
        <v>46038</v>
      </c>
      <c r="F4" s="525">
        <v>2628</v>
      </c>
      <c r="G4" t="s" s="576">
        <v>3027</v>
      </c>
      <c r="H4" s="526">
        <v>4239.18</v>
      </c>
      <c r="I4" s="577"/>
      <c r="J4" s="577"/>
    </row>
    <row r="5" ht="41.55" customHeight="1">
      <c r="A5" s="578"/>
      <c r="B5" s="579"/>
      <c r="C5" s="580"/>
      <c r="D5" s="581"/>
      <c r="E5" s="539">
        <v>46044</v>
      </c>
      <c r="F5" s="540">
        <v>21</v>
      </c>
      <c r="G5" t="s" s="582">
        <v>3028</v>
      </c>
      <c r="H5" s="541">
        <v>2870</v>
      </c>
      <c r="I5" s="583"/>
      <c r="J5" s="583"/>
    </row>
    <row r="6" ht="41.55" customHeight="1">
      <c r="A6" t="s" s="572">
        <v>3014</v>
      </c>
      <c r="B6" s="573">
        <v>46049</v>
      </c>
      <c r="C6" s="574">
        <v>7109.18</v>
      </c>
      <c r="D6" s="575"/>
      <c r="E6" s="524">
        <v>46052</v>
      </c>
      <c r="F6" s="525">
        <v>2629</v>
      </c>
      <c r="G6" t="s" s="576">
        <v>3027</v>
      </c>
      <c r="H6" s="526">
        <v>3739.18</v>
      </c>
      <c r="I6" s="577"/>
      <c r="J6" s="577"/>
    </row>
    <row r="7" ht="41.55" customHeight="1">
      <c r="A7" s="584"/>
      <c r="B7" s="585"/>
      <c r="C7" s="586"/>
      <c r="D7" s="587"/>
      <c r="E7" s="530">
        <v>46058</v>
      </c>
      <c r="F7" s="531">
        <v>2630</v>
      </c>
      <c r="G7" t="s" s="588">
        <v>3027</v>
      </c>
      <c r="H7" s="532">
        <v>1369.18</v>
      </c>
      <c r="I7" s="583"/>
      <c r="J7" s="583"/>
    </row>
    <row r="8" ht="41.55" customHeight="1">
      <c r="A8" s="578"/>
      <c r="B8" s="579"/>
      <c r="C8" s="580"/>
      <c r="D8" s="589"/>
      <c r="E8" s="539">
        <v>46058</v>
      </c>
      <c r="F8" s="540">
        <v>22</v>
      </c>
      <c r="G8" t="s" s="582">
        <v>3028</v>
      </c>
      <c r="H8" s="541">
        <v>2870</v>
      </c>
      <c r="I8" s="590"/>
      <c r="J8" s="590"/>
    </row>
    <row r="9" ht="41.55" customHeight="1">
      <c r="A9" t="s" s="572">
        <v>3015</v>
      </c>
      <c r="B9" s="591">
        <v>46064</v>
      </c>
      <c r="C9" s="574">
        <v>7109.18</v>
      </c>
      <c r="D9" s="592"/>
      <c r="E9" s="524">
        <v>46065</v>
      </c>
      <c r="F9" s="525">
        <v>2</v>
      </c>
      <c r="G9" t="s" s="576">
        <v>3029</v>
      </c>
      <c r="H9" s="526">
        <v>500</v>
      </c>
      <c r="I9" s="593"/>
      <c r="J9" s="594"/>
    </row>
    <row r="10" ht="41.55" customHeight="1">
      <c r="A10" s="584"/>
      <c r="B10" s="585"/>
      <c r="C10" s="586"/>
      <c r="D10" s="595"/>
      <c r="E10" s="530">
        <v>46073</v>
      </c>
      <c r="F10" s="531">
        <v>2631</v>
      </c>
      <c r="G10" t="s" s="588">
        <v>3027</v>
      </c>
      <c r="H10" s="532">
        <v>3739.18</v>
      </c>
      <c r="I10" s="596"/>
      <c r="J10" s="597"/>
    </row>
    <row r="11" ht="41.55" customHeight="1">
      <c r="A11" s="578"/>
      <c r="B11" s="579"/>
      <c r="C11" s="580"/>
      <c r="D11" s="598"/>
      <c r="E11" s="539">
        <v>46076</v>
      </c>
      <c r="F11" s="540">
        <v>23</v>
      </c>
      <c r="G11" t="s" s="582">
        <v>3028</v>
      </c>
      <c r="H11" s="541">
        <v>2870</v>
      </c>
      <c r="I11" s="599"/>
      <c r="J11" s="600"/>
    </row>
    <row r="12" ht="41.55" customHeight="1">
      <c r="A12" t="s" s="572">
        <v>3016</v>
      </c>
      <c r="B12" s="591">
        <v>46079</v>
      </c>
      <c r="C12" s="574">
        <v>7109.18</v>
      </c>
      <c r="D12" s="601"/>
      <c r="E12" s="524">
        <v>46086</v>
      </c>
      <c r="F12" s="525">
        <v>24</v>
      </c>
      <c r="G12" t="s" s="576">
        <v>3028</v>
      </c>
      <c r="H12" s="526">
        <v>2870</v>
      </c>
      <c r="I12" s="602"/>
      <c r="J12" s="603"/>
    </row>
    <row r="13" ht="41.55" customHeight="1">
      <c r="A13" s="584"/>
      <c r="B13" s="585"/>
      <c r="C13" s="586"/>
      <c r="D13" s="587"/>
      <c r="E13" s="604">
        <v>46091</v>
      </c>
      <c r="F13" s="605">
        <v>2632</v>
      </c>
      <c r="G13" t="s" s="606">
        <v>3027</v>
      </c>
      <c r="H13" s="607">
        <v>6509.18</v>
      </c>
      <c r="I13" t="s" s="608">
        <v>3030</v>
      </c>
      <c r="J13" s="609"/>
    </row>
    <row r="14" ht="41.55" customHeight="1">
      <c r="A14" s="578"/>
      <c r="B14" s="579"/>
      <c r="C14" s="580"/>
      <c r="D14" s="610"/>
      <c r="E14" s="539">
        <v>46093</v>
      </c>
      <c r="F14" s="540">
        <v>3</v>
      </c>
      <c r="G14" t="s" s="582">
        <v>3029</v>
      </c>
      <c r="H14" s="541">
        <v>500</v>
      </c>
      <c r="I14" s="611"/>
      <c r="J14" s="603"/>
    </row>
    <row r="15" ht="41.55" customHeight="1">
      <c r="A15" t="s" s="560">
        <v>3017</v>
      </c>
      <c r="B15" s="612">
        <v>46094</v>
      </c>
      <c r="C15" s="613"/>
      <c r="D15" s="614"/>
      <c r="E15" s="544">
        <v>46100</v>
      </c>
      <c r="F15" s="545">
        <v>25</v>
      </c>
      <c r="G15" t="s" s="569">
        <v>3028</v>
      </c>
      <c r="H15" s="546">
        <v>2870</v>
      </c>
      <c r="I15" s="615"/>
      <c r="J15" s="603"/>
    </row>
    <row r="16" ht="41.55" customHeight="1">
      <c r="A16" t="s" s="560">
        <v>3018</v>
      </c>
      <c r="B16" s="612">
        <v>46109</v>
      </c>
      <c r="C16" s="616"/>
      <c r="D16" s="617"/>
      <c r="E16" t="s" s="568">
        <v>24</v>
      </c>
      <c r="F16" t="s" s="569">
        <v>24</v>
      </c>
      <c r="G16" t="s" s="569">
        <v>24</v>
      </c>
      <c r="H16" s="546"/>
      <c r="I16" s="615"/>
      <c r="J16" s="603"/>
    </row>
    <row r="17" ht="41.55" customHeight="1">
      <c r="A17" t="s" s="560">
        <v>3019</v>
      </c>
      <c r="B17" s="612">
        <v>46124</v>
      </c>
      <c r="C17" s="618"/>
      <c r="D17" s="619"/>
      <c r="E17" s="544">
        <v>46124</v>
      </c>
      <c r="F17" s="545">
        <v>4</v>
      </c>
      <c r="G17" t="s" s="569">
        <v>3029</v>
      </c>
      <c r="H17" s="546">
        <v>600</v>
      </c>
      <c r="I17" s="615"/>
      <c r="J17" s="603"/>
    </row>
    <row r="18" ht="41.55" customHeight="1">
      <c r="A18" t="s" s="620">
        <v>3023</v>
      </c>
      <c r="B18" s="550"/>
      <c r="C18" s="551">
        <f>SUM(C3:C17)</f>
        <v>35545.9</v>
      </c>
      <c r="D18" s="621"/>
      <c r="E18" t="s" s="622">
        <v>3031</v>
      </c>
      <c r="F18" s="623"/>
      <c r="G18" s="624"/>
      <c r="H18" s="551">
        <f>SUM(H3:H17)</f>
        <v>35545.9</v>
      </c>
      <c r="I18" s="602"/>
      <c r="J18" s="625"/>
    </row>
  </sheetData>
  <mergeCells count="26">
    <mergeCell ref="A18:B18"/>
    <mergeCell ref="A1:C1"/>
    <mergeCell ref="E1:H1"/>
    <mergeCell ref="C4:C5"/>
    <mergeCell ref="B4:B5"/>
    <mergeCell ref="A4:A5"/>
    <mergeCell ref="A6:A8"/>
    <mergeCell ref="B6:B8"/>
    <mergeCell ref="C6:C8"/>
    <mergeCell ref="A9:A11"/>
    <mergeCell ref="B9:B11"/>
    <mergeCell ref="C9:C11"/>
    <mergeCell ref="A12:A14"/>
    <mergeCell ref="B12:B14"/>
    <mergeCell ref="C12:C14"/>
    <mergeCell ref="D9:D11"/>
    <mergeCell ref="D12:D14"/>
    <mergeCell ref="D3:D8"/>
    <mergeCell ref="I3:I8"/>
    <mergeCell ref="I9:I11"/>
    <mergeCell ref="J3:J8"/>
    <mergeCell ref="J9:J11"/>
    <mergeCell ref="C15:C17"/>
    <mergeCell ref="D15:D17"/>
    <mergeCell ref="I13:J13"/>
    <mergeCell ref="E18:G1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R227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14.1797" style="626" customWidth="1"/>
    <col min="2" max="2" width="16.6719" style="626" customWidth="1"/>
    <col min="3" max="3" width="24.2734" style="626" customWidth="1"/>
    <col min="4" max="4" hidden="1" width="16.3333" style="626" customWidth="1"/>
    <col min="5" max="5" width="13.4844" style="626" customWidth="1"/>
    <col min="6" max="6" hidden="1" width="16.3333" style="626" customWidth="1"/>
    <col min="7" max="7" width="15" style="626" customWidth="1"/>
    <col min="8" max="8" width="16.6719" style="626" customWidth="1"/>
    <col min="9" max="9" width="13.4844" style="626" customWidth="1"/>
    <col min="10" max="10" width="15" style="626" customWidth="1"/>
    <col min="11" max="11" width="13.4531" style="626" customWidth="1"/>
    <col min="12" max="12" width="33.4531" style="626" customWidth="1"/>
    <col min="13" max="13" width="30.1641" style="648" customWidth="1"/>
    <col min="14" max="15" width="23.2969" style="648" customWidth="1"/>
    <col min="16" max="18" width="16.3516" style="663" customWidth="1"/>
    <col min="19" max="16384" width="16.3516" style="663" customWidth="1"/>
  </cols>
  <sheetData>
    <row r="1" ht="28.65" customHeight="1">
      <c r="A1" t="s" s="127">
        <v>3032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ht="27.95" customHeight="1">
      <c r="A2" t="s" s="128">
        <v>2086</v>
      </c>
      <c r="B2" t="s" s="128">
        <v>0</v>
      </c>
      <c r="C2" t="s" s="128">
        <v>1</v>
      </c>
      <c r="D2" t="s" s="128">
        <v>2</v>
      </c>
      <c r="E2" t="s" s="128">
        <v>3</v>
      </c>
      <c r="F2" t="s" s="129">
        <v>2087</v>
      </c>
      <c r="G2" t="s" s="129">
        <v>2088</v>
      </c>
      <c r="H2" t="s" s="129">
        <v>2089</v>
      </c>
      <c r="I2" t="s" s="129">
        <v>2090</v>
      </c>
      <c r="J2" t="s" s="129">
        <v>2091</v>
      </c>
      <c r="K2" t="s" s="129">
        <v>2092</v>
      </c>
      <c r="L2" t="s" s="129">
        <v>2093</v>
      </c>
    </row>
    <row r="3" ht="27.7" customHeight="1" hidden="1">
      <c r="A3" t="s" s="130">
        <v>39</v>
      </c>
      <c r="B3" t="s" s="131">
        <v>79</v>
      </c>
      <c r="C3" t="s" s="132">
        <v>2094</v>
      </c>
      <c r="D3" t="s" s="133">
        <v>468</v>
      </c>
      <c r="E3" s="134">
        <v>45303</v>
      </c>
      <c r="F3" s="135">
        <v>45400</v>
      </c>
      <c r="G3" s="136">
        <v>3818.8</v>
      </c>
      <c r="H3" t="s" s="131">
        <v>13</v>
      </c>
      <c r="I3" s="137">
        <v>45411</v>
      </c>
      <c r="J3" s="138">
        <v>3818.8</v>
      </c>
      <c r="K3" s="136">
        <f>J3-G3</f>
        <v>0</v>
      </c>
      <c r="L3" t="s" s="139">
        <v>2095</v>
      </c>
    </row>
    <row r="4" ht="27.7" customHeight="1" hidden="1">
      <c r="A4" t="s" s="130">
        <v>39</v>
      </c>
      <c r="B4" t="s" s="131">
        <v>488</v>
      </c>
      <c r="C4" t="s" s="132">
        <v>2067</v>
      </c>
      <c r="D4" t="s" s="133">
        <v>539</v>
      </c>
      <c r="E4" s="134">
        <v>45336</v>
      </c>
      <c r="F4" s="140">
        <v>45366</v>
      </c>
      <c r="G4" s="136">
        <v>4887.72</v>
      </c>
      <c r="H4" t="s" s="131">
        <v>13</v>
      </c>
      <c r="I4" s="137">
        <v>45401</v>
      </c>
      <c r="J4" s="138">
        <v>4887.72</v>
      </c>
      <c r="K4" s="136">
        <f>J4-G4</f>
        <v>0</v>
      </c>
      <c r="L4" t="s" s="139">
        <v>2096</v>
      </c>
    </row>
    <row r="5" ht="27.7" customHeight="1" hidden="1">
      <c r="A5" t="s" s="130">
        <v>39</v>
      </c>
      <c r="B5" t="s" s="131">
        <v>488</v>
      </c>
      <c r="C5" t="s" s="132">
        <v>2067</v>
      </c>
      <c r="D5" t="s" s="133">
        <v>539</v>
      </c>
      <c r="E5" s="134">
        <v>45336</v>
      </c>
      <c r="F5" s="141">
        <v>45366</v>
      </c>
      <c r="G5" s="136">
        <v>1426.19</v>
      </c>
      <c r="H5" t="s" s="131">
        <v>488</v>
      </c>
      <c r="I5" s="137">
        <v>45393</v>
      </c>
      <c r="J5" s="142">
        <v>1426.19</v>
      </c>
      <c r="K5" s="136">
        <f>J5-G5</f>
        <v>0</v>
      </c>
      <c r="L5" t="s" s="139">
        <v>2097</v>
      </c>
    </row>
    <row r="6" ht="27.7" customHeight="1" hidden="1">
      <c r="A6" t="s" s="130">
        <v>39</v>
      </c>
      <c r="B6" t="s" s="131">
        <v>488</v>
      </c>
      <c r="C6" t="s" s="132">
        <v>2067</v>
      </c>
      <c r="D6" t="s" s="133">
        <v>539</v>
      </c>
      <c r="E6" s="134">
        <v>45336</v>
      </c>
      <c r="F6" s="141">
        <v>45381</v>
      </c>
      <c r="G6" s="136">
        <v>4887.72</v>
      </c>
      <c r="H6" t="s" s="131">
        <v>13</v>
      </c>
      <c r="I6" s="137">
        <v>45407</v>
      </c>
      <c r="J6" s="138">
        <v>4887.72</v>
      </c>
      <c r="K6" s="136">
        <f>J6-G6</f>
        <v>0</v>
      </c>
      <c r="L6" t="s" s="139">
        <v>2098</v>
      </c>
    </row>
    <row r="7" ht="27.7" customHeight="1" hidden="1">
      <c r="A7" t="s" s="130">
        <v>96</v>
      </c>
      <c r="B7" t="s" s="131">
        <v>488</v>
      </c>
      <c r="C7" t="s" s="143">
        <v>2067</v>
      </c>
      <c r="D7" t="s" s="133">
        <v>539</v>
      </c>
      <c r="E7" s="134">
        <v>45336</v>
      </c>
      <c r="F7" s="140">
        <v>45396</v>
      </c>
      <c r="G7" s="136">
        <v>4887.72</v>
      </c>
      <c r="H7" t="s" s="131">
        <v>13</v>
      </c>
      <c r="I7" s="144"/>
      <c r="J7" s="145"/>
      <c r="K7" s="136"/>
      <c r="L7" t="s" s="139">
        <v>2099</v>
      </c>
    </row>
    <row r="8" ht="27.7" customHeight="1" hidden="1">
      <c r="A8" t="s" s="130">
        <v>39</v>
      </c>
      <c r="B8" t="s" s="131">
        <v>68</v>
      </c>
      <c r="C8" t="s" s="132">
        <v>205</v>
      </c>
      <c r="D8" t="s" s="133">
        <v>206</v>
      </c>
      <c r="E8" s="134">
        <v>45348</v>
      </c>
      <c r="F8" s="135">
        <v>45381</v>
      </c>
      <c r="G8" s="136">
        <v>2774</v>
      </c>
      <c r="H8" t="s" s="131">
        <v>13</v>
      </c>
      <c r="I8" s="137">
        <v>45399</v>
      </c>
      <c r="J8" s="138">
        <v>2774</v>
      </c>
      <c r="K8" s="136">
        <f>J8-G8</f>
        <v>0</v>
      </c>
      <c r="L8" t="s" s="139">
        <v>2100</v>
      </c>
    </row>
    <row r="9" ht="27.7" customHeight="1" hidden="1">
      <c r="A9" t="s" s="130">
        <v>39</v>
      </c>
      <c r="B9" t="s" s="131">
        <v>68</v>
      </c>
      <c r="C9" t="s" s="132">
        <v>205</v>
      </c>
      <c r="D9" t="s" s="133">
        <v>206</v>
      </c>
      <c r="E9" s="134">
        <v>45348</v>
      </c>
      <c r="F9" s="135">
        <v>45396</v>
      </c>
      <c r="G9" s="136">
        <v>2773</v>
      </c>
      <c r="H9" t="s" s="131">
        <v>13</v>
      </c>
      <c r="I9" s="137">
        <v>45406</v>
      </c>
      <c r="J9" s="138">
        <v>2773</v>
      </c>
      <c r="K9" s="136">
        <f>J9-G9</f>
        <v>0</v>
      </c>
      <c r="L9" t="s" s="139">
        <v>2101</v>
      </c>
    </row>
    <row r="10" ht="27.7" customHeight="1" hidden="1">
      <c r="A10" t="s" s="130">
        <v>39</v>
      </c>
      <c r="B10" t="s" s="131">
        <v>68</v>
      </c>
      <c r="C10" t="s" s="132">
        <v>205</v>
      </c>
      <c r="D10" t="s" s="133">
        <v>206</v>
      </c>
      <c r="E10" s="134">
        <v>45348</v>
      </c>
      <c r="F10" s="135">
        <v>45411</v>
      </c>
      <c r="G10" s="136">
        <v>2773</v>
      </c>
      <c r="H10" t="s" s="131">
        <v>13</v>
      </c>
      <c r="I10" s="137">
        <v>45419</v>
      </c>
      <c r="J10" s="138">
        <v>2773</v>
      </c>
      <c r="K10" s="136">
        <f>J10-G10</f>
        <v>0</v>
      </c>
      <c r="L10" t="s" s="139">
        <v>2102</v>
      </c>
    </row>
    <row r="11" ht="28" customHeight="1" hidden="1">
      <c r="A11" t="s" s="627">
        <v>39</v>
      </c>
      <c r="B11" t="s" s="303">
        <v>30</v>
      </c>
      <c r="C11" t="s" s="146">
        <v>1535</v>
      </c>
      <c r="D11" t="s" s="133">
        <v>1533</v>
      </c>
      <c r="E11" s="147">
        <v>45352</v>
      </c>
      <c r="F11" s="135">
        <v>45387</v>
      </c>
      <c r="G11" s="136">
        <v>8903</v>
      </c>
      <c r="H11" t="s" s="131">
        <v>13</v>
      </c>
      <c r="I11" s="137">
        <v>45400</v>
      </c>
      <c r="J11" s="138">
        <v>8903</v>
      </c>
      <c r="K11" s="136">
        <f>J11-G11</f>
        <v>0</v>
      </c>
      <c r="L11" t="s" s="139">
        <v>2100</v>
      </c>
    </row>
    <row r="12" ht="27.7" customHeight="1" hidden="1">
      <c r="A12" t="s" s="130">
        <v>39</v>
      </c>
      <c r="B12" t="s" s="131">
        <v>30</v>
      </c>
      <c r="C12" t="s" s="132">
        <v>1851</v>
      </c>
      <c r="D12" t="s" s="133">
        <v>683</v>
      </c>
      <c r="E12" s="134">
        <v>45352</v>
      </c>
      <c r="F12" s="141">
        <v>45387</v>
      </c>
      <c r="G12" s="136">
        <v>4598</v>
      </c>
      <c r="H12" t="s" s="131">
        <v>13</v>
      </c>
      <c r="I12" s="137">
        <v>45401</v>
      </c>
      <c r="J12" s="138">
        <v>4598</v>
      </c>
      <c r="K12" s="136">
        <f>J12-G12</f>
        <v>0</v>
      </c>
      <c r="L12" t="s" s="139">
        <v>2100</v>
      </c>
    </row>
    <row r="13" ht="28" customHeight="1" hidden="1">
      <c r="A13" t="s" s="627">
        <v>39</v>
      </c>
      <c r="B13" t="s" s="303">
        <v>30</v>
      </c>
      <c r="C13" t="s" s="146">
        <v>1535</v>
      </c>
      <c r="D13" t="s" s="133">
        <v>1533</v>
      </c>
      <c r="E13" s="147">
        <v>45352</v>
      </c>
      <c r="F13" s="135">
        <v>45402</v>
      </c>
      <c r="G13" s="136">
        <v>8580</v>
      </c>
      <c r="H13" t="s" s="131">
        <v>13</v>
      </c>
      <c r="I13" s="137">
        <v>45404</v>
      </c>
      <c r="J13" s="138">
        <v>8580</v>
      </c>
      <c r="K13" s="136">
        <f>J13-G13</f>
        <v>0</v>
      </c>
      <c r="L13" t="s" s="139">
        <v>2101</v>
      </c>
    </row>
    <row r="14" ht="27.7" customHeight="1" hidden="1">
      <c r="A14" t="s" s="130">
        <v>39</v>
      </c>
      <c r="B14" t="s" s="131">
        <v>30</v>
      </c>
      <c r="C14" t="s" s="132">
        <v>1851</v>
      </c>
      <c r="D14" t="s" s="133">
        <v>683</v>
      </c>
      <c r="E14" s="134">
        <v>45352</v>
      </c>
      <c r="F14" s="141">
        <v>45402</v>
      </c>
      <c r="G14" s="136">
        <v>4430</v>
      </c>
      <c r="H14" t="s" s="131">
        <v>30</v>
      </c>
      <c r="I14" s="137">
        <v>45419</v>
      </c>
      <c r="J14" s="142">
        <v>7000</v>
      </c>
      <c r="K14" s="136">
        <f>J14-G14</f>
        <v>2570</v>
      </c>
      <c r="L14" t="s" s="139">
        <v>2103</v>
      </c>
    </row>
    <row r="15" ht="28" customHeight="1" hidden="1">
      <c r="A15" t="s" s="627">
        <v>39</v>
      </c>
      <c r="B15" t="s" s="303">
        <v>30</v>
      </c>
      <c r="C15" t="s" s="146">
        <v>1535</v>
      </c>
      <c r="D15" t="s" s="133">
        <v>1533</v>
      </c>
      <c r="E15" s="147">
        <v>45352</v>
      </c>
      <c r="F15" s="135">
        <v>45417</v>
      </c>
      <c r="G15" s="136">
        <v>8580</v>
      </c>
      <c r="H15" t="s" s="131">
        <v>13</v>
      </c>
      <c r="I15" s="137">
        <v>45415</v>
      </c>
      <c r="J15" s="138">
        <v>8580</v>
      </c>
      <c r="K15" s="136">
        <f>J15-G15</f>
        <v>0</v>
      </c>
      <c r="L15" t="s" s="139">
        <v>2102</v>
      </c>
    </row>
    <row r="16" ht="27.7" customHeight="1" hidden="1">
      <c r="A16" t="s" s="130">
        <v>39</v>
      </c>
      <c r="B16" t="s" s="131">
        <v>30</v>
      </c>
      <c r="C16" t="s" s="132">
        <v>1851</v>
      </c>
      <c r="D16" t="s" s="133">
        <v>683</v>
      </c>
      <c r="E16" s="134">
        <v>45352</v>
      </c>
      <c r="F16" s="135">
        <v>45417</v>
      </c>
      <c r="G16" s="148">
        <v>4206</v>
      </c>
      <c r="H16" t="s" s="131">
        <v>30</v>
      </c>
      <c r="I16" s="137">
        <v>45419</v>
      </c>
      <c r="J16" s="142">
        <v>1636</v>
      </c>
      <c r="K16" s="136">
        <f>J16-G16</f>
        <v>-2570</v>
      </c>
      <c r="L16" t="s" s="139">
        <v>2104</v>
      </c>
    </row>
    <row r="17" ht="27.7" customHeight="1" hidden="1">
      <c r="A17" t="s" s="130">
        <v>39</v>
      </c>
      <c r="B17" t="s" s="131">
        <v>40</v>
      </c>
      <c r="C17" t="s" s="146">
        <v>1535</v>
      </c>
      <c r="D17" t="s" s="133">
        <v>1533</v>
      </c>
      <c r="E17" s="134">
        <v>45365</v>
      </c>
      <c r="F17" s="135">
        <v>45402</v>
      </c>
      <c r="G17" s="136">
        <v>4428.63</v>
      </c>
      <c r="H17" t="s" s="131">
        <v>13</v>
      </c>
      <c r="I17" s="137">
        <v>45404</v>
      </c>
      <c r="J17" s="138">
        <v>4428.63</v>
      </c>
      <c r="K17" s="136">
        <f>J17-G17</f>
        <v>0</v>
      </c>
      <c r="L17" t="s" s="139">
        <v>2100</v>
      </c>
    </row>
    <row r="18" ht="27.7" customHeight="1" hidden="1">
      <c r="A18" t="s" s="130">
        <v>39</v>
      </c>
      <c r="B18" t="s" s="131">
        <v>40</v>
      </c>
      <c r="C18" t="s" s="132">
        <v>1535</v>
      </c>
      <c r="D18" t="s" s="133">
        <v>1533</v>
      </c>
      <c r="E18" s="134">
        <v>45365</v>
      </c>
      <c r="F18" s="135">
        <v>45432</v>
      </c>
      <c r="G18" s="136">
        <v>4348</v>
      </c>
      <c r="H18" t="s" s="131">
        <v>13</v>
      </c>
      <c r="I18" s="137">
        <v>45428</v>
      </c>
      <c r="J18" s="138">
        <v>4348</v>
      </c>
      <c r="K18" s="136">
        <f>J18-G18</f>
        <v>0</v>
      </c>
      <c r="L18" t="s" s="139">
        <v>2101</v>
      </c>
    </row>
    <row r="19" ht="27.7" customHeight="1" hidden="1">
      <c r="A19" t="s" s="130">
        <v>39</v>
      </c>
      <c r="B19" t="s" s="131">
        <v>40</v>
      </c>
      <c r="C19" t="s" s="132">
        <v>1535</v>
      </c>
      <c r="D19" t="s" s="133">
        <v>1533</v>
      </c>
      <c r="E19" s="134">
        <v>45365</v>
      </c>
      <c r="F19" s="144">
        <v>45462</v>
      </c>
      <c r="G19" s="136">
        <v>4348</v>
      </c>
      <c r="H19" t="s" s="131">
        <v>40</v>
      </c>
      <c r="I19" s="137">
        <v>45464</v>
      </c>
      <c r="J19" s="142">
        <v>4348</v>
      </c>
      <c r="K19" s="136">
        <f>J19-G19</f>
        <v>0</v>
      </c>
      <c r="L19" t="s" s="139">
        <v>2105</v>
      </c>
    </row>
    <row r="20" ht="27.7" customHeight="1" hidden="1">
      <c r="A20" t="s" s="130">
        <v>39</v>
      </c>
      <c r="B20" t="s" s="131">
        <v>488</v>
      </c>
      <c r="C20" t="s" s="132">
        <v>2106</v>
      </c>
      <c r="D20" t="s" s="133">
        <v>379</v>
      </c>
      <c r="E20" s="134">
        <v>45371</v>
      </c>
      <c r="F20" s="135">
        <v>45401</v>
      </c>
      <c r="G20" s="136">
        <v>4404.64</v>
      </c>
      <c r="H20" t="s" s="131">
        <v>13</v>
      </c>
      <c r="I20" s="137">
        <v>45407</v>
      </c>
      <c r="J20" s="138">
        <v>4404.64</v>
      </c>
      <c r="K20" s="136">
        <f>J20-G20</f>
        <v>0</v>
      </c>
      <c r="L20" t="s" s="139">
        <v>2107</v>
      </c>
    </row>
    <row r="21" ht="27.7" customHeight="1" hidden="1">
      <c r="A21" t="s" s="130">
        <v>39</v>
      </c>
      <c r="B21" t="s" s="131">
        <v>30</v>
      </c>
      <c r="C21" t="s" s="132">
        <v>1162</v>
      </c>
      <c r="D21" t="s" s="133">
        <v>319</v>
      </c>
      <c r="E21" s="134">
        <v>45371</v>
      </c>
      <c r="F21" s="135">
        <v>45408</v>
      </c>
      <c r="G21" s="136">
        <v>7386</v>
      </c>
      <c r="H21" t="s" s="131">
        <v>13</v>
      </c>
      <c r="I21" s="137">
        <v>45408</v>
      </c>
      <c r="J21" s="138">
        <v>7386</v>
      </c>
      <c r="K21" s="136">
        <f>J21-G21</f>
        <v>0</v>
      </c>
      <c r="L21" t="s" s="139">
        <v>2108</v>
      </c>
    </row>
    <row r="22" ht="27.7" customHeight="1" hidden="1">
      <c r="A22" t="s" s="130">
        <v>39</v>
      </c>
      <c r="B22" t="s" s="131">
        <v>488</v>
      </c>
      <c r="C22" t="s" s="132">
        <v>2106</v>
      </c>
      <c r="D22" t="s" s="133">
        <v>379</v>
      </c>
      <c r="E22" s="134">
        <v>45371</v>
      </c>
      <c r="F22" s="135">
        <v>45416</v>
      </c>
      <c r="G22" s="136">
        <v>4404.64</v>
      </c>
      <c r="H22" t="s" s="131">
        <v>30</v>
      </c>
      <c r="I22" s="137">
        <v>45421</v>
      </c>
      <c r="J22" s="149">
        <v>4404.64</v>
      </c>
      <c r="K22" s="136">
        <f>J22-G22</f>
        <v>0</v>
      </c>
      <c r="L22" t="s" s="139">
        <v>2109</v>
      </c>
    </row>
    <row r="23" ht="27.7" customHeight="1" hidden="1">
      <c r="A23" t="s" s="130">
        <v>39</v>
      </c>
      <c r="B23" t="s" s="131">
        <v>488</v>
      </c>
      <c r="C23" t="s" s="132">
        <v>2106</v>
      </c>
      <c r="D23" t="s" s="133">
        <v>379</v>
      </c>
      <c r="E23" s="134">
        <v>45371</v>
      </c>
      <c r="F23" s="135">
        <v>45431</v>
      </c>
      <c r="G23" s="136">
        <v>4404.64</v>
      </c>
      <c r="H23" t="s" s="131">
        <v>488</v>
      </c>
      <c r="I23" s="137">
        <v>45439</v>
      </c>
      <c r="J23" s="142">
        <v>4404.64</v>
      </c>
      <c r="K23" s="136">
        <f>J23-G23</f>
        <v>0</v>
      </c>
      <c r="L23" t="s" s="139">
        <v>2110</v>
      </c>
    </row>
    <row r="24" ht="27.7" customHeight="1" hidden="1">
      <c r="A24" t="s" s="130">
        <v>39</v>
      </c>
      <c r="B24" t="s" s="131">
        <v>97</v>
      </c>
      <c r="C24" t="s" s="146">
        <v>1535</v>
      </c>
      <c r="D24" t="s" s="133">
        <v>1533</v>
      </c>
      <c r="E24" s="134">
        <v>45379</v>
      </c>
      <c r="F24" s="144">
        <v>45415</v>
      </c>
      <c r="G24" s="136">
        <v>14807.8</v>
      </c>
      <c r="H24" t="s" s="131">
        <v>13</v>
      </c>
      <c r="I24" s="137">
        <v>45418</v>
      </c>
      <c r="J24" s="138">
        <v>14807.8</v>
      </c>
      <c r="K24" s="136">
        <f>J24-G24</f>
        <v>0</v>
      </c>
      <c r="L24" t="s" s="139">
        <v>2111</v>
      </c>
    </row>
    <row r="25" ht="27.7" customHeight="1" hidden="1">
      <c r="A25" t="s" s="130">
        <v>39</v>
      </c>
      <c r="B25" t="s" s="131">
        <v>97</v>
      </c>
      <c r="C25" t="s" s="146">
        <v>1535</v>
      </c>
      <c r="D25" t="s" s="133">
        <v>1533</v>
      </c>
      <c r="E25" s="134">
        <v>45379</v>
      </c>
      <c r="F25" s="144">
        <v>45445</v>
      </c>
      <c r="G25" s="136">
        <v>14807.8</v>
      </c>
      <c r="H25" t="s" s="131">
        <v>21</v>
      </c>
      <c r="I25" s="137">
        <v>45447</v>
      </c>
      <c r="J25" s="149">
        <v>14807.8</v>
      </c>
      <c r="K25" s="136">
        <f>J25-G25</f>
        <v>0</v>
      </c>
      <c r="L25" t="s" s="139">
        <v>2112</v>
      </c>
    </row>
    <row r="26" ht="27.7" customHeight="1" hidden="1">
      <c r="A26" t="s" s="130">
        <v>39</v>
      </c>
      <c r="B26" t="s" s="131">
        <v>97</v>
      </c>
      <c r="C26" t="s" s="132">
        <v>1535</v>
      </c>
      <c r="D26" t="s" s="133">
        <v>1533</v>
      </c>
      <c r="E26" s="134">
        <v>45379</v>
      </c>
      <c r="F26" s="144">
        <v>45475</v>
      </c>
      <c r="G26" s="136">
        <v>14807.8</v>
      </c>
      <c r="H26" t="s" s="131">
        <v>40</v>
      </c>
      <c r="I26" s="137">
        <v>45475</v>
      </c>
      <c r="J26" s="149">
        <v>14807.8</v>
      </c>
      <c r="K26" s="136">
        <f>J26-G26</f>
        <v>0</v>
      </c>
      <c r="L26" t="s" s="139">
        <v>2113</v>
      </c>
    </row>
    <row r="27" ht="27.7" customHeight="1" hidden="1">
      <c r="A27" t="s" s="130">
        <v>39</v>
      </c>
      <c r="B27" t="s" s="387">
        <v>97</v>
      </c>
      <c r="C27" t="s" s="628">
        <v>1535</v>
      </c>
      <c r="D27" t="s" s="629">
        <v>1533</v>
      </c>
      <c r="E27" s="376">
        <v>45379</v>
      </c>
      <c r="F27" s="144">
        <v>45505</v>
      </c>
      <c r="G27" s="136">
        <v>14807.8</v>
      </c>
      <c r="H27" t="s" s="131">
        <v>97</v>
      </c>
      <c r="I27" s="137">
        <v>45510</v>
      </c>
      <c r="J27" s="142">
        <v>14807.8</v>
      </c>
      <c r="K27" s="136">
        <f>J27-G27</f>
        <v>0</v>
      </c>
      <c r="L27" t="s" s="139">
        <v>2114</v>
      </c>
    </row>
    <row r="28" ht="27.7" customHeight="1" hidden="1">
      <c r="A28" t="s" s="130">
        <v>39</v>
      </c>
      <c r="B28" t="s" s="131">
        <v>36</v>
      </c>
      <c r="C28" t="s" s="132">
        <v>1162</v>
      </c>
      <c r="D28" t="s" s="133">
        <v>319</v>
      </c>
      <c r="E28" s="134">
        <v>45388</v>
      </c>
      <c r="F28" s="135">
        <v>45422</v>
      </c>
      <c r="G28" s="136">
        <v>18256.8</v>
      </c>
      <c r="H28" t="s" s="131">
        <v>30</v>
      </c>
      <c r="I28" s="137">
        <v>45425</v>
      </c>
      <c r="J28" s="149">
        <v>18256.84</v>
      </c>
      <c r="K28" s="136">
        <f>J28-G28</f>
        <v>0.04</v>
      </c>
      <c r="L28" t="s" s="139">
        <v>2115</v>
      </c>
    </row>
    <row r="29" ht="27.7" customHeight="1" hidden="1">
      <c r="A29" t="s" s="130">
        <v>39</v>
      </c>
      <c r="B29" t="s" s="131">
        <v>61</v>
      </c>
      <c r="C29" t="s" s="132">
        <v>578</v>
      </c>
      <c r="D29" t="s" s="133">
        <v>579</v>
      </c>
      <c r="E29" s="134">
        <v>45393</v>
      </c>
      <c r="F29" s="135">
        <v>45399</v>
      </c>
      <c r="G29" s="136">
        <v>275</v>
      </c>
      <c r="H29" t="s" s="131">
        <v>30</v>
      </c>
      <c r="I29" s="137">
        <v>45427</v>
      </c>
      <c r="J29" s="149">
        <v>275</v>
      </c>
      <c r="K29" s="136">
        <f>J29-G29</f>
        <v>0</v>
      </c>
      <c r="L29" t="s" s="139">
        <v>2116</v>
      </c>
    </row>
    <row r="30" ht="27.7" customHeight="1" hidden="1">
      <c r="A30" t="s" s="130">
        <v>39</v>
      </c>
      <c r="B30" t="s" s="131">
        <v>61</v>
      </c>
      <c r="C30" t="s" s="132">
        <v>578</v>
      </c>
      <c r="D30" t="s" s="133">
        <v>579</v>
      </c>
      <c r="E30" s="134">
        <v>45393</v>
      </c>
      <c r="F30" s="135">
        <v>45429</v>
      </c>
      <c r="G30" s="136">
        <v>1111.81</v>
      </c>
      <c r="H30" t="s" s="131">
        <v>30</v>
      </c>
      <c r="I30" s="137">
        <v>45427</v>
      </c>
      <c r="J30" s="149">
        <v>1111.81</v>
      </c>
      <c r="K30" s="136">
        <f>J30-G30</f>
        <v>0</v>
      </c>
      <c r="L30" t="s" s="139">
        <v>2117</v>
      </c>
    </row>
    <row r="31" ht="27.7" customHeight="1" hidden="1">
      <c r="A31" t="s" s="130">
        <v>39</v>
      </c>
      <c r="B31" t="s" s="131">
        <v>61</v>
      </c>
      <c r="C31" t="s" s="132">
        <v>578</v>
      </c>
      <c r="D31" t="s" s="133">
        <v>579</v>
      </c>
      <c r="E31" s="134">
        <v>45393</v>
      </c>
      <c r="F31" s="144">
        <v>45444</v>
      </c>
      <c r="G31" s="136">
        <v>1710.72</v>
      </c>
      <c r="H31" t="s" s="131">
        <v>488</v>
      </c>
      <c r="I31" s="137">
        <v>45446</v>
      </c>
      <c r="J31" s="149">
        <v>1710</v>
      </c>
      <c r="K31" s="136">
        <f>J31-G31</f>
        <v>-0.72</v>
      </c>
      <c r="L31" t="s" s="139">
        <v>2118</v>
      </c>
    </row>
    <row r="32" ht="27.7" customHeight="1" hidden="1">
      <c r="A32" t="s" s="130">
        <v>39</v>
      </c>
      <c r="B32" t="s" s="131">
        <v>61</v>
      </c>
      <c r="C32" t="s" s="132">
        <v>578</v>
      </c>
      <c r="D32" t="s" s="133">
        <v>579</v>
      </c>
      <c r="E32" s="134">
        <v>45393</v>
      </c>
      <c r="F32" s="144">
        <v>45459</v>
      </c>
      <c r="G32" s="136">
        <v>1710</v>
      </c>
      <c r="H32" t="s" s="131">
        <v>488</v>
      </c>
      <c r="I32" s="137">
        <v>45460</v>
      </c>
      <c r="J32" s="149">
        <v>1710</v>
      </c>
      <c r="K32" s="136">
        <f>J32-G32</f>
        <v>0</v>
      </c>
      <c r="L32" t="s" s="139">
        <v>2119</v>
      </c>
    </row>
    <row r="33" ht="27.7" customHeight="1" hidden="1">
      <c r="A33" t="s" s="130">
        <v>39</v>
      </c>
      <c r="B33" t="s" s="131">
        <v>61</v>
      </c>
      <c r="C33" t="s" s="132">
        <v>578</v>
      </c>
      <c r="D33" t="s" s="133">
        <v>579</v>
      </c>
      <c r="E33" s="134">
        <v>45393</v>
      </c>
      <c r="F33" s="144">
        <v>45474</v>
      </c>
      <c r="G33" s="136">
        <v>1710</v>
      </c>
      <c r="H33" t="s" s="131">
        <v>13</v>
      </c>
      <c r="I33" s="137">
        <v>45474</v>
      </c>
      <c r="J33" s="138">
        <v>1710</v>
      </c>
      <c r="K33" s="136">
        <f>J33-G33</f>
        <v>0</v>
      </c>
      <c r="L33" t="s" s="139">
        <v>2120</v>
      </c>
    </row>
    <row r="34" ht="27.7" customHeight="1" hidden="1">
      <c r="A34" t="s" s="130">
        <v>39</v>
      </c>
      <c r="B34" t="s" s="131">
        <v>97</v>
      </c>
      <c r="C34" t="s" s="132">
        <v>2028</v>
      </c>
      <c r="D34" t="s" s="133">
        <v>117</v>
      </c>
      <c r="E34" s="134">
        <v>45394</v>
      </c>
      <c r="F34" s="144">
        <v>45461</v>
      </c>
      <c r="G34" s="136">
        <v>9702.700000000001</v>
      </c>
      <c r="H34" t="s" s="131">
        <v>97</v>
      </c>
      <c r="I34" s="137">
        <v>45461</v>
      </c>
      <c r="J34" s="142">
        <v>9702.700000000001</v>
      </c>
      <c r="K34" s="136">
        <f>J34-G34</f>
        <v>0</v>
      </c>
      <c r="L34" t="s" s="139">
        <v>2121</v>
      </c>
    </row>
    <row r="35" ht="27.7" customHeight="1" hidden="1">
      <c r="A35" t="s" s="130">
        <v>39</v>
      </c>
      <c r="B35" t="s" s="131">
        <v>68</v>
      </c>
      <c r="C35" t="s" s="132">
        <v>936</v>
      </c>
      <c r="D35" t="s" s="133">
        <v>151</v>
      </c>
      <c r="E35" s="134">
        <v>45397</v>
      </c>
      <c r="F35" s="144">
        <v>45432</v>
      </c>
      <c r="G35" s="136">
        <v>4840</v>
      </c>
      <c r="H35" t="s" s="131">
        <v>68</v>
      </c>
      <c r="I35" s="137">
        <v>45436</v>
      </c>
      <c r="J35" s="142">
        <v>4840</v>
      </c>
      <c r="K35" s="136">
        <f>J35-G35</f>
        <v>0</v>
      </c>
      <c r="L35" t="s" s="139">
        <v>2122</v>
      </c>
    </row>
    <row r="36" ht="27.7" customHeight="1" hidden="1">
      <c r="A36" t="s" s="130">
        <v>39</v>
      </c>
      <c r="B36" t="s" s="131">
        <v>68</v>
      </c>
      <c r="C36" t="s" s="132">
        <v>936</v>
      </c>
      <c r="D36" t="s" s="133">
        <v>151</v>
      </c>
      <c r="E36" s="134">
        <v>45397</v>
      </c>
      <c r="F36" s="144">
        <v>45447</v>
      </c>
      <c r="G36" s="136">
        <v>4840</v>
      </c>
      <c r="H36" t="s" s="131">
        <v>68</v>
      </c>
      <c r="I36" s="137">
        <v>45447</v>
      </c>
      <c r="J36" s="142">
        <v>4840</v>
      </c>
      <c r="K36" s="136">
        <f>J36-G36</f>
        <v>0</v>
      </c>
      <c r="L36" t="s" s="139">
        <v>2123</v>
      </c>
    </row>
    <row r="37" ht="27.7" customHeight="1" hidden="1">
      <c r="A37" t="s" s="130">
        <v>39</v>
      </c>
      <c r="B37" t="s" s="131">
        <v>68</v>
      </c>
      <c r="C37" t="s" s="132">
        <v>936</v>
      </c>
      <c r="D37" t="s" s="133">
        <v>151</v>
      </c>
      <c r="E37" s="134">
        <v>45397</v>
      </c>
      <c r="F37" s="144">
        <v>45462</v>
      </c>
      <c r="G37" s="136">
        <v>4840</v>
      </c>
      <c r="H37" t="s" s="131">
        <v>68</v>
      </c>
      <c r="I37" s="137">
        <v>45461</v>
      </c>
      <c r="J37" s="142">
        <v>4840</v>
      </c>
      <c r="K37" s="136">
        <f>J37-G37</f>
        <v>0</v>
      </c>
      <c r="L37" t="s" s="139">
        <v>2124</v>
      </c>
    </row>
    <row r="38" ht="27.7" customHeight="1" hidden="1">
      <c r="A38" t="s" s="130">
        <v>39</v>
      </c>
      <c r="B38" t="s" s="131">
        <v>30</v>
      </c>
      <c r="C38" t="s" s="132">
        <v>578</v>
      </c>
      <c r="D38" t="s" s="133">
        <v>579</v>
      </c>
      <c r="E38" s="134">
        <v>45400</v>
      </c>
      <c r="F38" s="135">
        <v>45404</v>
      </c>
      <c r="G38" s="136">
        <v>124.89</v>
      </c>
      <c r="H38" t="s" s="131">
        <v>30</v>
      </c>
      <c r="I38" s="137">
        <v>45427</v>
      </c>
      <c r="J38" s="142">
        <v>124.89</v>
      </c>
      <c r="K38" s="136">
        <f>J38-G38</f>
        <v>0</v>
      </c>
      <c r="L38" t="s" s="139">
        <v>2125</v>
      </c>
    </row>
    <row r="39" ht="27.7" customHeight="1" hidden="1">
      <c r="A39" t="s" s="130">
        <v>39</v>
      </c>
      <c r="B39" t="s" s="131">
        <v>30</v>
      </c>
      <c r="C39" t="s" s="132">
        <v>578</v>
      </c>
      <c r="D39" t="s" s="133">
        <v>579</v>
      </c>
      <c r="E39" s="134">
        <v>45400</v>
      </c>
      <c r="F39" s="135">
        <v>45434</v>
      </c>
      <c r="G39" s="136">
        <v>3080</v>
      </c>
      <c r="H39" t="s" s="131">
        <v>30</v>
      </c>
      <c r="I39" s="137">
        <v>45429</v>
      </c>
      <c r="J39" s="142">
        <v>3080.65</v>
      </c>
      <c r="K39" s="136">
        <f>J39-G39</f>
        <v>0.65</v>
      </c>
      <c r="L39" t="s" s="139">
        <v>2126</v>
      </c>
    </row>
    <row r="40" ht="27.7" customHeight="1" hidden="1">
      <c r="A40" t="s" s="130">
        <v>39</v>
      </c>
      <c r="B40" t="s" s="131">
        <v>30</v>
      </c>
      <c r="C40" t="s" s="132">
        <v>1209</v>
      </c>
      <c r="D40" t="s" s="133">
        <v>379</v>
      </c>
      <c r="E40" s="134">
        <v>45400</v>
      </c>
      <c r="F40" s="135">
        <v>45434</v>
      </c>
      <c r="G40" s="151">
        <v>116.42</v>
      </c>
      <c r="H40" t="s" s="131">
        <v>30</v>
      </c>
      <c r="I40" s="137">
        <v>45428</v>
      </c>
      <c r="J40" s="142">
        <v>116.42</v>
      </c>
      <c r="K40" s="136">
        <f>J40-G40</f>
        <v>0</v>
      </c>
      <c r="L40" t="s" s="152">
        <v>2127</v>
      </c>
    </row>
    <row r="41" ht="27.7" customHeight="1" hidden="1">
      <c r="A41" t="s" s="130">
        <v>39</v>
      </c>
      <c r="B41" t="s" s="131">
        <v>30</v>
      </c>
      <c r="C41" t="s" s="132">
        <v>578</v>
      </c>
      <c r="D41" t="s" s="133">
        <v>579</v>
      </c>
      <c r="E41" s="134">
        <v>45400</v>
      </c>
      <c r="F41" s="135">
        <v>45449</v>
      </c>
      <c r="G41" s="136">
        <v>3080</v>
      </c>
      <c r="H41" t="s" s="131">
        <v>30</v>
      </c>
      <c r="I41" s="137">
        <v>45449</v>
      </c>
      <c r="J41" s="142">
        <v>3080</v>
      </c>
      <c r="K41" s="136">
        <f>J41-G41</f>
        <v>0</v>
      </c>
      <c r="L41" t="s" s="139">
        <v>2128</v>
      </c>
    </row>
    <row r="42" ht="27.7" customHeight="1" hidden="1">
      <c r="A42" t="s" s="130">
        <v>39</v>
      </c>
      <c r="B42" t="s" s="131">
        <v>30</v>
      </c>
      <c r="C42" t="s" s="132">
        <v>578</v>
      </c>
      <c r="D42" t="s" s="133">
        <v>579</v>
      </c>
      <c r="E42" s="134">
        <v>45400</v>
      </c>
      <c r="F42" s="144">
        <v>45464</v>
      </c>
      <c r="G42" s="136">
        <v>3080</v>
      </c>
      <c r="H42" t="s" s="131">
        <v>13</v>
      </c>
      <c r="I42" s="137">
        <v>45464</v>
      </c>
      <c r="J42" s="138">
        <v>3080</v>
      </c>
      <c r="K42" s="136">
        <f>J42-G42</f>
        <v>0</v>
      </c>
      <c r="L42" t="s" s="139">
        <v>2129</v>
      </c>
    </row>
    <row r="43" ht="27.7" customHeight="1" hidden="1">
      <c r="A43" t="s" s="130">
        <v>39</v>
      </c>
      <c r="B43" t="s" s="131">
        <v>30</v>
      </c>
      <c r="C43" t="s" s="132">
        <v>578</v>
      </c>
      <c r="D43" t="s" s="133">
        <v>579</v>
      </c>
      <c r="E43" s="134">
        <v>45400</v>
      </c>
      <c r="F43" s="144">
        <v>45479</v>
      </c>
      <c r="G43" s="136">
        <v>3080</v>
      </c>
      <c r="H43" t="s" s="131">
        <v>13</v>
      </c>
      <c r="I43" s="137">
        <v>45483</v>
      </c>
      <c r="J43" s="138">
        <v>3080</v>
      </c>
      <c r="K43" s="136">
        <f>J43-G43</f>
        <v>0</v>
      </c>
      <c r="L43" t="s" s="139">
        <v>2130</v>
      </c>
    </row>
    <row r="44" ht="27.7" customHeight="1" hidden="1">
      <c r="A44" t="s" s="130">
        <v>39</v>
      </c>
      <c r="B44" t="s" s="131">
        <v>30</v>
      </c>
      <c r="C44" t="s" s="132">
        <v>578</v>
      </c>
      <c r="D44" t="s" s="133">
        <v>579</v>
      </c>
      <c r="E44" s="134">
        <v>45400</v>
      </c>
      <c r="F44" s="144">
        <v>45494</v>
      </c>
      <c r="G44" s="136">
        <v>3080</v>
      </c>
      <c r="H44" t="s" s="131">
        <v>13</v>
      </c>
      <c r="I44" s="137">
        <v>45495</v>
      </c>
      <c r="J44" s="138">
        <v>3080</v>
      </c>
      <c r="K44" s="136">
        <f>J44-G44</f>
        <v>0</v>
      </c>
      <c r="L44" t="s" s="139">
        <v>2131</v>
      </c>
    </row>
    <row r="45" ht="27.7" customHeight="1" hidden="1">
      <c r="A45" t="s" s="130">
        <v>39</v>
      </c>
      <c r="B45" t="s" s="131">
        <v>420</v>
      </c>
      <c r="C45" t="s" s="132">
        <v>2067</v>
      </c>
      <c r="D45" t="s" s="133">
        <v>539</v>
      </c>
      <c r="E45" s="134">
        <v>45404</v>
      </c>
      <c r="F45" s="153">
        <v>45404</v>
      </c>
      <c r="G45" s="136">
        <v>4160</v>
      </c>
      <c r="H45" t="s" s="131">
        <v>13</v>
      </c>
      <c r="I45" s="137">
        <v>45407</v>
      </c>
      <c r="J45" s="138">
        <v>4160</v>
      </c>
      <c r="K45" s="136">
        <f>J45-G45</f>
        <v>0</v>
      </c>
      <c r="L45" t="s" s="139">
        <v>2132</v>
      </c>
    </row>
    <row r="46" ht="27.7" customHeight="1" hidden="1">
      <c r="A46" t="s" s="154">
        <v>1121</v>
      </c>
      <c r="B46" t="s" s="131">
        <v>488</v>
      </c>
      <c r="C46" t="s" s="155">
        <v>2133</v>
      </c>
      <c r="D46" t="s" s="133">
        <v>640</v>
      </c>
      <c r="E46" s="134">
        <v>45405</v>
      </c>
      <c r="F46" s="140">
        <v>45435</v>
      </c>
      <c r="G46" s="136">
        <v>2830.8</v>
      </c>
      <c r="H46" t="s" s="131">
        <v>13</v>
      </c>
      <c r="I46" s="144"/>
      <c r="J46" s="156"/>
      <c r="K46" s="136">
        <f>J46-G46</f>
        <v>-2830.8</v>
      </c>
      <c r="L46" t="s" s="139">
        <v>2134</v>
      </c>
    </row>
    <row r="47" ht="27.7" customHeight="1" hidden="1">
      <c r="A47" t="s" s="130">
        <v>39</v>
      </c>
      <c r="B47" t="s" s="131">
        <v>488</v>
      </c>
      <c r="C47" t="s" s="132">
        <v>1373</v>
      </c>
      <c r="D47" t="s" s="133">
        <v>117</v>
      </c>
      <c r="E47" s="134">
        <v>45405</v>
      </c>
      <c r="F47" s="135">
        <v>45435</v>
      </c>
      <c r="G47" s="136">
        <v>4854.19</v>
      </c>
      <c r="H47" t="s" s="131">
        <v>488</v>
      </c>
      <c r="I47" s="137">
        <v>45435</v>
      </c>
      <c r="J47" s="142">
        <v>4854.19</v>
      </c>
      <c r="K47" s="136">
        <f>J47-G47</f>
        <v>0</v>
      </c>
      <c r="L47" t="s" s="139">
        <v>2135</v>
      </c>
    </row>
    <row r="48" ht="27.7" customHeight="1" hidden="1">
      <c r="A48" t="s" s="130">
        <v>39</v>
      </c>
      <c r="B48" t="s" s="131">
        <v>488</v>
      </c>
      <c r="C48" t="s" s="132">
        <v>1459</v>
      </c>
      <c r="D48" t="s" s="133">
        <v>1460</v>
      </c>
      <c r="E48" s="134">
        <v>45405</v>
      </c>
      <c r="F48" s="135">
        <v>45435</v>
      </c>
      <c r="G48" s="136">
        <v>5860.2</v>
      </c>
      <c r="H48" t="s" s="131">
        <v>488</v>
      </c>
      <c r="I48" s="137">
        <v>45448</v>
      </c>
      <c r="J48" s="142">
        <v>5860.2</v>
      </c>
      <c r="K48" s="136">
        <f>J48-G48</f>
        <v>0</v>
      </c>
      <c r="L48" t="s" s="139">
        <v>2136</v>
      </c>
    </row>
    <row r="49" ht="27.7" customHeight="1" hidden="1">
      <c r="A49" t="s" s="130">
        <v>39</v>
      </c>
      <c r="B49" t="s" s="131">
        <v>488</v>
      </c>
      <c r="C49" t="s" s="132">
        <v>1811</v>
      </c>
      <c r="D49" t="s" s="133">
        <v>468</v>
      </c>
      <c r="E49" s="134">
        <v>45405</v>
      </c>
      <c r="F49" s="137">
        <v>45435</v>
      </c>
      <c r="G49" s="136">
        <v>2856.15</v>
      </c>
      <c r="H49" t="s" s="131">
        <v>488</v>
      </c>
      <c r="I49" s="137">
        <v>45435</v>
      </c>
      <c r="J49" s="142">
        <v>2856.15</v>
      </c>
      <c r="K49" s="136">
        <f>J49-G49</f>
        <v>0</v>
      </c>
      <c r="L49" t="s" s="139">
        <v>2135</v>
      </c>
    </row>
    <row r="50" ht="27.7" customHeight="1" hidden="1">
      <c r="A50" t="s" s="130">
        <v>39</v>
      </c>
      <c r="B50" t="s" s="131">
        <v>30</v>
      </c>
      <c r="C50" t="s" s="146">
        <v>1535</v>
      </c>
      <c r="D50" t="s" s="133">
        <v>1533</v>
      </c>
      <c r="E50" s="134">
        <v>45411</v>
      </c>
      <c r="F50" s="135">
        <v>45427</v>
      </c>
      <c r="G50" s="136">
        <v>245</v>
      </c>
      <c r="H50" t="s" s="131">
        <v>488</v>
      </c>
      <c r="I50" s="137">
        <v>45446</v>
      </c>
      <c r="J50" s="149">
        <v>245</v>
      </c>
      <c r="K50" s="136">
        <f>J50-G50</f>
        <v>0</v>
      </c>
      <c r="L50" t="s" s="139">
        <v>2137</v>
      </c>
    </row>
    <row r="51" ht="27.7" customHeight="1" hidden="1">
      <c r="A51" t="s" s="130">
        <v>39</v>
      </c>
      <c r="B51" t="s" s="131">
        <v>30</v>
      </c>
      <c r="C51" t="s" s="146">
        <v>1535</v>
      </c>
      <c r="D51" t="s" s="133">
        <v>1533</v>
      </c>
      <c r="E51" s="134">
        <v>45411</v>
      </c>
      <c r="F51" s="135">
        <v>45444</v>
      </c>
      <c r="G51" s="136">
        <v>4934</v>
      </c>
      <c r="H51" t="s" s="131">
        <v>488</v>
      </c>
      <c r="I51" s="137">
        <v>45446</v>
      </c>
      <c r="J51" s="149">
        <v>4934</v>
      </c>
      <c r="K51" s="136">
        <f>J51-G51</f>
        <v>0</v>
      </c>
      <c r="L51" t="s" s="139">
        <v>2138</v>
      </c>
    </row>
    <row r="52" ht="27.7" customHeight="1" hidden="1">
      <c r="A52" t="s" s="130">
        <v>39</v>
      </c>
      <c r="B52" t="s" s="131">
        <v>30</v>
      </c>
      <c r="C52" t="s" s="132">
        <v>1535</v>
      </c>
      <c r="D52" t="s" s="133">
        <v>1533</v>
      </c>
      <c r="E52" s="134">
        <v>45411</v>
      </c>
      <c r="F52" s="144">
        <v>45459</v>
      </c>
      <c r="G52" s="136">
        <v>4934</v>
      </c>
      <c r="H52" t="s" s="131">
        <v>30</v>
      </c>
      <c r="I52" s="137">
        <v>45488</v>
      </c>
      <c r="J52" s="142">
        <v>14802</v>
      </c>
      <c r="K52" s="136">
        <f>J52-G52</f>
        <v>9868</v>
      </c>
      <c r="L52" t="s" s="139">
        <v>2139</v>
      </c>
    </row>
    <row r="53" ht="27.7" customHeight="1" hidden="1">
      <c r="A53" t="s" s="130">
        <v>39</v>
      </c>
      <c r="B53" t="s" s="131">
        <v>30</v>
      </c>
      <c r="C53" t="s" s="132">
        <v>1535</v>
      </c>
      <c r="D53" t="s" s="133">
        <v>1533</v>
      </c>
      <c r="E53" s="134">
        <v>45411</v>
      </c>
      <c r="F53" s="144">
        <v>45474</v>
      </c>
      <c r="G53" s="136">
        <v>4934</v>
      </c>
      <c r="H53" t="s" s="131">
        <v>30</v>
      </c>
      <c r="I53" s="137">
        <v>45488</v>
      </c>
      <c r="J53" s="157">
        <v>9868</v>
      </c>
      <c r="K53" s="136">
        <f>J53-G53</f>
        <v>4934</v>
      </c>
      <c r="L53" t="s" s="139">
        <v>2140</v>
      </c>
    </row>
    <row r="54" ht="27.7" customHeight="1" hidden="1">
      <c r="A54" t="s" s="130">
        <v>39</v>
      </c>
      <c r="B54" t="s" s="131">
        <v>30</v>
      </c>
      <c r="C54" t="s" s="132">
        <v>1535</v>
      </c>
      <c r="D54" t="s" s="133">
        <v>1533</v>
      </c>
      <c r="E54" s="134">
        <v>45411</v>
      </c>
      <c r="F54" s="144">
        <v>45489</v>
      </c>
      <c r="G54" s="136">
        <v>4934</v>
      </c>
      <c r="H54" t="s" s="131">
        <v>30</v>
      </c>
      <c r="I54" s="137">
        <v>45488</v>
      </c>
      <c r="J54" s="157">
        <v>4934</v>
      </c>
      <c r="K54" s="136">
        <f>J54-G54</f>
        <v>0</v>
      </c>
      <c r="L54" t="s" s="139">
        <v>2141</v>
      </c>
    </row>
    <row r="55" ht="27.7" customHeight="1" hidden="1">
      <c r="A55" t="s" s="130">
        <v>39</v>
      </c>
      <c r="B55" t="s" s="131">
        <v>29</v>
      </c>
      <c r="C55" t="s" s="132">
        <v>2106</v>
      </c>
      <c r="D55" t="s" s="133">
        <v>117</v>
      </c>
      <c r="E55" s="134">
        <v>45415</v>
      </c>
      <c r="F55" s="144">
        <v>45452</v>
      </c>
      <c r="G55" s="136">
        <v>2299.66</v>
      </c>
      <c r="H55" t="s" s="131">
        <v>30</v>
      </c>
      <c r="I55" s="137">
        <v>45456</v>
      </c>
      <c r="J55" s="149">
        <v>2299.66</v>
      </c>
      <c r="K55" s="136">
        <f>J55-G55</f>
        <v>0</v>
      </c>
      <c r="L55" t="s" s="139">
        <v>2142</v>
      </c>
    </row>
    <row r="56" ht="27.7" customHeight="1" hidden="1">
      <c r="A56" t="s" s="130">
        <v>39</v>
      </c>
      <c r="B56" t="s" s="131">
        <v>29</v>
      </c>
      <c r="C56" t="s" s="132">
        <v>2106</v>
      </c>
      <c r="D56" t="s" s="133">
        <v>117</v>
      </c>
      <c r="E56" s="134">
        <v>45415</v>
      </c>
      <c r="F56" s="144">
        <v>45467</v>
      </c>
      <c r="G56" s="136">
        <v>2292</v>
      </c>
      <c r="H56" t="s" s="131">
        <v>29</v>
      </c>
      <c r="I56" s="137">
        <v>45471</v>
      </c>
      <c r="J56" s="142">
        <v>2292</v>
      </c>
      <c r="K56" s="136">
        <f>J56-G56</f>
        <v>0</v>
      </c>
      <c r="L56" t="s" s="139">
        <v>2143</v>
      </c>
    </row>
    <row r="57" ht="27.7" customHeight="1" hidden="1">
      <c r="A57" t="s" s="130">
        <v>39</v>
      </c>
      <c r="B57" t="s" s="131">
        <v>29</v>
      </c>
      <c r="C57" t="s" s="132">
        <v>2106</v>
      </c>
      <c r="D57" t="s" s="133">
        <v>117</v>
      </c>
      <c r="E57" s="134">
        <v>45415</v>
      </c>
      <c r="F57" s="135">
        <v>45482</v>
      </c>
      <c r="G57" s="136">
        <v>2292</v>
      </c>
      <c r="H57" t="s" s="131">
        <v>33</v>
      </c>
      <c r="I57" s="137">
        <v>45505</v>
      </c>
      <c r="J57" s="149">
        <v>2292</v>
      </c>
      <c r="K57" s="136">
        <f>J57-G57</f>
        <v>0</v>
      </c>
      <c r="L57" t="s" s="139">
        <v>2144</v>
      </c>
    </row>
    <row r="58" ht="27.7" customHeight="1" hidden="1">
      <c r="A58" t="s" s="130">
        <v>96</v>
      </c>
      <c r="B58" t="s" s="131">
        <v>420</v>
      </c>
      <c r="C58" t="s" s="132">
        <v>2067</v>
      </c>
      <c r="D58" t="s" s="133">
        <v>539</v>
      </c>
      <c r="E58" s="134">
        <v>45419</v>
      </c>
      <c r="F58" s="153">
        <v>45419</v>
      </c>
      <c r="G58" s="136">
        <v>4160</v>
      </c>
      <c r="H58" t="s" s="131">
        <v>420</v>
      </c>
      <c r="I58" s="137"/>
      <c r="J58" s="142">
        <v>4160</v>
      </c>
      <c r="K58" s="136">
        <f>J58-G58</f>
        <v>0</v>
      </c>
      <c r="L58" t="s" s="139">
        <v>2145</v>
      </c>
    </row>
    <row r="59" ht="27.7" customHeight="1" hidden="1">
      <c r="A59" t="s" s="130">
        <v>39</v>
      </c>
      <c r="B59" t="s" s="131">
        <v>97</v>
      </c>
      <c r="C59" t="s" s="132">
        <v>122</v>
      </c>
      <c r="D59" t="s" s="133">
        <v>15</v>
      </c>
      <c r="E59" s="134">
        <v>45420</v>
      </c>
      <c r="F59" s="144">
        <v>45457</v>
      </c>
      <c r="G59" s="136">
        <v>8856.200000000001</v>
      </c>
      <c r="H59" t="s" s="131">
        <v>97</v>
      </c>
      <c r="I59" s="137">
        <v>45464</v>
      </c>
      <c r="J59" s="142">
        <v>8856.200000000001</v>
      </c>
      <c r="K59" s="136">
        <f>J59-G59</f>
        <v>0</v>
      </c>
      <c r="L59" t="s" s="139">
        <v>2146</v>
      </c>
    </row>
    <row r="60" ht="27.7" customHeight="1" hidden="1">
      <c r="A60" t="s" s="130">
        <v>39</v>
      </c>
      <c r="B60" t="s" s="131">
        <v>97</v>
      </c>
      <c r="C60" t="s" s="132">
        <v>122</v>
      </c>
      <c r="D60" t="s" s="133">
        <v>15</v>
      </c>
      <c r="E60" s="134">
        <v>45420</v>
      </c>
      <c r="F60" s="144">
        <v>45487</v>
      </c>
      <c r="G60" s="136">
        <v>8856</v>
      </c>
      <c r="H60" t="s" s="131">
        <v>97</v>
      </c>
      <c r="I60" s="137">
        <v>45489</v>
      </c>
      <c r="J60" s="142">
        <v>8856.200000000001</v>
      </c>
      <c r="K60" s="136">
        <f>J60-G60</f>
        <v>0.2</v>
      </c>
      <c r="L60" t="s" s="139">
        <v>2147</v>
      </c>
    </row>
    <row r="61" ht="27.7" customHeight="1" hidden="1">
      <c r="A61" t="s" s="130">
        <v>39</v>
      </c>
      <c r="B61" t="s" s="131">
        <v>97</v>
      </c>
      <c r="C61" t="s" s="132">
        <v>122</v>
      </c>
      <c r="D61" t="s" s="133">
        <v>15</v>
      </c>
      <c r="E61" s="134">
        <v>45420</v>
      </c>
      <c r="F61" s="144">
        <v>45517</v>
      </c>
      <c r="G61" s="136">
        <v>8856</v>
      </c>
      <c r="H61" t="s" s="131">
        <v>97</v>
      </c>
      <c r="I61" s="137">
        <v>45520</v>
      </c>
      <c r="J61" s="142">
        <v>8856</v>
      </c>
      <c r="K61" s="136">
        <f>J61-G61</f>
        <v>0</v>
      </c>
      <c r="L61" t="s" s="139">
        <v>2148</v>
      </c>
    </row>
    <row r="62" ht="27.7" customHeight="1" hidden="1">
      <c r="A62" t="s" s="130">
        <v>39</v>
      </c>
      <c r="B62" t="s" s="131">
        <v>68</v>
      </c>
      <c r="C62" t="s" s="132">
        <v>1851</v>
      </c>
      <c r="D62" t="s" s="133">
        <v>683</v>
      </c>
      <c r="E62" s="134">
        <v>45425</v>
      </c>
      <c r="F62" s="137">
        <v>45460</v>
      </c>
      <c r="G62" s="136">
        <v>3043.6</v>
      </c>
      <c r="H62" t="s" s="131">
        <v>68</v>
      </c>
      <c r="I62" s="137">
        <v>45457</v>
      </c>
      <c r="J62" s="142">
        <v>3043.6</v>
      </c>
      <c r="K62" s="136">
        <f>J62-G62</f>
        <v>0</v>
      </c>
      <c r="L62" t="s" s="139">
        <v>2149</v>
      </c>
    </row>
    <row r="63" ht="27.7" customHeight="1" hidden="1">
      <c r="A63" t="s" s="130">
        <v>39</v>
      </c>
      <c r="B63" t="s" s="131">
        <v>68</v>
      </c>
      <c r="C63" t="s" s="132">
        <v>2028</v>
      </c>
      <c r="D63" t="s" s="133">
        <v>117</v>
      </c>
      <c r="E63" s="134">
        <v>45425</v>
      </c>
      <c r="F63" s="144">
        <v>45475</v>
      </c>
      <c r="G63" s="136">
        <v>9701.200000000001</v>
      </c>
      <c r="H63" t="s" s="131">
        <v>40</v>
      </c>
      <c r="I63" s="137">
        <v>45475</v>
      </c>
      <c r="J63" s="149">
        <v>9701.200000000001</v>
      </c>
      <c r="K63" s="136">
        <f>J63-G63</f>
        <v>0</v>
      </c>
      <c r="L63" t="s" s="139">
        <v>2047</v>
      </c>
    </row>
    <row r="64" ht="27.7" customHeight="1" hidden="1">
      <c r="A64" t="s" s="130">
        <v>39</v>
      </c>
      <c r="B64" t="s" s="131">
        <v>68</v>
      </c>
      <c r="C64" t="s" s="132">
        <v>1851</v>
      </c>
      <c r="D64" t="s" s="133">
        <v>683</v>
      </c>
      <c r="E64" s="134">
        <v>45425</v>
      </c>
      <c r="F64" s="144">
        <v>45475</v>
      </c>
      <c r="G64" s="136">
        <v>6084</v>
      </c>
      <c r="H64" t="s" s="131">
        <v>2150</v>
      </c>
      <c r="I64" s="144"/>
      <c r="J64" s="145"/>
      <c r="K64" s="136"/>
      <c r="L64" t="s" s="139">
        <v>2151</v>
      </c>
    </row>
    <row r="65" ht="27.7" customHeight="1" hidden="1">
      <c r="A65" t="s" s="130">
        <v>39</v>
      </c>
      <c r="B65" t="s" s="131">
        <v>21</v>
      </c>
      <c r="C65" t="s" s="132">
        <v>1178</v>
      </c>
      <c r="D65" t="s" s="133">
        <v>117</v>
      </c>
      <c r="E65" s="134">
        <v>45429</v>
      </c>
      <c r="F65" s="144">
        <v>45437</v>
      </c>
      <c r="G65" s="136">
        <v>380</v>
      </c>
      <c r="H65" t="s" s="131">
        <v>21</v>
      </c>
      <c r="I65" s="137">
        <v>45447</v>
      </c>
      <c r="J65" s="142">
        <v>380</v>
      </c>
      <c r="K65" s="136">
        <f>J65-G65</f>
        <v>0</v>
      </c>
      <c r="L65" t="s" s="139">
        <v>2152</v>
      </c>
    </row>
    <row r="66" ht="27.7" customHeight="1" hidden="1">
      <c r="A66" t="s" s="130">
        <v>39</v>
      </c>
      <c r="B66" t="s" s="131">
        <v>21</v>
      </c>
      <c r="C66" t="s" s="132">
        <v>1641</v>
      </c>
      <c r="D66" t="s" s="133">
        <v>72</v>
      </c>
      <c r="E66" s="134">
        <v>45429</v>
      </c>
      <c r="F66" s="144">
        <v>45437</v>
      </c>
      <c r="G66" s="136">
        <v>450</v>
      </c>
      <c r="H66" t="s" s="131">
        <v>21</v>
      </c>
      <c r="I66" s="137">
        <v>45440</v>
      </c>
      <c r="J66" s="142">
        <v>450</v>
      </c>
      <c r="K66" s="136">
        <f>J66-G66</f>
        <v>0</v>
      </c>
      <c r="L66" t="s" s="139">
        <v>2152</v>
      </c>
    </row>
    <row r="67" ht="27.7" customHeight="1" hidden="1">
      <c r="A67" t="s" s="130">
        <v>39</v>
      </c>
      <c r="B67" t="s" s="131">
        <v>21</v>
      </c>
      <c r="C67" t="s" s="132">
        <v>1535</v>
      </c>
      <c r="D67" t="s" s="133">
        <v>1533</v>
      </c>
      <c r="E67" s="134">
        <v>45429</v>
      </c>
      <c r="F67" s="135">
        <v>45444</v>
      </c>
      <c r="G67" s="136">
        <v>910</v>
      </c>
      <c r="H67" t="s" s="131">
        <v>21</v>
      </c>
      <c r="I67" s="137">
        <v>45447</v>
      </c>
      <c r="J67" s="142">
        <v>910</v>
      </c>
      <c r="K67" s="136">
        <f>J67-G67</f>
        <v>0</v>
      </c>
      <c r="L67" t="s" s="139">
        <v>2153</v>
      </c>
    </row>
    <row r="68" ht="27.7" customHeight="1" hidden="1">
      <c r="A68" t="s" s="130">
        <v>39</v>
      </c>
      <c r="B68" t="s" s="131">
        <v>21</v>
      </c>
      <c r="C68" t="s" s="132">
        <v>1178</v>
      </c>
      <c r="D68" t="s" s="133">
        <v>117</v>
      </c>
      <c r="E68" s="134">
        <v>45429</v>
      </c>
      <c r="F68" s="144">
        <v>45465</v>
      </c>
      <c r="G68" s="136">
        <v>5340</v>
      </c>
      <c r="H68" t="s" s="131">
        <v>36</v>
      </c>
      <c r="I68" s="137">
        <v>45471</v>
      </c>
      <c r="J68" s="149">
        <v>5340</v>
      </c>
      <c r="K68" s="136">
        <f>J68-G68</f>
        <v>0</v>
      </c>
      <c r="L68" t="s" s="139">
        <v>2154</v>
      </c>
    </row>
    <row r="69" ht="27.7" customHeight="1" hidden="1">
      <c r="A69" t="s" s="130">
        <v>39</v>
      </c>
      <c r="B69" t="s" s="131">
        <v>21</v>
      </c>
      <c r="C69" t="s" s="132">
        <v>1535</v>
      </c>
      <c r="D69" t="s" s="133">
        <v>1533</v>
      </c>
      <c r="E69" s="134">
        <v>45429</v>
      </c>
      <c r="F69" s="144">
        <v>45465</v>
      </c>
      <c r="G69" s="136">
        <v>9502</v>
      </c>
      <c r="H69" t="s" s="131">
        <v>36</v>
      </c>
      <c r="I69" s="137">
        <v>45472</v>
      </c>
      <c r="J69" s="149">
        <v>9502</v>
      </c>
      <c r="K69" s="136">
        <f>J69-G69</f>
        <v>0</v>
      </c>
      <c r="L69" t="s" s="139">
        <v>2155</v>
      </c>
    </row>
    <row r="70" ht="27.7" customHeight="1" hidden="1">
      <c r="A70" t="s" s="130">
        <v>39</v>
      </c>
      <c r="B70" t="s" s="131">
        <v>21</v>
      </c>
      <c r="C70" t="s" s="132">
        <v>1641</v>
      </c>
      <c r="D70" t="s" s="133">
        <v>72</v>
      </c>
      <c r="E70" s="134">
        <v>45429</v>
      </c>
      <c r="F70" s="144">
        <v>45465</v>
      </c>
      <c r="G70" s="136">
        <v>2895.87</v>
      </c>
      <c r="H70" t="s" s="131">
        <v>36</v>
      </c>
      <c r="I70" s="137">
        <v>45473</v>
      </c>
      <c r="J70" s="149">
        <v>2895.87</v>
      </c>
      <c r="K70" s="136">
        <f>J70-G70</f>
        <v>0</v>
      </c>
      <c r="L70" t="s" s="139">
        <v>2156</v>
      </c>
    </row>
    <row r="71" ht="27.7" customHeight="1" hidden="1">
      <c r="A71" t="s" s="130">
        <v>39</v>
      </c>
      <c r="B71" t="s" s="131">
        <v>21</v>
      </c>
      <c r="C71" t="s" s="132">
        <v>1641</v>
      </c>
      <c r="D71" t="s" s="133">
        <v>72</v>
      </c>
      <c r="E71" s="134">
        <v>45429</v>
      </c>
      <c r="F71" s="135">
        <v>45480</v>
      </c>
      <c r="G71" s="136">
        <v>2894</v>
      </c>
      <c r="H71" t="s" s="131">
        <v>21</v>
      </c>
      <c r="I71" s="137">
        <v>45496</v>
      </c>
      <c r="J71" s="142">
        <v>5788</v>
      </c>
      <c r="K71" s="136">
        <f>J71-G71</f>
        <v>2894</v>
      </c>
      <c r="L71" t="s" s="139">
        <v>2157</v>
      </c>
    </row>
    <row r="72" ht="27.7" customHeight="1" hidden="1">
      <c r="A72" t="s" s="130">
        <v>39</v>
      </c>
      <c r="B72" t="s" s="131">
        <v>21</v>
      </c>
      <c r="C72" t="s" s="132">
        <v>1535</v>
      </c>
      <c r="D72" t="s" s="133">
        <v>1533</v>
      </c>
      <c r="E72" s="134">
        <v>45429</v>
      </c>
      <c r="F72" s="135">
        <v>45495</v>
      </c>
      <c r="G72" s="136">
        <v>9502</v>
      </c>
      <c r="H72" t="s" s="131">
        <v>21</v>
      </c>
      <c r="I72" s="137">
        <v>45496</v>
      </c>
      <c r="J72" s="142">
        <v>9502</v>
      </c>
      <c r="K72" s="136">
        <f>J72-G72</f>
        <v>0</v>
      </c>
      <c r="L72" t="s" s="139">
        <v>2158</v>
      </c>
    </row>
    <row r="73" ht="27.7" customHeight="1" hidden="1">
      <c r="A73" t="s" s="130">
        <v>39</v>
      </c>
      <c r="B73" t="s" s="131">
        <v>21</v>
      </c>
      <c r="C73" t="s" s="132">
        <v>1641</v>
      </c>
      <c r="D73" t="s" s="133">
        <v>72</v>
      </c>
      <c r="E73" s="134">
        <v>45429</v>
      </c>
      <c r="F73" s="135">
        <v>45495</v>
      </c>
      <c r="G73" s="136">
        <v>2894</v>
      </c>
      <c r="H73" t="s" s="131">
        <v>21</v>
      </c>
      <c r="I73" s="137">
        <v>45496</v>
      </c>
      <c r="J73" s="157">
        <v>2894</v>
      </c>
      <c r="K73" s="136">
        <f>J73-G73</f>
        <v>0</v>
      </c>
      <c r="L73" t="s" s="139">
        <v>2159</v>
      </c>
    </row>
    <row r="74" ht="27.7" customHeight="1" hidden="1">
      <c r="A74" t="s" s="130">
        <v>39</v>
      </c>
      <c r="B74" t="s" s="131">
        <v>21</v>
      </c>
      <c r="C74" t="s" s="132">
        <v>1641</v>
      </c>
      <c r="D74" t="s" s="133">
        <v>72</v>
      </c>
      <c r="E74" s="134">
        <v>45429</v>
      </c>
      <c r="F74" s="144">
        <v>45510</v>
      </c>
      <c r="G74" s="136">
        <v>2894</v>
      </c>
      <c r="H74" t="s" s="131">
        <v>21</v>
      </c>
      <c r="I74" s="137">
        <v>45498</v>
      </c>
      <c r="J74" s="142">
        <v>2895</v>
      </c>
      <c r="K74" s="136">
        <f>J74-G74</f>
        <v>1</v>
      </c>
      <c r="L74" t="s" s="139">
        <v>2160</v>
      </c>
    </row>
    <row r="75" ht="27.7" customHeight="1" hidden="1">
      <c r="A75" t="s" s="130">
        <v>39</v>
      </c>
      <c r="B75" t="s" s="387">
        <v>21</v>
      </c>
      <c r="C75" t="s" s="628">
        <v>1535</v>
      </c>
      <c r="D75" t="s" s="629">
        <v>1533</v>
      </c>
      <c r="E75" s="376">
        <v>45429</v>
      </c>
      <c r="F75" s="144">
        <v>45525</v>
      </c>
      <c r="G75" s="136">
        <v>9501.370000000001</v>
      </c>
      <c r="H75" t="s" s="131">
        <v>97</v>
      </c>
      <c r="I75" s="137">
        <v>45524</v>
      </c>
      <c r="J75" s="149">
        <v>9501.370000000001</v>
      </c>
      <c r="K75" s="136">
        <f>J75-G75</f>
        <v>0</v>
      </c>
      <c r="L75" t="s" s="139">
        <v>2148</v>
      </c>
    </row>
    <row r="76" ht="27.7" customHeight="1" hidden="1">
      <c r="A76" t="s" s="130">
        <v>39</v>
      </c>
      <c r="B76" t="s" s="131">
        <v>21</v>
      </c>
      <c r="C76" t="s" s="132">
        <v>1641</v>
      </c>
      <c r="D76" t="s" s="133">
        <v>72</v>
      </c>
      <c r="E76" s="134">
        <v>45429</v>
      </c>
      <c r="F76" s="144">
        <v>45525</v>
      </c>
      <c r="G76" s="136">
        <v>2894</v>
      </c>
      <c r="H76" t="s" s="131">
        <v>13</v>
      </c>
      <c r="I76" s="137">
        <v>45530</v>
      </c>
      <c r="J76" s="138">
        <v>2894</v>
      </c>
      <c r="K76" s="136">
        <f>J76-G76</f>
        <v>0</v>
      </c>
      <c r="L76" t="s" s="139">
        <v>2131</v>
      </c>
    </row>
    <row r="77" ht="27.7" customHeight="1" hidden="1">
      <c r="A77" t="s" s="130">
        <v>517</v>
      </c>
      <c r="B77" t="s" s="131">
        <v>420</v>
      </c>
      <c r="C77" t="s" s="143">
        <v>2067</v>
      </c>
      <c r="D77" t="s" s="133">
        <v>539</v>
      </c>
      <c r="E77" s="134">
        <v>45434</v>
      </c>
      <c r="F77" s="144">
        <v>45434</v>
      </c>
      <c r="G77" s="136">
        <v>4160</v>
      </c>
      <c r="H77" s="158"/>
      <c r="I77" s="144"/>
      <c r="J77" s="145"/>
      <c r="K77" s="136"/>
      <c r="L77" t="s" s="139">
        <v>2161</v>
      </c>
    </row>
    <row r="78" ht="27.7" customHeight="1" hidden="1">
      <c r="A78" t="s" s="130">
        <v>39</v>
      </c>
      <c r="B78" t="s" s="131">
        <v>97</v>
      </c>
      <c r="C78" t="s" s="132">
        <v>2028</v>
      </c>
      <c r="D78" t="s" s="133">
        <v>117</v>
      </c>
      <c r="E78" s="134">
        <v>45449</v>
      </c>
      <c r="F78" s="144">
        <v>45463</v>
      </c>
      <c r="G78" s="136">
        <v>5691.12</v>
      </c>
      <c r="H78" t="s" s="131">
        <v>40</v>
      </c>
      <c r="I78" s="137">
        <v>45462</v>
      </c>
      <c r="J78" s="142">
        <v>5691.12</v>
      </c>
      <c r="K78" s="136">
        <f>J78-G78</f>
        <v>0</v>
      </c>
      <c r="L78" t="s" s="139">
        <v>2162</v>
      </c>
    </row>
    <row r="79" ht="27.7" customHeight="1" hidden="1">
      <c r="A79" t="s" s="130">
        <v>39</v>
      </c>
      <c r="B79" t="s" s="131">
        <v>40</v>
      </c>
      <c r="C79" t="s" s="132">
        <v>1523</v>
      </c>
      <c r="D79" t="s" s="133">
        <v>1500</v>
      </c>
      <c r="E79" s="134">
        <v>45449</v>
      </c>
      <c r="F79" s="144">
        <v>45484</v>
      </c>
      <c r="G79" s="136">
        <v>2438.27</v>
      </c>
      <c r="H79" t="s" s="131">
        <v>40</v>
      </c>
      <c r="I79" s="137">
        <v>45484</v>
      </c>
      <c r="J79" s="142">
        <v>2350</v>
      </c>
      <c r="K79" s="136">
        <f>J79-G79</f>
        <v>-88.27</v>
      </c>
      <c r="L79" t="s" s="139">
        <v>2163</v>
      </c>
    </row>
    <row r="80" ht="27.7" customHeight="1" hidden="1">
      <c r="A80" t="s" s="130">
        <v>39</v>
      </c>
      <c r="B80" t="s" s="131">
        <v>40</v>
      </c>
      <c r="C80" t="s" s="132">
        <v>1523</v>
      </c>
      <c r="D80" t="s" s="133">
        <v>1500</v>
      </c>
      <c r="E80" s="134">
        <v>45449</v>
      </c>
      <c r="F80" s="144">
        <v>45514</v>
      </c>
      <c r="G80" s="136">
        <v>2380</v>
      </c>
      <c r="H80" t="s" s="131">
        <v>13</v>
      </c>
      <c r="I80" s="137">
        <v>45516</v>
      </c>
      <c r="J80" s="138">
        <v>2500</v>
      </c>
      <c r="K80" s="136">
        <f>J80-G80</f>
        <v>120</v>
      </c>
      <c r="L80" t="s" s="139">
        <v>2164</v>
      </c>
    </row>
    <row r="81" ht="27.7" customHeight="1" hidden="1">
      <c r="A81" t="s" s="130">
        <v>39</v>
      </c>
      <c r="B81" t="s" s="131">
        <v>40</v>
      </c>
      <c r="C81" t="s" s="132">
        <v>1523</v>
      </c>
      <c r="D81" t="s" s="133">
        <v>1500</v>
      </c>
      <c r="E81" s="134">
        <v>45449</v>
      </c>
      <c r="F81" s="144">
        <v>45544</v>
      </c>
      <c r="G81" s="136">
        <v>2380</v>
      </c>
      <c r="H81" t="s" s="131">
        <v>13</v>
      </c>
      <c r="I81" s="137">
        <v>45544</v>
      </c>
      <c r="J81" s="138">
        <v>2350</v>
      </c>
      <c r="K81" s="136">
        <f>J81-G81</f>
        <v>-30</v>
      </c>
      <c r="L81" t="s" s="139">
        <v>2165</v>
      </c>
    </row>
    <row r="82" ht="27.7" customHeight="1" hidden="1">
      <c r="A82" t="s" s="130">
        <v>517</v>
      </c>
      <c r="B82" t="s" s="131">
        <v>420</v>
      </c>
      <c r="C82" t="s" s="143">
        <v>2067</v>
      </c>
      <c r="D82" t="s" s="133">
        <v>539</v>
      </c>
      <c r="E82" s="134">
        <v>45450</v>
      </c>
      <c r="F82" s="144">
        <v>45450</v>
      </c>
      <c r="G82" s="136">
        <v>4160</v>
      </c>
      <c r="H82" s="158"/>
      <c r="I82" s="144"/>
      <c r="J82" s="145"/>
      <c r="K82" s="136"/>
      <c r="L82" t="s" s="139">
        <v>2166</v>
      </c>
    </row>
    <row r="83" ht="27.7" customHeight="1" hidden="1">
      <c r="A83" t="s" s="130">
        <v>39</v>
      </c>
      <c r="B83" t="s" s="131">
        <v>79</v>
      </c>
      <c r="C83" t="s" s="132">
        <v>976</v>
      </c>
      <c r="D83" t="s" s="133">
        <v>15</v>
      </c>
      <c r="E83" s="134">
        <v>45457</v>
      </c>
      <c r="F83" s="135">
        <v>45524</v>
      </c>
      <c r="G83" s="136">
        <v>4367</v>
      </c>
      <c r="H83" t="s" s="131">
        <v>13</v>
      </c>
      <c r="I83" s="137">
        <v>45531</v>
      </c>
      <c r="J83" s="138">
        <v>4367</v>
      </c>
      <c r="K83" s="136">
        <f>J83-G83</f>
        <v>0</v>
      </c>
      <c r="L83" t="s" s="139">
        <v>2167</v>
      </c>
    </row>
    <row r="84" ht="27.7" customHeight="1" hidden="1">
      <c r="A84" t="s" s="130">
        <v>517</v>
      </c>
      <c r="B84" t="s" s="131">
        <v>420</v>
      </c>
      <c r="C84" t="s" s="143">
        <v>2067</v>
      </c>
      <c r="D84" t="s" s="133">
        <v>539</v>
      </c>
      <c r="E84" s="134">
        <v>45465</v>
      </c>
      <c r="F84" s="144">
        <v>45465</v>
      </c>
      <c r="G84" s="136">
        <v>4160</v>
      </c>
      <c r="H84" s="158"/>
      <c r="I84" s="144"/>
      <c r="J84" s="145"/>
      <c r="K84" s="136"/>
      <c r="L84" t="s" s="139">
        <v>2168</v>
      </c>
    </row>
    <row r="85" ht="27.7" customHeight="1" hidden="1">
      <c r="A85" t="s" s="130">
        <v>39</v>
      </c>
      <c r="B85" t="s" s="131">
        <v>79</v>
      </c>
      <c r="C85" t="s" s="132">
        <v>2106</v>
      </c>
      <c r="D85" t="s" s="133">
        <v>117</v>
      </c>
      <c r="E85" s="134">
        <v>45476</v>
      </c>
      <c r="F85" s="135">
        <v>45493</v>
      </c>
      <c r="G85" s="136">
        <v>10401.6</v>
      </c>
      <c r="H85" t="s" s="131">
        <v>13</v>
      </c>
      <c r="I85" s="137">
        <v>45496</v>
      </c>
      <c r="J85" s="138">
        <v>10401.6</v>
      </c>
      <c r="K85" s="136">
        <f>J85-G85</f>
        <v>0</v>
      </c>
      <c r="L85" t="s" s="139">
        <v>2170</v>
      </c>
    </row>
    <row r="86" ht="27.7" customHeight="1" hidden="1">
      <c r="A86" t="s" s="130">
        <v>39</v>
      </c>
      <c r="B86" t="s" s="131">
        <v>29</v>
      </c>
      <c r="C86" t="s" s="132">
        <v>1511</v>
      </c>
      <c r="D86" t="s" s="133">
        <v>206</v>
      </c>
      <c r="E86" s="134">
        <v>45478</v>
      </c>
      <c r="F86" s="135">
        <v>45502</v>
      </c>
      <c r="G86" s="136">
        <v>1372.25</v>
      </c>
      <c r="H86" t="s" s="131">
        <v>29</v>
      </c>
      <c r="I86" s="137">
        <v>45506</v>
      </c>
      <c r="J86" s="142">
        <v>1372.25</v>
      </c>
      <c r="K86" s="136">
        <f>J86-G86</f>
        <v>0</v>
      </c>
      <c r="L86" t="s" s="139">
        <v>2171</v>
      </c>
    </row>
    <row r="87" ht="27.7" customHeight="1" hidden="1">
      <c r="A87" t="s" s="130">
        <v>39</v>
      </c>
      <c r="B87" t="s" s="131">
        <v>29</v>
      </c>
      <c r="C87" t="s" s="132">
        <v>1511</v>
      </c>
      <c r="D87" t="s" s="133">
        <v>206</v>
      </c>
      <c r="E87" s="134">
        <v>45478</v>
      </c>
      <c r="F87" s="135">
        <v>45512</v>
      </c>
      <c r="G87" s="136">
        <v>1372.25</v>
      </c>
      <c r="H87" t="s" s="131">
        <v>29</v>
      </c>
      <c r="I87" s="137">
        <v>45510</v>
      </c>
      <c r="J87" s="142">
        <v>1372.25</v>
      </c>
      <c r="K87" s="136">
        <f>J87-G87</f>
        <v>0</v>
      </c>
      <c r="L87" t="s" s="139">
        <v>2172</v>
      </c>
    </row>
    <row r="88" ht="27.7" customHeight="1" hidden="1">
      <c r="A88" t="s" s="130">
        <v>39</v>
      </c>
      <c r="B88" t="s" s="131">
        <v>29</v>
      </c>
      <c r="C88" t="s" s="132">
        <v>1511</v>
      </c>
      <c r="D88" t="s" s="133">
        <v>206</v>
      </c>
      <c r="E88" s="134">
        <v>45478</v>
      </c>
      <c r="F88" s="135">
        <v>45522</v>
      </c>
      <c r="G88" s="136">
        <v>1372.25</v>
      </c>
      <c r="H88" t="s" s="131">
        <v>13</v>
      </c>
      <c r="I88" s="137">
        <v>45526</v>
      </c>
      <c r="J88" s="138">
        <v>1372.25</v>
      </c>
      <c r="K88" s="136">
        <f>J88-G88</f>
        <v>0</v>
      </c>
      <c r="L88" t="s" s="139">
        <v>2173</v>
      </c>
    </row>
    <row r="89" ht="27.7" customHeight="1" hidden="1">
      <c r="A89" t="s" s="130">
        <v>39</v>
      </c>
      <c r="B89" t="s" s="131">
        <v>29</v>
      </c>
      <c r="C89" t="s" s="132">
        <v>1511</v>
      </c>
      <c r="D89" t="s" s="133">
        <v>206</v>
      </c>
      <c r="E89" s="134">
        <v>45478</v>
      </c>
      <c r="F89" s="135">
        <v>45532</v>
      </c>
      <c r="G89" s="136">
        <v>1372.25</v>
      </c>
      <c r="H89" t="s" s="131">
        <v>29</v>
      </c>
      <c r="I89" s="137">
        <v>45537</v>
      </c>
      <c r="J89" s="142">
        <v>1372.25</v>
      </c>
      <c r="K89" s="136">
        <f>J89-G89</f>
        <v>0</v>
      </c>
      <c r="L89" t="s" s="139">
        <v>2174</v>
      </c>
    </row>
    <row r="90" ht="27.7" customHeight="1" hidden="1">
      <c r="A90" t="s" s="130">
        <v>39</v>
      </c>
      <c r="B90" t="s" s="131">
        <v>30</v>
      </c>
      <c r="C90" t="s" s="132">
        <v>1050</v>
      </c>
      <c r="D90" t="s" s="133">
        <v>390</v>
      </c>
      <c r="E90" s="134">
        <v>45484</v>
      </c>
      <c r="F90" s="144">
        <v>45519</v>
      </c>
      <c r="G90" s="136">
        <v>2510</v>
      </c>
      <c r="H90" t="s" s="131">
        <v>13</v>
      </c>
      <c r="I90" s="137">
        <v>45519</v>
      </c>
      <c r="J90" s="138">
        <v>2510.01</v>
      </c>
      <c r="K90" s="136">
        <f>J90-G90</f>
        <v>0.01</v>
      </c>
      <c r="L90" t="s" s="139">
        <v>2176</v>
      </c>
    </row>
    <row r="91" ht="27.7" customHeight="1" hidden="1">
      <c r="A91" t="s" s="130">
        <v>39</v>
      </c>
      <c r="B91" t="s" s="131">
        <v>30</v>
      </c>
      <c r="C91" t="s" s="630">
        <v>122</v>
      </c>
      <c r="D91" t="s" s="629">
        <v>15</v>
      </c>
      <c r="E91" s="631">
        <v>45484</v>
      </c>
      <c r="F91" s="632">
        <v>45543</v>
      </c>
      <c r="G91" s="633">
        <v>1900</v>
      </c>
      <c r="H91" t="s" s="131">
        <v>13</v>
      </c>
      <c r="I91" s="137">
        <v>45546</v>
      </c>
      <c r="J91" s="138">
        <v>1900</v>
      </c>
      <c r="K91" s="136">
        <f>J91-G91</f>
        <v>0</v>
      </c>
      <c r="L91" t="s" s="139">
        <v>2100</v>
      </c>
    </row>
    <row r="92" ht="27.7" customHeight="1" hidden="1">
      <c r="A92" t="s" s="130">
        <v>39</v>
      </c>
      <c r="B92" t="s" s="131">
        <v>30</v>
      </c>
      <c r="C92" t="s" s="630">
        <v>122</v>
      </c>
      <c r="D92" t="s" s="629">
        <v>15</v>
      </c>
      <c r="E92" s="631">
        <v>45484</v>
      </c>
      <c r="F92" s="632">
        <v>45573</v>
      </c>
      <c r="G92" s="633">
        <v>1900</v>
      </c>
      <c r="H92" t="s" s="131">
        <v>13</v>
      </c>
      <c r="I92" s="137">
        <v>45575</v>
      </c>
      <c r="J92" s="138">
        <v>1900</v>
      </c>
      <c r="K92" s="136">
        <f>J92-G92</f>
        <v>0</v>
      </c>
      <c r="L92" t="s" s="139">
        <v>2101</v>
      </c>
    </row>
    <row r="93" ht="27.7" customHeight="1" hidden="1">
      <c r="A93" t="s" s="130">
        <v>39</v>
      </c>
      <c r="B93" t="s" s="131">
        <v>30</v>
      </c>
      <c r="C93" t="s" s="630">
        <v>122</v>
      </c>
      <c r="D93" t="s" s="629">
        <v>15</v>
      </c>
      <c r="E93" s="631">
        <v>45484</v>
      </c>
      <c r="F93" s="632">
        <v>45603</v>
      </c>
      <c r="G93" s="633">
        <v>1900</v>
      </c>
      <c r="H93" t="s" s="131">
        <v>13</v>
      </c>
      <c r="I93" s="137">
        <v>45602</v>
      </c>
      <c r="J93" s="138">
        <v>1900</v>
      </c>
      <c r="K93" s="136">
        <f>J93-G93</f>
        <v>0</v>
      </c>
      <c r="L93" t="s" s="139">
        <v>2102</v>
      </c>
    </row>
    <row r="94" ht="27.7" customHeight="1" hidden="1">
      <c r="A94" t="s" s="130">
        <v>39</v>
      </c>
      <c r="B94" t="s" s="131">
        <v>97</v>
      </c>
      <c r="C94" t="s" s="630">
        <v>1178</v>
      </c>
      <c r="D94" t="s" s="629">
        <v>117</v>
      </c>
      <c r="E94" s="631">
        <v>45485</v>
      </c>
      <c r="F94" s="632">
        <v>45519</v>
      </c>
      <c r="G94" s="633">
        <v>5675</v>
      </c>
      <c r="H94" t="s" s="131">
        <v>40</v>
      </c>
      <c r="I94" s="137">
        <v>45561</v>
      </c>
      <c r="J94" s="149">
        <v>11350</v>
      </c>
      <c r="K94" s="136">
        <f>J94-G94</f>
        <v>5675</v>
      </c>
      <c r="L94" t="s" s="139">
        <v>2177</v>
      </c>
    </row>
    <row r="95" ht="27.7" customHeight="1" hidden="1">
      <c r="A95" t="s" s="169">
        <v>39</v>
      </c>
      <c r="B95" t="s" s="384">
        <v>40</v>
      </c>
      <c r="C95" t="s" s="628">
        <v>1535</v>
      </c>
      <c r="D95" t="s" s="629">
        <v>1533</v>
      </c>
      <c r="E95" s="631">
        <v>45485</v>
      </c>
      <c r="F95" s="632">
        <v>45521</v>
      </c>
      <c r="G95" s="633">
        <v>4570.29</v>
      </c>
      <c r="H95" t="s" s="131">
        <v>97</v>
      </c>
      <c r="I95" s="137">
        <v>45520</v>
      </c>
      <c r="J95" s="149">
        <v>4570.29</v>
      </c>
      <c r="K95" s="136">
        <f>J95-G95</f>
        <v>0</v>
      </c>
      <c r="L95" t="s" s="139">
        <v>2178</v>
      </c>
    </row>
    <row r="96" ht="27.7" customHeight="1" hidden="1">
      <c r="A96" t="s" s="130">
        <v>39</v>
      </c>
      <c r="B96" t="s" s="131">
        <v>97</v>
      </c>
      <c r="C96" t="s" s="630">
        <v>1178</v>
      </c>
      <c r="D96" t="s" s="629">
        <v>117</v>
      </c>
      <c r="E96" s="631">
        <v>45485</v>
      </c>
      <c r="F96" s="632">
        <v>45550</v>
      </c>
      <c r="G96" s="633">
        <v>5675</v>
      </c>
      <c r="H96" t="s" s="131">
        <v>40</v>
      </c>
      <c r="I96" s="137">
        <v>45561</v>
      </c>
      <c r="J96" s="160">
        <v>5675</v>
      </c>
      <c r="K96" s="136">
        <f>J96-G96</f>
        <v>0</v>
      </c>
      <c r="L96" t="s" s="139">
        <v>2179</v>
      </c>
    </row>
    <row r="97" ht="27.7" customHeight="1" hidden="1">
      <c r="A97" t="s" s="130">
        <v>39</v>
      </c>
      <c r="B97" t="s" s="131">
        <v>40</v>
      </c>
      <c r="C97" t="s" s="634">
        <v>1535</v>
      </c>
      <c r="D97" t="s" s="629">
        <v>1533</v>
      </c>
      <c r="E97" s="631">
        <v>45485</v>
      </c>
      <c r="F97" s="632">
        <v>45551</v>
      </c>
      <c r="G97" s="633">
        <v>4459</v>
      </c>
      <c r="H97" t="s" s="131">
        <v>13</v>
      </c>
      <c r="I97" s="137">
        <v>45551</v>
      </c>
      <c r="J97" s="138">
        <v>4459</v>
      </c>
      <c r="K97" s="136">
        <f>J97-G97</f>
        <v>0</v>
      </c>
      <c r="L97" t="s" s="139">
        <v>2101</v>
      </c>
    </row>
    <row r="98" ht="27.7" customHeight="1" hidden="1">
      <c r="A98" t="s" s="130">
        <v>39</v>
      </c>
      <c r="B98" t="s" s="131">
        <v>97</v>
      </c>
      <c r="C98" t="s" s="630">
        <v>1178</v>
      </c>
      <c r="D98" t="s" s="629">
        <v>117</v>
      </c>
      <c r="E98" s="631">
        <v>45485</v>
      </c>
      <c r="F98" s="632">
        <v>45580</v>
      </c>
      <c r="G98" s="633">
        <v>5674</v>
      </c>
      <c r="H98" t="s" s="131">
        <v>13</v>
      </c>
      <c r="I98" s="144">
        <v>45580</v>
      </c>
      <c r="J98" s="138">
        <v>5674</v>
      </c>
      <c r="K98" s="136">
        <f>J98-G98</f>
        <v>0</v>
      </c>
      <c r="L98" t="s" s="139">
        <v>2180</v>
      </c>
    </row>
    <row r="99" ht="27.7" customHeight="1" hidden="1">
      <c r="A99" t="s" s="130">
        <v>39</v>
      </c>
      <c r="B99" t="s" s="131">
        <v>40</v>
      </c>
      <c r="C99" t="s" s="634">
        <v>1535</v>
      </c>
      <c r="D99" t="s" s="629">
        <v>1533</v>
      </c>
      <c r="E99" s="631">
        <v>45485</v>
      </c>
      <c r="F99" s="632">
        <v>45581</v>
      </c>
      <c r="G99" s="633">
        <v>4459</v>
      </c>
      <c r="H99" t="s" s="131">
        <v>13</v>
      </c>
      <c r="I99" s="137">
        <v>45580</v>
      </c>
      <c r="J99" s="138">
        <v>4459</v>
      </c>
      <c r="K99" s="136">
        <f>J99-G99</f>
        <v>0</v>
      </c>
      <c r="L99" t="s" s="139">
        <v>2181</v>
      </c>
    </row>
    <row r="100" ht="27.7" customHeight="1" hidden="1">
      <c r="A100" t="s" s="130">
        <v>39</v>
      </c>
      <c r="B100" t="s" s="387">
        <v>21</v>
      </c>
      <c r="C100" t="s" s="628">
        <v>1535</v>
      </c>
      <c r="D100" t="s" s="629">
        <v>1533</v>
      </c>
      <c r="E100" s="631">
        <v>45486</v>
      </c>
      <c r="F100" s="635">
        <v>45495</v>
      </c>
      <c r="G100" s="633">
        <v>1430</v>
      </c>
      <c r="H100" t="s" s="131">
        <v>21</v>
      </c>
      <c r="I100" s="137">
        <v>45496</v>
      </c>
      <c r="J100" s="142">
        <v>1430</v>
      </c>
      <c r="K100" s="136">
        <f>J100-G100</f>
        <v>0</v>
      </c>
      <c r="L100" t="s" s="139">
        <v>2153</v>
      </c>
    </row>
    <row r="101" ht="27.7" customHeight="1" hidden="1">
      <c r="A101" t="s" s="130">
        <v>39</v>
      </c>
      <c r="B101" t="s" s="387">
        <v>21</v>
      </c>
      <c r="C101" t="s" s="628">
        <v>1535</v>
      </c>
      <c r="D101" t="s" s="629">
        <v>1533</v>
      </c>
      <c r="E101" s="631">
        <v>45486</v>
      </c>
      <c r="F101" s="632">
        <v>45521</v>
      </c>
      <c r="G101" s="633">
        <v>12866.9</v>
      </c>
      <c r="H101" t="s" s="131">
        <v>97</v>
      </c>
      <c r="I101" s="137">
        <v>45520</v>
      </c>
      <c r="J101" s="149">
        <v>12866.9</v>
      </c>
      <c r="K101" s="136">
        <f>J101-G101</f>
        <v>0</v>
      </c>
      <c r="L101" t="s" s="139">
        <v>2146</v>
      </c>
    </row>
    <row r="102" ht="27.7" customHeight="1" hidden="1">
      <c r="A102" t="s" s="130">
        <v>39</v>
      </c>
      <c r="B102" t="s" s="131">
        <v>21</v>
      </c>
      <c r="C102" t="s" s="634">
        <v>1535</v>
      </c>
      <c r="D102" t="s" s="629">
        <v>1533</v>
      </c>
      <c r="E102" s="631">
        <v>45486</v>
      </c>
      <c r="F102" s="632">
        <v>45551</v>
      </c>
      <c r="G102" s="633">
        <v>12866</v>
      </c>
      <c r="H102" t="s" s="131">
        <v>13</v>
      </c>
      <c r="I102" s="137">
        <v>45551</v>
      </c>
      <c r="J102" s="138">
        <v>12866</v>
      </c>
      <c r="K102" s="136">
        <f>J102-G102</f>
        <v>0</v>
      </c>
      <c r="L102" t="s" s="139">
        <v>2182</v>
      </c>
    </row>
    <row r="103" ht="27.7" customHeight="1" hidden="1">
      <c r="A103" t="s" s="130">
        <v>39</v>
      </c>
      <c r="B103" t="s" s="131">
        <v>21</v>
      </c>
      <c r="C103" t="s" s="634">
        <v>1535</v>
      </c>
      <c r="D103" t="s" s="629">
        <v>1533</v>
      </c>
      <c r="E103" s="631">
        <v>45486</v>
      </c>
      <c r="F103" s="632">
        <v>45581</v>
      </c>
      <c r="G103" s="633">
        <v>12866</v>
      </c>
      <c r="H103" t="s" s="131">
        <v>13</v>
      </c>
      <c r="I103" s="137">
        <v>45580</v>
      </c>
      <c r="J103" s="138">
        <v>12866</v>
      </c>
      <c r="K103" s="136">
        <f>J103-G103</f>
        <v>0</v>
      </c>
      <c r="L103" t="s" s="139">
        <v>2181</v>
      </c>
    </row>
    <row r="104" ht="27.7" customHeight="1" hidden="1">
      <c r="A104" t="s" s="130">
        <v>39</v>
      </c>
      <c r="B104" t="s" s="131">
        <v>97</v>
      </c>
      <c r="C104" t="s" s="634">
        <v>1535</v>
      </c>
      <c r="D104" t="s" s="629">
        <v>1533</v>
      </c>
      <c r="E104" s="631">
        <v>45513</v>
      </c>
      <c r="F104" s="632">
        <v>45549</v>
      </c>
      <c r="G104" s="633">
        <v>16836</v>
      </c>
      <c r="H104" t="s" s="131">
        <v>13</v>
      </c>
      <c r="I104" s="137">
        <v>45551</v>
      </c>
      <c r="J104" s="138">
        <v>16836</v>
      </c>
      <c r="K104" s="136">
        <f>J104-G104</f>
        <v>0</v>
      </c>
      <c r="L104" t="s" s="139">
        <v>2183</v>
      </c>
    </row>
    <row r="105" ht="27.7" customHeight="1" hidden="1">
      <c r="A105" t="s" s="130">
        <v>39</v>
      </c>
      <c r="B105" t="s" s="131">
        <v>97</v>
      </c>
      <c r="C105" t="s" s="634">
        <v>1535</v>
      </c>
      <c r="D105" t="s" s="629">
        <v>1533</v>
      </c>
      <c r="E105" s="631">
        <v>45513</v>
      </c>
      <c r="F105" s="632">
        <v>45579</v>
      </c>
      <c r="G105" s="633">
        <v>16836</v>
      </c>
      <c r="H105" t="s" s="131">
        <v>2150</v>
      </c>
      <c r="I105" s="144"/>
      <c r="J105" s="145"/>
      <c r="K105" s="136"/>
      <c r="L105" t="s" s="139">
        <v>2184</v>
      </c>
    </row>
    <row r="106" ht="27.7" customHeight="1" hidden="1">
      <c r="A106" t="s" s="130">
        <v>39</v>
      </c>
      <c r="B106" t="s" s="131">
        <v>97</v>
      </c>
      <c r="C106" t="s" s="634">
        <v>1535</v>
      </c>
      <c r="D106" t="s" s="629">
        <v>1533</v>
      </c>
      <c r="E106" s="631">
        <v>45513</v>
      </c>
      <c r="F106" s="632">
        <v>45609</v>
      </c>
      <c r="G106" s="633">
        <v>16836</v>
      </c>
      <c r="H106" t="s" s="131">
        <v>2150</v>
      </c>
      <c r="I106" s="144"/>
      <c r="J106" s="145"/>
      <c r="K106" s="136"/>
      <c r="L106" t="s" s="139">
        <v>2185</v>
      </c>
    </row>
    <row r="107" ht="27.7" customHeight="1" hidden="1">
      <c r="A107" t="s" s="130">
        <v>39</v>
      </c>
      <c r="B107" t="s" s="131">
        <v>97</v>
      </c>
      <c r="C107" t="s" s="634">
        <v>1535</v>
      </c>
      <c r="D107" t="s" s="629">
        <v>1533</v>
      </c>
      <c r="E107" s="631">
        <v>45513</v>
      </c>
      <c r="F107" s="632">
        <v>45639</v>
      </c>
      <c r="G107" s="633">
        <v>16835.8</v>
      </c>
      <c r="H107" t="s" s="131">
        <v>2150</v>
      </c>
      <c r="I107" s="144"/>
      <c r="J107" s="145"/>
      <c r="K107" s="136"/>
      <c r="L107" t="s" s="139">
        <v>2186</v>
      </c>
    </row>
    <row r="108" ht="27.7" customHeight="1" hidden="1">
      <c r="A108" t="s" s="130">
        <v>39</v>
      </c>
      <c r="B108" t="s" s="131">
        <v>47</v>
      </c>
      <c r="C108" t="s" s="630">
        <v>1535</v>
      </c>
      <c r="D108" t="s" s="629">
        <v>1533</v>
      </c>
      <c r="E108" s="636">
        <v>45527</v>
      </c>
      <c r="F108" s="144">
        <v>45557</v>
      </c>
      <c r="G108" s="136">
        <v>6158.25</v>
      </c>
      <c r="H108" t="s" s="131">
        <v>47</v>
      </c>
      <c r="I108" s="137">
        <v>45567</v>
      </c>
      <c r="J108" s="161">
        <v>6158.25</v>
      </c>
      <c r="K108" s="136">
        <f>J108-G108</f>
        <v>0</v>
      </c>
      <c r="L108" t="s" s="139">
        <v>2187</v>
      </c>
    </row>
    <row r="109" ht="27.7" customHeight="1" hidden="1">
      <c r="A109" t="s" s="130">
        <v>39</v>
      </c>
      <c r="B109" t="s" s="131">
        <v>47</v>
      </c>
      <c r="C109" t="s" s="630">
        <v>1535</v>
      </c>
      <c r="D109" t="s" s="629">
        <v>1533</v>
      </c>
      <c r="E109" s="636">
        <v>45527</v>
      </c>
      <c r="F109" s="144">
        <v>45587</v>
      </c>
      <c r="G109" s="136">
        <v>6158.23</v>
      </c>
      <c r="H109" t="s" s="131">
        <v>2150</v>
      </c>
      <c r="I109" s="144"/>
      <c r="J109" s="145"/>
      <c r="K109" s="136"/>
      <c r="L109" t="s" s="139">
        <v>2188</v>
      </c>
    </row>
    <row r="110" ht="27.7" customHeight="1" hidden="1">
      <c r="A110" t="s" s="130">
        <v>39</v>
      </c>
      <c r="B110" t="s" s="131">
        <v>47</v>
      </c>
      <c r="C110" t="s" s="630">
        <v>1535</v>
      </c>
      <c r="D110" t="s" s="629">
        <v>1533</v>
      </c>
      <c r="E110" s="636">
        <v>45527</v>
      </c>
      <c r="F110" s="144">
        <v>45617</v>
      </c>
      <c r="G110" s="136">
        <v>6158.23</v>
      </c>
      <c r="H110" t="s" s="131">
        <v>2150</v>
      </c>
      <c r="I110" s="144"/>
      <c r="J110" s="145"/>
      <c r="K110" s="136"/>
      <c r="L110" t="s" s="139">
        <v>2189</v>
      </c>
    </row>
    <row r="111" ht="27.7" customHeight="1" hidden="1">
      <c r="A111" t="s" s="130">
        <v>39</v>
      </c>
      <c r="B111" t="s" s="131">
        <v>47</v>
      </c>
      <c r="C111" t="s" s="132">
        <v>1535</v>
      </c>
      <c r="D111" t="s" s="133">
        <v>1533</v>
      </c>
      <c r="E111" s="147">
        <v>45527</v>
      </c>
      <c r="F111" s="144">
        <v>45647</v>
      </c>
      <c r="G111" s="136">
        <v>6158.23</v>
      </c>
      <c r="H111" t="s" s="131">
        <v>2150</v>
      </c>
      <c r="I111" s="144"/>
      <c r="J111" s="162"/>
      <c r="K111" s="136"/>
      <c r="L111" t="s" s="139">
        <v>2186</v>
      </c>
    </row>
    <row r="112" ht="27.7" customHeight="1" hidden="1">
      <c r="A112" t="s" s="130">
        <v>39</v>
      </c>
      <c r="B112" t="s" s="131">
        <v>97</v>
      </c>
      <c r="C112" t="s" s="150">
        <v>1535</v>
      </c>
      <c r="D112" t="s" s="133">
        <v>1533</v>
      </c>
      <c r="E112" s="637">
        <v>45544</v>
      </c>
      <c r="F112" s="632">
        <v>45580</v>
      </c>
      <c r="G112" s="633">
        <v>14791.1</v>
      </c>
      <c r="H112" t="s" s="131">
        <v>2150</v>
      </c>
      <c r="I112" s="144"/>
      <c r="J112" s="145"/>
      <c r="K112" s="136"/>
      <c r="L112" t="s" s="139">
        <v>2197</v>
      </c>
    </row>
    <row r="113" ht="27.7" customHeight="1" hidden="1">
      <c r="A113" t="s" s="130">
        <v>39</v>
      </c>
      <c r="B113" t="s" s="131">
        <v>97</v>
      </c>
      <c r="C113" t="s" s="634">
        <v>1535</v>
      </c>
      <c r="D113" t="s" s="629">
        <v>1533</v>
      </c>
      <c r="E113" s="631">
        <v>45544</v>
      </c>
      <c r="F113" s="632">
        <v>45610</v>
      </c>
      <c r="G113" s="633">
        <v>14791</v>
      </c>
      <c r="H113" t="s" s="131">
        <v>2150</v>
      </c>
      <c r="I113" s="144"/>
      <c r="J113" s="145"/>
      <c r="K113" s="136"/>
      <c r="L113" t="s" s="139">
        <v>2184</v>
      </c>
    </row>
    <row r="114" ht="27.7" customHeight="1" hidden="1">
      <c r="A114" t="s" s="130">
        <v>39</v>
      </c>
      <c r="B114" t="s" s="131">
        <v>97</v>
      </c>
      <c r="C114" t="s" s="634">
        <v>1535</v>
      </c>
      <c r="D114" t="s" s="629">
        <v>1533</v>
      </c>
      <c r="E114" s="631">
        <v>45544</v>
      </c>
      <c r="F114" s="632">
        <v>45640</v>
      </c>
      <c r="G114" s="633">
        <v>14791</v>
      </c>
      <c r="H114" t="s" s="131">
        <v>2150</v>
      </c>
      <c r="I114" s="144"/>
      <c r="J114" s="145"/>
      <c r="K114" s="136"/>
      <c r="L114" t="s" s="139">
        <v>2185</v>
      </c>
    </row>
    <row r="115" ht="27.7" customHeight="1" hidden="1">
      <c r="A115" t="s" s="130">
        <v>39</v>
      </c>
      <c r="B115" t="s" s="131">
        <v>97</v>
      </c>
      <c r="C115" t="s" s="634">
        <v>1535</v>
      </c>
      <c r="D115" t="s" s="629">
        <v>1533</v>
      </c>
      <c r="E115" s="631">
        <v>45544</v>
      </c>
      <c r="F115" s="632">
        <v>45670</v>
      </c>
      <c r="G115" s="633">
        <v>14791</v>
      </c>
      <c r="H115" t="s" s="131">
        <v>2150</v>
      </c>
      <c r="I115" s="144"/>
      <c r="J115" s="145"/>
      <c r="K115" s="136"/>
      <c r="L115" t="s" s="139">
        <v>2186</v>
      </c>
    </row>
    <row r="116" ht="27.7" customHeight="1" hidden="1">
      <c r="A116" t="s" s="130">
        <v>39</v>
      </c>
      <c r="B116" t="s" s="131">
        <v>40</v>
      </c>
      <c r="C116" t="s" s="150">
        <v>1535</v>
      </c>
      <c r="D116" t="s" s="133">
        <v>1533</v>
      </c>
      <c r="E116" s="637">
        <v>45553</v>
      </c>
      <c r="F116" s="632">
        <v>45589</v>
      </c>
      <c r="G116" s="633">
        <v>4453.38</v>
      </c>
      <c r="H116" t="s" s="131">
        <v>2150</v>
      </c>
      <c r="I116" s="144"/>
      <c r="J116" s="145"/>
      <c r="K116" s="136"/>
      <c r="L116" t="s" s="139">
        <v>2198</v>
      </c>
    </row>
    <row r="117" ht="27.7" customHeight="1" hidden="1">
      <c r="A117" t="s" s="130">
        <v>39</v>
      </c>
      <c r="B117" t="s" s="131">
        <v>40</v>
      </c>
      <c r="C117" t="s" s="150">
        <v>1535</v>
      </c>
      <c r="D117" t="s" s="133">
        <v>1533</v>
      </c>
      <c r="E117" s="637">
        <v>45553</v>
      </c>
      <c r="F117" s="632">
        <v>45619</v>
      </c>
      <c r="G117" s="633">
        <v>4358</v>
      </c>
      <c r="H117" t="s" s="131">
        <v>2150</v>
      </c>
      <c r="I117" s="144"/>
      <c r="J117" s="145"/>
      <c r="K117" s="136"/>
      <c r="L117" t="s" s="139">
        <v>2188</v>
      </c>
    </row>
    <row r="118" ht="27.7" customHeight="1" hidden="1">
      <c r="A118" t="s" s="130">
        <v>39</v>
      </c>
      <c r="B118" t="s" s="131">
        <v>40</v>
      </c>
      <c r="C118" t="s" s="150">
        <v>1535</v>
      </c>
      <c r="D118" t="s" s="133">
        <v>1533</v>
      </c>
      <c r="E118" s="637">
        <v>45553</v>
      </c>
      <c r="F118" s="632">
        <v>45649</v>
      </c>
      <c r="G118" s="633">
        <v>4358</v>
      </c>
      <c r="H118" t="s" s="131">
        <v>2150</v>
      </c>
      <c r="I118" s="144"/>
      <c r="J118" s="145"/>
      <c r="K118" s="136"/>
      <c r="L118" t="s" s="139">
        <v>2189</v>
      </c>
    </row>
    <row r="119" ht="27.7" customHeight="1" hidden="1">
      <c r="A119" t="s" s="130">
        <v>39</v>
      </c>
      <c r="B119" t="s" s="131">
        <v>633</v>
      </c>
      <c r="C119" t="s" s="630">
        <v>883</v>
      </c>
      <c r="D119" t="s" s="629">
        <v>888</v>
      </c>
      <c r="E119" s="631">
        <v>45563</v>
      </c>
      <c r="F119" s="632">
        <v>45575</v>
      </c>
      <c r="G119" s="633">
        <v>532.9400000000001</v>
      </c>
      <c r="H119" t="s" s="131">
        <v>40</v>
      </c>
      <c r="I119" s="137">
        <v>45595</v>
      </c>
      <c r="J119" s="149">
        <v>532.9400000000001</v>
      </c>
      <c r="K119" s="136">
        <f>J119-G119</f>
        <v>0</v>
      </c>
      <c r="L119" t="s" s="139">
        <v>2202</v>
      </c>
    </row>
    <row r="120" ht="27.7" customHeight="1" hidden="1">
      <c r="A120" t="s" s="130">
        <v>39</v>
      </c>
      <c r="B120" t="s" s="131">
        <v>29</v>
      </c>
      <c r="C120" t="s" s="630">
        <v>2106</v>
      </c>
      <c r="D120" t="s" s="629">
        <v>319</v>
      </c>
      <c r="E120" s="631">
        <v>45537</v>
      </c>
      <c r="F120" s="632">
        <v>45567</v>
      </c>
      <c r="G120" s="633">
        <v>2626.4</v>
      </c>
      <c r="H120" t="s" s="131">
        <v>29</v>
      </c>
      <c r="I120" s="137">
        <v>45581</v>
      </c>
      <c r="J120" s="161">
        <v>2626.4</v>
      </c>
      <c r="K120" s="136">
        <f>J120-G120</f>
        <v>0</v>
      </c>
      <c r="L120" t="s" s="139">
        <v>2194</v>
      </c>
    </row>
    <row r="121" ht="27.7" customHeight="1" hidden="1">
      <c r="A121" t="s" s="130">
        <v>39</v>
      </c>
      <c r="B121" t="s" s="131">
        <v>29</v>
      </c>
      <c r="C121" t="s" s="630">
        <v>2106</v>
      </c>
      <c r="D121" t="s" s="629">
        <v>319</v>
      </c>
      <c r="E121" s="631">
        <v>45537</v>
      </c>
      <c r="F121" s="632">
        <v>45582</v>
      </c>
      <c r="G121" s="633">
        <v>2626.4</v>
      </c>
      <c r="H121" t="s" s="131">
        <v>29</v>
      </c>
      <c r="I121" s="137">
        <v>45590</v>
      </c>
      <c r="J121" s="161">
        <v>2626.4</v>
      </c>
      <c r="K121" s="136">
        <f>J121-G121</f>
        <v>0</v>
      </c>
      <c r="L121" t="s" s="139">
        <v>2195</v>
      </c>
    </row>
    <row r="122" ht="27.7" customHeight="1" hidden="1">
      <c r="A122" t="s" s="130">
        <v>39</v>
      </c>
      <c r="B122" t="s" s="131">
        <v>29</v>
      </c>
      <c r="C122" t="s" s="630">
        <v>2106</v>
      </c>
      <c r="D122" t="s" s="629">
        <v>319</v>
      </c>
      <c r="E122" s="631">
        <v>45537</v>
      </c>
      <c r="F122" s="635">
        <v>45597</v>
      </c>
      <c r="G122" s="633">
        <v>2626.4</v>
      </c>
      <c r="H122" t="s" s="131">
        <v>36</v>
      </c>
      <c r="I122" s="137">
        <v>45608</v>
      </c>
      <c r="J122" s="149">
        <v>2626.4</v>
      </c>
      <c r="K122" s="136">
        <f>J122-G122</f>
        <v>0</v>
      </c>
      <c r="L122" t="s" s="139">
        <v>2196</v>
      </c>
    </row>
    <row r="123" ht="27.7" customHeight="1" hidden="1">
      <c r="A123" t="s" s="130">
        <v>39</v>
      </c>
      <c r="B123" t="s" s="131">
        <v>30</v>
      </c>
      <c r="C123" t="s" s="630">
        <v>2190</v>
      </c>
      <c r="D123" t="s" s="629">
        <v>534</v>
      </c>
      <c r="E123" s="631">
        <v>45527</v>
      </c>
      <c r="F123" s="632">
        <v>45587</v>
      </c>
      <c r="G123" s="633">
        <v>3040</v>
      </c>
      <c r="H123" t="s" s="131">
        <v>29</v>
      </c>
      <c r="I123" s="137">
        <v>45589</v>
      </c>
      <c r="J123" s="149">
        <v>9120</v>
      </c>
      <c r="K123" s="136">
        <f>J123-G123</f>
        <v>6080</v>
      </c>
      <c r="L123" t="s" s="139">
        <v>2191</v>
      </c>
    </row>
    <row r="124" ht="27.7" customHeight="1" hidden="1">
      <c r="A124" t="s" s="130">
        <v>39</v>
      </c>
      <c r="B124" t="s" s="131">
        <v>30</v>
      </c>
      <c r="C124" t="s" s="630">
        <v>2190</v>
      </c>
      <c r="D124" t="s" s="629">
        <v>534</v>
      </c>
      <c r="E124" s="631">
        <v>45527</v>
      </c>
      <c r="F124" s="632">
        <v>45618</v>
      </c>
      <c r="G124" s="633">
        <v>3040</v>
      </c>
      <c r="H124" t="s" s="131">
        <v>29</v>
      </c>
      <c r="I124" s="137">
        <v>45589</v>
      </c>
      <c r="J124" s="160">
        <v>6080</v>
      </c>
      <c r="K124" s="136">
        <f>J124-G124</f>
        <v>3040</v>
      </c>
      <c r="L124" t="s" s="139">
        <v>2192</v>
      </c>
    </row>
    <row r="125" ht="27.7" customHeight="1" hidden="1">
      <c r="A125" t="s" s="130">
        <v>39</v>
      </c>
      <c r="B125" t="s" s="131">
        <v>30</v>
      </c>
      <c r="C125" t="s" s="630">
        <v>2190</v>
      </c>
      <c r="D125" t="s" s="629">
        <v>534</v>
      </c>
      <c r="E125" s="631">
        <v>45527</v>
      </c>
      <c r="F125" s="632">
        <v>45648</v>
      </c>
      <c r="G125" s="633">
        <v>3040</v>
      </c>
      <c r="H125" t="s" s="131">
        <v>29</v>
      </c>
      <c r="I125" s="137">
        <v>45589</v>
      </c>
      <c r="J125" s="160">
        <v>3040</v>
      </c>
      <c r="K125" s="136">
        <f>J125-G125</f>
        <v>0</v>
      </c>
      <c r="L125" t="s" s="139">
        <v>2193</v>
      </c>
    </row>
    <row r="126" ht="27.7" customHeight="1" hidden="1">
      <c r="A126" t="s" s="130">
        <v>39</v>
      </c>
      <c r="B126" t="s" s="131">
        <v>97</v>
      </c>
      <c r="C126" t="s" s="630">
        <v>2206</v>
      </c>
      <c r="D126" t="s" s="629">
        <v>246</v>
      </c>
      <c r="E126" s="631">
        <v>45583</v>
      </c>
      <c r="F126" s="632">
        <v>45590</v>
      </c>
      <c r="G126" s="633">
        <v>20000</v>
      </c>
      <c r="H126" t="s" s="131">
        <v>97</v>
      </c>
      <c r="I126" s="137">
        <v>45590</v>
      </c>
      <c r="J126" s="161">
        <v>20000</v>
      </c>
      <c r="K126" s="136">
        <f>J126-G126</f>
        <v>0</v>
      </c>
      <c r="L126" t="s" s="139">
        <v>2207</v>
      </c>
    </row>
    <row r="127" ht="27.7" customHeight="1" hidden="1">
      <c r="A127" t="s" s="130">
        <v>39</v>
      </c>
      <c r="B127" t="s" s="131">
        <v>97</v>
      </c>
      <c r="C127" t="s" s="630">
        <v>2206</v>
      </c>
      <c r="D127" t="s" s="629">
        <v>246</v>
      </c>
      <c r="E127" s="631">
        <v>45583</v>
      </c>
      <c r="F127" s="632">
        <v>45618</v>
      </c>
      <c r="G127" s="633">
        <v>17075.2</v>
      </c>
      <c r="H127" t="s" s="131">
        <v>97</v>
      </c>
      <c r="I127" s="137">
        <v>45632</v>
      </c>
      <c r="J127" s="161">
        <v>17075.2</v>
      </c>
      <c r="K127" s="136">
        <f>J127-G127</f>
        <v>0</v>
      </c>
      <c r="L127" t="s" s="139">
        <v>2208</v>
      </c>
    </row>
    <row r="128" ht="27.7" customHeight="1" hidden="1">
      <c r="A128" t="s" s="130">
        <v>39</v>
      </c>
      <c r="B128" t="s" s="131">
        <v>21</v>
      </c>
      <c r="C128" t="s" s="630">
        <v>1592</v>
      </c>
      <c r="D128" t="s" s="629">
        <v>1593</v>
      </c>
      <c r="E128" s="631">
        <v>45576</v>
      </c>
      <c r="F128" s="632">
        <v>45626</v>
      </c>
      <c r="G128" s="633">
        <v>6742.74</v>
      </c>
      <c r="H128" t="s" s="131">
        <v>40</v>
      </c>
      <c r="I128" s="137">
        <v>45626</v>
      </c>
      <c r="J128" s="149">
        <v>6742.74</v>
      </c>
      <c r="K128" s="136">
        <f>J128-G128</f>
        <v>0</v>
      </c>
      <c r="L128" t="s" s="139">
        <v>2204</v>
      </c>
    </row>
    <row r="129" ht="27.7" customHeight="1" hidden="1">
      <c r="A129" s="163"/>
      <c r="B129" t="s" s="131">
        <v>61</v>
      </c>
      <c r="C129" t="s" s="638">
        <v>923</v>
      </c>
      <c r="D129" t="s" s="629">
        <v>379</v>
      </c>
      <c r="E129" s="631">
        <v>45555</v>
      </c>
      <c r="F129" s="632">
        <v>45555</v>
      </c>
      <c r="G129" s="633"/>
      <c r="H129" s="158"/>
      <c r="I129" s="137">
        <v>45569</v>
      </c>
      <c r="J129" s="161">
        <v>10000</v>
      </c>
      <c r="K129" s="136">
        <f>J129-G129</f>
        <v>10000</v>
      </c>
      <c r="L129" s="164"/>
    </row>
    <row r="130" ht="27.7" customHeight="1" hidden="1">
      <c r="A130" s="163"/>
      <c r="B130" t="s" s="131">
        <v>61</v>
      </c>
      <c r="C130" t="s" s="638">
        <v>923</v>
      </c>
      <c r="D130" t="s" s="629">
        <v>379</v>
      </c>
      <c r="E130" s="631">
        <v>45555</v>
      </c>
      <c r="F130" s="632"/>
      <c r="G130" s="633"/>
      <c r="H130" t="s" s="131">
        <v>24</v>
      </c>
      <c r="I130" s="137">
        <v>45572</v>
      </c>
      <c r="J130" s="161">
        <v>2100</v>
      </c>
      <c r="K130" s="136"/>
      <c r="L130" s="164"/>
    </row>
    <row r="131" ht="27.7" customHeight="1" hidden="1">
      <c r="A131" s="163"/>
      <c r="B131" t="s" s="131">
        <v>61</v>
      </c>
      <c r="C131" t="s" s="638">
        <v>923</v>
      </c>
      <c r="D131" t="s" s="629">
        <v>379</v>
      </c>
      <c r="E131" s="631">
        <v>45555</v>
      </c>
      <c r="F131" s="632"/>
      <c r="G131" s="633"/>
      <c r="H131" s="158"/>
      <c r="I131" s="137">
        <v>45595</v>
      </c>
      <c r="J131" s="161">
        <v>4616</v>
      </c>
      <c r="K131" s="136"/>
      <c r="L131" s="164"/>
    </row>
    <row r="132" ht="27.7" customHeight="1" hidden="1">
      <c r="A132" s="163"/>
      <c r="B132" t="s" s="131">
        <v>61</v>
      </c>
      <c r="C132" t="s" s="638">
        <v>923</v>
      </c>
      <c r="D132" t="s" s="629">
        <v>379</v>
      </c>
      <c r="E132" s="631">
        <v>45555</v>
      </c>
      <c r="F132" s="632"/>
      <c r="G132" s="633"/>
      <c r="H132" s="158"/>
      <c r="I132" s="137">
        <v>45597</v>
      </c>
      <c r="J132" s="161">
        <v>5000</v>
      </c>
      <c r="K132" s="136"/>
      <c r="L132" s="164"/>
    </row>
    <row r="133" ht="27.7" customHeight="1" hidden="1">
      <c r="A133" s="163"/>
      <c r="B133" t="s" s="131">
        <v>61</v>
      </c>
      <c r="C133" t="s" s="638">
        <v>923</v>
      </c>
      <c r="D133" t="s" s="629">
        <v>379</v>
      </c>
      <c r="E133" s="631">
        <v>45555</v>
      </c>
      <c r="F133" s="632"/>
      <c r="G133" s="633"/>
      <c r="H133" s="158"/>
      <c r="I133" s="137">
        <v>45610</v>
      </c>
      <c r="J133" s="161">
        <v>2600</v>
      </c>
      <c r="K133" s="136"/>
      <c r="L133" s="164"/>
    </row>
    <row r="134" ht="27.7" customHeight="1" hidden="1">
      <c r="A134" s="163"/>
      <c r="B134" t="s" s="131">
        <v>61</v>
      </c>
      <c r="C134" t="s" s="638">
        <v>923</v>
      </c>
      <c r="D134" t="s" s="629">
        <v>379</v>
      </c>
      <c r="E134" s="631">
        <v>45555</v>
      </c>
      <c r="F134" s="632"/>
      <c r="G134" s="633"/>
      <c r="H134" t="s" s="131">
        <v>13</v>
      </c>
      <c r="I134" s="137">
        <v>45615</v>
      </c>
      <c r="J134" s="138">
        <v>1670.48</v>
      </c>
      <c r="K134" s="136"/>
      <c r="L134" s="164"/>
    </row>
    <row r="135" ht="27.7" customHeight="1" hidden="1">
      <c r="A135" t="s" s="130">
        <v>39</v>
      </c>
      <c r="B135" t="s" s="131">
        <v>40</v>
      </c>
      <c r="C135" t="s" s="630">
        <v>1511</v>
      </c>
      <c r="D135" t="s" s="629">
        <v>206</v>
      </c>
      <c r="E135" s="631">
        <v>45589</v>
      </c>
      <c r="F135" s="632">
        <v>45589</v>
      </c>
      <c r="G135" s="633">
        <v>4726.55</v>
      </c>
      <c r="H135" t="s" s="131">
        <v>40</v>
      </c>
      <c r="I135" s="137">
        <v>45589</v>
      </c>
      <c r="J135" s="161">
        <v>4726.55</v>
      </c>
      <c r="K135" s="136">
        <f>J135-G135</f>
        <v>0</v>
      </c>
      <c r="L135" t="s" s="139">
        <v>2209</v>
      </c>
    </row>
    <row r="136" ht="27.7" customHeight="1" hidden="1">
      <c r="A136" t="s" s="130">
        <v>39</v>
      </c>
      <c r="B136" t="s" s="131">
        <v>40</v>
      </c>
      <c r="C136" t="s" s="630">
        <v>1511</v>
      </c>
      <c r="D136" t="s" s="629">
        <v>206</v>
      </c>
      <c r="E136" s="631">
        <v>45589</v>
      </c>
      <c r="F136" s="632">
        <v>45619</v>
      </c>
      <c r="G136" s="633">
        <v>4621</v>
      </c>
      <c r="H136" t="s" s="131">
        <v>40</v>
      </c>
      <c r="I136" s="137">
        <v>45621</v>
      </c>
      <c r="J136" s="161">
        <v>4621</v>
      </c>
      <c r="K136" s="136">
        <f>J136-G136</f>
        <v>0</v>
      </c>
      <c r="L136" t="s" s="139">
        <v>2210</v>
      </c>
    </row>
    <row r="137" ht="27.7" customHeight="1" hidden="1">
      <c r="A137" t="s" s="130">
        <v>39</v>
      </c>
      <c r="B137" t="s" s="131">
        <v>40</v>
      </c>
      <c r="C137" t="s" s="630">
        <v>1511</v>
      </c>
      <c r="D137" t="s" s="629">
        <v>206</v>
      </c>
      <c r="E137" s="631">
        <v>45589</v>
      </c>
      <c r="F137" s="632">
        <v>45649</v>
      </c>
      <c r="G137" s="633">
        <v>4621</v>
      </c>
      <c r="H137" t="s" s="131">
        <v>40</v>
      </c>
      <c r="I137" s="137">
        <v>45649</v>
      </c>
      <c r="J137" s="161">
        <v>4621</v>
      </c>
      <c r="K137" s="136">
        <f>J137-G137</f>
        <v>0</v>
      </c>
      <c r="L137" t="s" s="139">
        <v>2211</v>
      </c>
    </row>
    <row r="138" ht="27.7" customHeight="1" hidden="1">
      <c r="A138" t="s" s="130">
        <v>39</v>
      </c>
      <c r="B138" t="s" s="131">
        <v>79</v>
      </c>
      <c r="C138" t="s" s="630">
        <v>1700</v>
      </c>
      <c r="D138" t="s" s="629">
        <v>15</v>
      </c>
      <c r="E138" s="631">
        <v>45581</v>
      </c>
      <c r="F138" s="632">
        <v>45597</v>
      </c>
      <c r="G138" s="633">
        <v>17344.992</v>
      </c>
      <c r="H138" t="s" s="131">
        <v>97</v>
      </c>
      <c r="I138" s="137">
        <v>45604</v>
      </c>
      <c r="J138" s="149">
        <v>17344.992</v>
      </c>
      <c r="K138" s="136">
        <f>J138-G138</f>
        <v>0</v>
      </c>
      <c r="L138" t="s" s="139">
        <v>2205</v>
      </c>
    </row>
    <row r="139" ht="27.7" customHeight="1">
      <c r="A139" t="s" s="130">
        <v>39</v>
      </c>
      <c r="B139" t="s" s="131">
        <v>420</v>
      </c>
      <c r="C139" t="s" s="630">
        <v>988</v>
      </c>
      <c r="D139" t="s" s="629">
        <v>90</v>
      </c>
      <c r="E139" s="639">
        <v>45569</v>
      </c>
      <c r="F139" s="632">
        <v>45574</v>
      </c>
      <c r="G139" s="633">
        <v>5250</v>
      </c>
      <c r="H139" t="s" s="131">
        <v>13</v>
      </c>
      <c r="I139" s="137">
        <v>45574</v>
      </c>
      <c r="J139" s="138">
        <v>6250</v>
      </c>
      <c r="K139" s="136">
        <f>J139-G139</f>
        <v>1000</v>
      </c>
      <c r="L139" t="s" s="139">
        <v>3033</v>
      </c>
    </row>
    <row r="140" ht="27.7" customHeight="1">
      <c r="A140" t="s" s="130">
        <v>39</v>
      </c>
      <c r="B140" t="s" s="131">
        <v>420</v>
      </c>
      <c r="C140" t="s" s="630">
        <v>988</v>
      </c>
      <c r="D140" t="s" s="629">
        <v>90</v>
      </c>
      <c r="E140" s="8">
        <v>45600</v>
      </c>
      <c r="F140" s="632">
        <v>45616</v>
      </c>
      <c r="G140" s="633">
        <v>6300</v>
      </c>
      <c r="H140" t="s" s="131">
        <v>36</v>
      </c>
      <c r="I140" s="137">
        <v>45617</v>
      </c>
      <c r="J140" s="149">
        <v>6300</v>
      </c>
      <c r="K140" s="136">
        <f>J140-G140</f>
        <v>0</v>
      </c>
      <c r="L140" t="s" s="139">
        <v>2215</v>
      </c>
    </row>
    <row r="141" ht="27.7" customHeight="1" hidden="1">
      <c r="A141" t="s" s="130">
        <v>39</v>
      </c>
      <c r="B141" t="s" s="131">
        <v>97</v>
      </c>
      <c r="C141" t="s" s="150">
        <v>1535</v>
      </c>
      <c r="D141" t="s" s="133">
        <v>1533</v>
      </c>
      <c r="E141" s="285">
        <v>45595</v>
      </c>
      <c r="F141" s="632">
        <v>45626</v>
      </c>
      <c r="G141" s="633">
        <v>14163</v>
      </c>
      <c r="H141" t="s" s="131">
        <v>97</v>
      </c>
      <c r="I141" s="137">
        <v>45628</v>
      </c>
      <c r="J141" s="161">
        <v>14163</v>
      </c>
      <c r="K141" s="136">
        <f>J141-G141</f>
        <v>0</v>
      </c>
      <c r="L141" t="s" s="139">
        <v>2212</v>
      </c>
    </row>
    <row r="142" ht="27.7" customHeight="1" hidden="1">
      <c r="A142" t="s" s="130">
        <v>39</v>
      </c>
      <c r="B142" t="s" s="131">
        <v>97</v>
      </c>
      <c r="C142" t="s" s="634">
        <v>1535</v>
      </c>
      <c r="D142" t="s" s="629">
        <v>1533</v>
      </c>
      <c r="E142" s="8">
        <v>45595</v>
      </c>
      <c r="F142" s="632">
        <v>45656</v>
      </c>
      <c r="G142" s="633">
        <v>14163</v>
      </c>
      <c r="H142" t="s" s="131">
        <v>40</v>
      </c>
      <c r="I142" s="137">
        <v>45656</v>
      </c>
      <c r="J142" s="149">
        <v>14163</v>
      </c>
      <c r="K142" s="136">
        <f>J142-G142</f>
        <v>0</v>
      </c>
      <c r="L142" t="s" s="139">
        <v>2213</v>
      </c>
    </row>
    <row r="143" ht="27.7" customHeight="1" hidden="1">
      <c r="A143" t="s" s="130">
        <v>39</v>
      </c>
      <c r="B143" t="s" s="131">
        <v>97</v>
      </c>
      <c r="C143" t="s" s="634">
        <v>1535</v>
      </c>
      <c r="D143" t="s" s="629">
        <v>1533</v>
      </c>
      <c r="E143" s="8">
        <v>45595</v>
      </c>
      <c r="F143" s="632">
        <v>45686</v>
      </c>
      <c r="G143" s="633">
        <v>14163</v>
      </c>
      <c r="H143" t="s" s="131">
        <v>97</v>
      </c>
      <c r="I143" s="137">
        <v>45685</v>
      </c>
      <c r="J143" s="161">
        <v>14163</v>
      </c>
      <c r="K143" s="136">
        <f>J143-G143</f>
        <v>0</v>
      </c>
      <c r="L143" t="s" s="139">
        <v>2214</v>
      </c>
    </row>
    <row r="144" ht="27.7" customHeight="1" hidden="1">
      <c r="A144" t="s" s="130">
        <v>39</v>
      </c>
      <c r="B144" t="s" s="131">
        <v>97</v>
      </c>
      <c r="C144" t="s" s="634">
        <v>1535</v>
      </c>
      <c r="D144" t="s" s="629">
        <v>1533</v>
      </c>
      <c r="E144" s="8">
        <v>45595</v>
      </c>
      <c r="F144" s="632">
        <v>45716</v>
      </c>
      <c r="G144" s="633">
        <v>14162.5</v>
      </c>
      <c r="H144" t="s" s="131">
        <v>97</v>
      </c>
      <c r="I144" s="137">
        <v>45714</v>
      </c>
      <c r="J144" s="161">
        <v>14262.5</v>
      </c>
      <c r="K144" s="136">
        <f>J144-G144</f>
        <v>100</v>
      </c>
      <c r="L144" t="s" s="139">
        <v>2114</v>
      </c>
    </row>
    <row r="145" ht="27.7" customHeight="1" hidden="1">
      <c r="A145" t="s" s="130">
        <v>39</v>
      </c>
      <c r="B145" t="s" s="131">
        <v>30</v>
      </c>
      <c r="C145" t="s" s="150">
        <v>1535</v>
      </c>
      <c r="D145" t="s" s="133">
        <v>1533</v>
      </c>
      <c r="E145" s="285">
        <v>45617</v>
      </c>
      <c r="F145" s="632">
        <v>45648</v>
      </c>
      <c r="G145" s="633">
        <v>4694</v>
      </c>
      <c r="H145" t="s" s="131">
        <v>40</v>
      </c>
      <c r="I145" s="137">
        <v>45653</v>
      </c>
      <c r="J145" s="149">
        <v>4694</v>
      </c>
      <c r="K145" s="136">
        <f>J145-G145</f>
        <v>0</v>
      </c>
      <c r="L145" t="s" s="139">
        <v>2218</v>
      </c>
    </row>
    <row r="146" ht="27.7" customHeight="1" hidden="1">
      <c r="A146" t="s" s="130">
        <v>39</v>
      </c>
      <c r="B146" t="s" s="131">
        <v>30</v>
      </c>
      <c r="C146" t="s" s="634">
        <v>1535</v>
      </c>
      <c r="D146" t="s" s="629">
        <v>1533</v>
      </c>
      <c r="E146" s="8">
        <v>45617</v>
      </c>
      <c r="F146" s="632">
        <v>45678</v>
      </c>
      <c r="G146" s="633">
        <v>4473</v>
      </c>
      <c r="H146" t="s" s="131">
        <v>30</v>
      </c>
      <c r="I146" s="137">
        <v>45679</v>
      </c>
      <c r="J146" s="161">
        <v>4473</v>
      </c>
      <c r="K146" s="136">
        <f>J146-G146</f>
        <v>0</v>
      </c>
      <c r="L146" t="s" s="139">
        <v>2109</v>
      </c>
    </row>
    <row r="147" ht="27.7" customHeight="1" hidden="1">
      <c r="A147" t="s" s="130">
        <v>39</v>
      </c>
      <c r="B147" t="s" s="131">
        <v>30</v>
      </c>
      <c r="C147" t="s" s="634">
        <v>1535</v>
      </c>
      <c r="D147" t="s" s="629">
        <v>1533</v>
      </c>
      <c r="E147" s="8">
        <v>45617</v>
      </c>
      <c r="F147" s="632">
        <v>45708</v>
      </c>
      <c r="G147" s="633">
        <v>4473</v>
      </c>
      <c r="H147" t="s" s="131">
        <v>97</v>
      </c>
      <c r="I147" s="137">
        <v>45708</v>
      </c>
      <c r="J147" s="149">
        <v>4473</v>
      </c>
      <c r="K147" s="136">
        <f>J147-G147</f>
        <v>0</v>
      </c>
      <c r="L147" t="s" s="139">
        <v>2148</v>
      </c>
    </row>
    <row r="148" ht="27.7" customHeight="1" hidden="1">
      <c r="A148" t="s" s="130">
        <v>39</v>
      </c>
      <c r="B148" t="s" s="131">
        <v>97</v>
      </c>
      <c r="C148" t="s" s="150">
        <v>1535</v>
      </c>
      <c r="D148" t="s" s="133">
        <v>1533</v>
      </c>
      <c r="E148" s="285">
        <v>45623</v>
      </c>
      <c r="F148" s="632">
        <v>45654</v>
      </c>
      <c r="G148" s="633">
        <v>16362.2</v>
      </c>
      <c r="H148" t="s" s="131">
        <v>97</v>
      </c>
      <c r="I148" s="137">
        <v>45653</v>
      </c>
      <c r="J148" s="161">
        <v>16362.2</v>
      </c>
      <c r="K148" s="136">
        <f>J148-G148</f>
        <v>0</v>
      </c>
      <c r="L148" t="s" s="139">
        <v>2212</v>
      </c>
    </row>
    <row r="149" ht="27.7" customHeight="1" hidden="1">
      <c r="A149" t="s" s="130">
        <v>39</v>
      </c>
      <c r="B149" t="s" s="131">
        <v>97</v>
      </c>
      <c r="C149" t="s" s="634">
        <v>1535</v>
      </c>
      <c r="D149" t="s" s="629">
        <v>1533</v>
      </c>
      <c r="E149" s="8">
        <v>45623</v>
      </c>
      <c r="F149" s="632">
        <v>45684</v>
      </c>
      <c r="G149" s="633">
        <v>16362.2</v>
      </c>
      <c r="H149" t="s" s="131">
        <v>97</v>
      </c>
      <c r="I149" s="137">
        <v>45684</v>
      </c>
      <c r="J149" s="161">
        <v>16362.2</v>
      </c>
      <c r="K149" s="136">
        <f>J149-G149</f>
        <v>0</v>
      </c>
      <c r="L149" t="s" s="139">
        <v>2222</v>
      </c>
    </row>
    <row r="150" ht="27.7" customHeight="1" hidden="1">
      <c r="A150" t="s" s="130">
        <v>39</v>
      </c>
      <c r="B150" t="s" s="131">
        <v>97</v>
      </c>
      <c r="C150" t="s" s="634">
        <v>1535</v>
      </c>
      <c r="D150" t="s" s="629">
        <v>1533</v>
      </c>
      <c r="E150" s="8">
        <v>45623</v>
      </c>
      <c r="F150" s="632">
        <v>45714</v>
      </c>
      <c r="G150" s="633">
        <v>16362.2</v>
      </c>
      <c r="H150" t="s" s="131">
        <v>97</v>
      </c>
      <c r="I150" s="137">
        <v>45713</v>
      </c>
      <c r="J150" s="161">
        <v>16362.2</v>
      </c>
      <c r="K150" s="136">
        <f>J150-G150</f>
        <v>0</v>
      </c>
      <c r="L150" t="s" s="139">
        <v>2214</v>
      </c>
    </row>
    <row r="151" ht="27.7" customHeight="1" hidden="1">
      <c r="A151" t="s" s="130">
        <v>1936</v>
      </c>
      <c r="B151" t="s" s="131">
        <v>97</v>
      </c>
      <c r="C151" t="s" s="638">
        <v>1535</v>
      </c>
      <c r="D151" t="s" s="629">
        <v>1533</v>
      </c>
      <c r="E151" s="8">
        <v>45623</v>
      </c>
      <c r="F151" s="632">
        <v>45744</v>
      </c>
      <c r="G151" s="633">
        <v>16362.2</v>
      </c>
      <c r="H151" s="158"/>
      <c r="I151" s="144"/>
      <c r="J151" s="145"/>
      <c r="K151" s="136">
        <f>J151-G151</f>
        <v>-16362.2</v>
      </c>
      <c r="L151" t="s" s="139">
        <v>3034</v>
      </c>
    </row>
    <row r="152" ht="27.7" customHeight="1" hidden="1">
      <c r="A152" t="s" s="130">
        <v>39</v>
      </c>
      <c r="B152" t="s" s="131">
        <v>30</v>
      </c>
      <c r="C152" t="s" s="630">
        <v>740</v>
      </c>
      <c r="D152" t="s" s="629">
        <v>246</v>
      </c>
      <c r="E152" s="8">
        <v>45617</v>
      </c>
      <c r="F152" s="632">
        <v>45648</v>
      </c>
      <c r="G152" s="633">
        <v>18415</v>
      </c>
      <c r="H152" t="s" s="131">
        <v>40</v>
      </c>
      <c r="I152" s="137">
        <v>45653</v>
      </c>
      <c r="J152" s="149">
        <v>18415</v>
      </c>
      <c r="K152" s="136">
        <f>J152-G152</f>
        <v>0</v>
      </c>
      <c r="L152" t="s" s="139">
        <v>2219</v>
      </c>
    </row>
    <row r="153" ht="27.7" customHeight="1" hidden="1">
      <c r="A153" t="s" s="130">
        <v>39</v>
      </c>
      <c r="B153" t="s" s="131">
        <v>30</v>
      </c>
      <c r="C153" t="s" s="630">
        <v>1249</v>
      </c>
      <c r="D153" t="s" s="629">
        <v>129</v>
      </c>
      <c r="E153" s="8">
        <v>45617</v>
      </c>
      <c r="F153" s="632">
        <v>45648</v>
      </c>
      <c r="G153" s="640">
        <v>5939</v>
      </c>
      <c r="H153" t="s" s="131">
        <v>30</v>
      </c>
      <c r="I153" s="137">
        <v>45671</v>
      </c>
      <c r="J153" s="142">
        <v>5939</v>
      </c>
      <c r="K153" s="136">
        <f>J153-G153</f>
        <v>0</v>
      </c>
      <c r="L153" t="s" s="139">
        <v>2220</v>
      </c>
    </row>
    <row r="154" ht="27.7" customHeight="1" hidden="1">
      <c r="A154" t="s" s="130">
        <v>39</v>
      </c>
      <c r="B154" t="s" s="131">
        <v>30</v>
      </c>
      <c r="C154" t="s" s="630">
        <v>1249</v>
      </c>
      <c r="D154" t="s" s="629">
        <v>129</v>
      </c>
      <c r="E154" s="8">
        <v>45617</v>
      </c>
      <c r="F154" s="632">
        <v>45678</v>
      </c>
      <c r="G154" s="633">
        <v>5673</v>
      </c>
      <c r="H154" t="s" s="131">
        <v>30</v>
      </c>
      <c r="I154" s="137">
        <v>45685</v>
      </c>
      <c r="J154" s="142">
        <v>5673</v>
      </c>
      <c r="K154" s="136">
        <f>J154-G154</f>
        <v>0</v>
      </c>
      <c r="L154" t="s" s="139">
        <v>2221</v>
      </c>
    </row>
    <row r="155" ht="27.7" customHeight="1" hidden="1">
      <c r="A155" t="s" s="130">
        <v>39</v>
      </c>
      <c r="B155" t="s" s="131">
        <v>30</v>
      </c>
      <c r="C155" t="s" s="630">
        <v>1249</v>
      </c>
      <c r="D155" t="s" s="629">
        <v>129</v>
      </c>
      <c r="E155" s="8">
        <v>45617</v>
      </c>
      <c r="F155" s="632">
        <v>45708</v>
      </c>
      <c r="G155" s="633">
        <v>5673</v>
      </c>
      <c r="H155" t="s" s="131">
        <v>97</v>
      </c>
      <c r="I155" s="137">
        <v>45715</v>
      </c>
      <c r="J155" s="149">
        <v>5673</v>
      </c>
      <c r="K155" s="136">
        <f>J155-G155</f>
        <v>0</v>
      </c>
      <c r="L155" t="s" s="139">
        <v>2148</v>
      </c>
    </row>
    <row r="156" ht="27.7" customHeight="1" hidden="1">
      <c r="A156" t="s" s="130">
        <v>39</v>
      </c>
      <c r="B156" t="s" s="131">
        <v>21</v>
      </c>
      <c r="C156" t="s" s="630">
        <v>1641</v>
      </c>
      <c r="D156" t="s" s="629">
        <v>72</v>
      </c>
      <c r="E156" s="8">
        <v>45637</v>
      </c>
      <c r="F156" s="632">
        <v>45647</v>
      </c>
      <c r="G156" s="633">
        <v>260</v>
      </c>
      <c r="H156" t="s" s="131">
        <v>21</v>
      </c>
      <c r="I156" s="137">
        <v>45650</v>
      </c>
      <c r="J156" s="161">
        <v>260</v>
      </c>
      <c r="K156" s="136">
        <f>J156-G156</f>
        <v>0</v>
      </c>
      <c r="L156" t="s" s="139">
        <v>2152</v>
      </c>
    </row>
    <row r="157" ht="27.7" customHeight="1" hidden="1">
      <c r="A157" t="s" s="130">
        <v>39</v>
      </c>
      <c r="B157" t="s" s="131">
        <v>21</v>
      </c>
      <c r="C157" t="s" s="630">
        <v>1641</v>
      </c>
      <c r="D157" t="s" s="629">
        <v>72</v>
      </c>
      <c r="E157" s="8">
        <v>45637</v>
      </c>
      <c r="F157" s="632">
        <v>45668</v>
      </c>
      <c r="G157" s="633">
        <v>3433</v>
      </c>
      <c r="H157" t="s" s="131">
        <v>13</v>
      </c>
      <c r="I157" s="137">
        <v>45666</v>
      </c>
      <c r="J157" s="138">
        <v>3500</v>
      </c>
      <c r="K157" s="136">
        <f>J157-G157</f>
        <v>67</v>
      </c>
      <c r="L157" t="s" s="139">
        <v>2226</v>
      </c>
    </row>
    <row r="158" ht="27.7" customHeight="1" hidden="1">
      <c r="A158" t="s" s="130">
        <v>39</v>
      </c>
      <c r="B158" t="s" s="131">
        <v>21</v>
      </c>
      <c r="C158" t="s" s="630">
        <v>1641</v>
      </c>
      <c r="D158" t="s" s="629">
        <v>72</v>
      </c>
      <c r="E158" s="8">
        <v>45637</v>
      </c>
      <c r="F158" s="632">
        <v>45698</v>
      </c>
      <c r="G158" s="633">
        <v>3432</v>
      </c>
      <c r="H158" t="s" s="131">
        <v>21</v>
      </c>
      <c r="I158" s="137">
        <v>45702</v>
      </c>
      <c r="J158" s="161">
        <v>3300</v>
      </c>
      <c r="K158" s="136">
        <f>J158-G158</f>
        <v>-132</v>
      </c>
      <c r="L158" t="s" s="139">
        <v>2158</v>
      </c>
    </row>
    <row r="159" ht="27.7" customHeight="1" hidden="1">
      <c r="A159" t="s" s="130">
        <v>1936</v>
      </c>
      <c r="B159" t="s" s="131">
        <v>21</v>
      </c>
      <c r="C159" t="s" s="638">
        <v>1641</v>
      </c>
      <c r="D159" t="s" s="629">
        <v>72</v>
      </c>
      <c r="E159" s="8">
        <v>45637</v>
      </c>
      <c r="F159" s="632">
        <v>45728</v>
      </c>
      <c r="G159" s="633">
        <v>3432</v>
      </c>
      <c r="H159" t="s" s="189">
        <v>97</v>
      </c>
      <c r="I159" s="144"/>
      <c r="J159" s="145"/>
      <c r="K159" s="136">
        <f>J159-G159</f>
        <v>-3432</v>
      </c>
      <c r="L159" t="s" s="139">
        <v>2099</v>
      </c>
    </row>
    <row r="160" ht="27.7" customHeight="1" hidden="1">
      <c r="A160" t="s" s="130">
        <v>39</v>
      </c>
      <c r="B160" t="s" s="131">
        <v>40</v>
      </c>
      <c r="C160" t="s" s="630">
        <v>1305</v>
      </c>
      <c r="D160" t="s" s="629">
        <v>379</v>
      </c>
      <c r="E160" s="8">
        <v>45638</v>
      </c>
      <c r="F160" s="632">
        <v>45669</v>
      </c>
      <c r="G160" s="633">
        <v>5586.44</v>
      </c>
      <c r="H160" t="s" s="131">
        <v>40</v>
      </c>
      <c r="I160" s="137">
        <v>45304</v>
      </c>
      <c r="J160" s="142">
        <v>5586.44</v>
      </c>
      <c r="K160" s="136">
        <f>J160-G160</f>
        <v>0</v>
      </c>
      <c r="L160" t="s" s="139">
        <v>2209</v>
      </c>
    </row>
    <row r="161" ht="27.7" customHeight="1" hidden="1">
      <c r="A161" t="s" s="130">
        <v>39</v>
      </c>
      <c r="B161" t="s" s="131">
        <v>40</v>
      </c>
      <c r="C161" t="s" s="630">
        <v>1305</v>
      </c>
      <c r="D161" t="s" s="629">
        <v>379</v>
      </c>
      <c r="E161" s="8">
        <v>45638</v>
      </c>
      <c r="F161" s="632">
        <v>45699</v>
      </c>
      <c r="G161" s="633">
        <v>5448</v>
      </c>
      <c r="H161" t="s" s="131">
        <v>40</v>
      </c>
      <c r="I161" s="137">
        <v>45699</v>
      </c>
      <c r="J161" s="142">
        <v>5448</v>
      </c>
      <c r="K161" s="136">
        <f>J161-G161</f>
        <v>0</v>
      </c>
      <c r="L161" t="s" s="139">
        <v>2210</v>
      </c>
    </row>
    <row r="162" ht="27.7" customHeight="1" hidden="1">
      <c r="A162" t="s" s="130">
        <v>39</v>
      </c>
      <c r="B162" t="s" s="131">
        <v>40</v>
      </c>
      <c r="C162" t="s" s="630">
        <v>1305</v>
      </c>
      <c r="D162" t="s" s="629">
        <v>379</v>
      </c>
      <c r="E162" s="8">
        <v>45638</v>
      </c>
      <c r="F162" s="632">
        <v>45729</v>
      </c>
      <c r="G162" s="633">
        <v>5448</v>
      </c>
      <c r="H162" t="s" s="131">
        <v>30</v>
      </c>
      <c r="I162" s="137">
        <v>45729</v>
      </c>
      <c r="J162" s="149">
        <v>5448</v>
      </c>
      <c r="K162" s="136">
        <f>J162-G162</f>
        <v>0</v>
      </c>
      <c r="L162" t="s" s="139">
        <v>2225</v>
      </c>
    </row>
    <row r="163" ht="27.7" customHeight="1" hidden="1">
      <c r="A163" t="s" s="130">
        <v>39</v>
      </c>
      <c r="B163" t="s" s="131">
        <v>88</v>
      </c>
      <c r="C163" t="s" s="132">
        <v>1305</v>
      </c>
      <c r="D163" t="s" s="133">
        <v>379</v>
      </c>
      <c r="E163" s="285">
        <v>45633</v>
      </c>
      <c r="F163" s="632">
        <v>45664</v>
      </c>
      <c r="G163" s="633">
        <v>7442.5</v>
      </c>
      <c r="H163" t="s" s="131">
        <v>88</v>
      </c>
      <c r="I163" s="137">
        <v>45304</v>
      </c>
      <c r="J163" s="142">
        <v>7442.5</v>
      </c>
      <c r="K163" s="136">
        <f>J163-G163</f>
        <v>0</v>
      </c>
      <c r="L163" t="s" s="139">
        <v>2223</v>
      </c>
    </row>
    <row r="164" ht="27.7" customHeight="1" hidden="1">
      <c r="A164" t="s" s="130">
        <v>39</v>
      </c>
      <c r="B164" t="s" s="131">
        <v>88</v>
      </c>
      <c r="C164" t="s" s="132">
        <v>1305</v>
      </c>
      <c r="D164" t="s" s="133">
        <v>379</v>
      </c>
      <c r="E164" s="285">
        <v>45633</v>
      </c>
      <c r="F164" s="632">
        <v>45694</v>
      </c>
      <c r="G164" s="633">
        <v>6855</v>
      </c>
      <c r="H164" t="s" s="131">
        <v>88</v>
      </c>
      <c r="I164" s="137">
        <v>45695</v>
      </c>
      <c r="J164" s="142">
        <v>6855</v>
      </c>
      <c r="K164" s="136">
        <f>J164-G164</f>
        <v>0</v>
      </c>
      <c r="L164" t="s" s="139">
        <v>2224</v>
      </c>
    </row>
    <row r="165" ht="27.7" customHeight="1" hidden="1">
      <c r="A165" t="s" s="130">
        <v>39</v>
      </c>
      <c r="B165" t="s" s="131">
        <v>88</v>
      </c>
      <c r="C165" t="s" s="132">
        <v>1305</v>
      </c>
      <c r="D165" t="s" s="133">
        <v>379</v>
      </c>
      <c r="E165" s="285">
        <v>45633</v>
      </c>
      <c r="F165" s="632">
        <v>45724</v>
      </c>
      <c r="G165" s="633">
        <v>6855</v>
      </c>
      <c r="H165" t="s" s="131">
        <v>30</v>
      </c>
      <c r="I165" s="137">
        <v>45726</v>
      </c>
      <c r="J165" s="149">
        <v>6855</v>
      </c>
      <c r="K165" s="136">
        <f>J165-G165</f>
        <v>0</v>
      </c>
      <c r="L165" t="s" s="139">
        <v>2225</v>
      </c>
    </row>
    <row r="166" ht="27.7" customHeight="1" hidden="1">
      <c r="A166" t="s" s="130">
        <v>39</v>
      </c>
      <c r="B166" t="s" s="131">
        <v>61</v>
      </c>
      <c r="C166" t="s" s="630">
        <v>1638</v>
      </c>
      <c r="D166" t="s" s="629">
        <v>468</v>
      </c>
      <c r="E166" s="8">
        <v>45608</v>
      </c>
      <c r="F166" s="632">
        <v>45645</v>
      </c>
      <c r="G166" s="633">
        <v>1924.6</v>
      </c>
      <c r="H166" t="s" s="131">
        <v>21</v>
      </c>
      <c r="I166" s="137">
        <v>45665</v>
      </c>
      <c r="J166" s="142">
        <f>G166+G167</f>
        <v>3849.2</v>
      </c>
      <c r="K166" s="136">
        <f>J166-G166</f>
        <v>1924.6</v>
      </c>
      <c r="L166" t="s" s="139">
        <v>2216</v>
      </c>
    </row>
    <row r="167" ht="27.7" customHeight="1" hidden="1">
      <c r="A167" t="s" s="130">
        <v>39</v>
      </c>
      <c r="B167" t="s" s="131">
        <v>61</v>
      </c>
      <c r="C167" t="s" s="630">
        <v>1638</v>
      </c>
      <c r="D167" t="s" s="629">
        <v>468</v>
      </c>
      <c r="E167" s="8">
        <v>45608</v>
      </c>
      <c r="F167" s="632">
        <v>45660</v>
      </c>
      <c r="G167" s="633">
        <v>1924.6</v>
      </c>
      <c r="H167" t="s" s="131">
        <v>21</v>
      </c>
      <c r="I167" s="137">
        <v>45665</v>
      </c>
      <c r="J167" s="178">
        <v>1924.6</v>
      </c>
      <c r="K167" s="136">
        <f>J167-G167</f>
        <v>0</v>
      </c>
      <c r="L167" t="s" s="139">
        <v>2217</v>
      </c>
    </row>
    <row r="168" ht="27.7" customHeight="1" hidden="1">
      <c r="A168" t="s" s="130">
        <v>39</v>
      </c>
      <c r="B168" t="s" s="131">
        <v>61</v>
      </c>
      <c r="C168" t="s" s="630">
        <v>1638</v>
      </c>
      <c r="D168" t="s" s="629">
        <v>468</v>
      </c>
      <c r="E168" s="8">
        <v>45608</v>
      </c>
      <c r="F168" s="632">
        <v>45675</v>
      </c>
      <c r="G168" s="633">
        <v>1924.6</v>
      </c>
      <c r="H168" t="s" s="131">
        <v>2150</v>
      </c>
      <c r="I168" s="144"/>
      <c r="J168" s="145"/>
      <c r="K168" s="136"/>
      <c r="L168" t="s" s="139">
        <v>2161</v>
      </c>
    </row>
    <row r="169" ht="27.7" customHeight="1" hidden="1">
      <c r="A169" t="s" s="130">
        <v>39</v>
      </c>
      <c r="B169" t="s" s="131">
        <v>61</v>
      </c>
      <c r="C169" t="s" s="630">
        <v>1638</v>
      </c>
      <c r="D169" t="s" s="629">
        <v>468</v>
      </c>
      <c r="E169" s="8">
        <v>45608</v>
      </c>
      <c r="F169" s="632">
        <v>45690</v>
      </c>
      <c r="G169" s="633">
        <v>1924.6</v>
      </c>
      <c r="H169" t="s" s="131">
        <v>2150</v>
      </c>
      <c r="I169" s="144"/>
      <c r="J169" s="145"/>
      <c r="K169" s="136"/>
      <c r="L169" t="s" s="139">
        <v>2166</v>
      </c>
    </row>
    <row r="170" ht="27.7" customHeight="1" hidden="1">
      <c r="A170" t="s" s="130">
        <v>39</v>
      </c>
      <c r="B170" t="s" s="131">
        <v>61</v>
      </c>
      <c r="C170" t="s" s="630">
        <v>1638</v>
      </c>
      <c r="D170" t="s" s="629">
        <v>468</v>
      </c>
      <c r="E170" s="8">
        <v>45608</v>
      </c>
      <c r="F170" s="632">
        <v>45705</v>
      </c>
      <c r="G170" s="633">
        <v>1924.6</v>
      </c>
      <c r="H170" t="s" s="131">
        <v>2150</v>
      </c>
      <c r="I170" s="144"/>
      <c r="J170" s="145"/>
      <c r="K170" s="136"/>
      <c r="L170" t="s" s="139">
        <v>2168</v>
      </c>
    </row>
    <row r="171" ht="27.7" customHeight="1" hidden="1">
      <c r="A171" t="s" s="130">
        <v>39</v>
      </c>
      <c r="B171" t="s" s="131">
        <v>21</v>
      </c>
      <c r="C171" t="s" s="630">
        <v>1705</v>
      </c>
      <c r="D171" t="s" s="629">
        <v>545</v>
      </c>
      <c r="E171" s="8">
        <v>45643</v>
      </c>
      <c r="F171" t="s" s="641">
        <v>2227</v>
      </c>
      <c r="G171" s="633">
        <v>1270</v>
      </c>
      <c r="H171" t="s" s="131">
        <v>21</v>
      </c>
      <c r="I171" s="137">
        <v>45663</v>
      </c>
      <c r="J171" s="142">
        <v>1270</v>
      </c>
      <c r="K171" s="136">
        <f>J171-G171</f>
        <v>0</v>
      </c>
      <c r="L171" t="s" s="139">
        <v>2152</v>
      </c>
    </row>
    <row r="172" ht="27.7" customHeight="1" hidden="1">
      <c r="A172" t="s" s="130">
        <v>39</v>
      </c>
      <c r="B172" t="s" s="131">
        <v>21</v>
      </c>
      <c r="C172" t="s" s="630">
        <v>1705</v>
      </c>
      <c r="D172" t="s" s="629">
        <v>545</v>
      </c>
      <c r="E172" s="8">
        <v>45643</v>
      </c>
      <c r="F172" s="632">
        <v>45674</v>
      </c>
      <c r="G172" s="633">
        <v>10000</v>
      </c>
      <c r="H172" t="s" s="131">
        <v>30</v>
      </c>
      <c r="I172" s="137">
        <v>45672</v>
      </c>
      <c r="J172" s="149">
        <v>10000</v>
      </c>
      <c r="K172" s="136">
        <f>J172-G172</f>
        <v>0</v>
      </c>
      <c r="L172" t="s" s="139">
        <v>2228</v>
      </c>
    </row>
    <row r="173" ht="27.7" customHeight="1" hidden="1">
      <c r="A173" t="s" s="130">
        <v>39</v>
      </c>
      <c r="B173" t="s" s="131">
        <v>21</v>
      </c>
      <c r="C173" t="s" s="630">
        <v>1705</v>
      </c>
      <c r="D173" t="s" s="629">
        <v>545</v>
      </c>
      <c r="E173" s="8">
        <v>45643</v>
      </c>
      <c r="F173" s="632">
        <v>45689</v>
      </c>
      <c r="G173" s="633">
        <v>8083.5</v>
      </c>
      <c r="H173" t="s" s="131">
        <v>21</v>
      </c>
      <c r="I173" s="137">
        <v>45702</v>
      </c>
      <c r="J173" s="142">
        <v>8083.5</v>
      </c>
      <c r="K173" s="136">
        <f>J173-G173</f>
        <v>0</v>
      </c>
      <c r="L173" t="s" s="139">
        <v>2229</v>
      </c>
    </row>
    <row r="174" ht="27.7" customHeight="1" hidden="1">
      <c r="A174" t="s" s="130">
        <v>39</v>
      </c>
      <c r="B174" t="s" s="131">
        <v>21</v>
      </c>
      <c r="C174" t="s" s="630">
        <v>1705</v>
      </c>
      <c r="D174" t="s" s="629">
        <v>545</v>
      </c>
      <c r="E174" s="8">
        <v>45643</v>
      </c>
      <c r="F174" s="632">
        <v>45704</v>
      </c>
      <c r="G174" s="633">
        <v>8083.5</v>
      </c>
      <c r="H174" t="s" s="131">
        <v>21</v>
      </c>
      <c r="I174" s="137">
        <v>45708</v>
      </c>
      <c r="J174" s="142">
        <v>8083.5</v>
      </c>
      <c r="K174" s="136">
        <f>J174-G174</f>
        <v>0</v>
      </c>
      <c r="L174" t="s" s="139">
        <v>2230</v>
      </c>
    </row>
    <row r="175" ht="27.7" customHeight="1" hidden="1">
      <c r="A175" t="s" s="130">
        <v>39</v>
      </c>
      <c r="B175" t="s" s="131">
        <v>21</v>
      </c>
      <c r="C175" t="s" s="630">
        <v>1705</v>
      </c>
      <c r="D175" t="s" s="629">
        <v>545</v>
      </c>
      <c r="E175" s="8">
        <v>45643</v>
      </c>
      <c r="F175" s="632">
        <v>45718</v>
      </c>
      <c r="G175" s="633">
        <v>7056.55</v>
      </c>
      <c r="H175" t="s" s="131">
        <v>30</v>
      </c>
      <c r="I175" s="137">
        <v>45722</v>
      </c>
      <c r="J175" s="149">
        <v>7056.55</v>
      </c>
      <c r="K175" s="136">
        <f>J175-G175</f>
        <v>0</v>
      </c>
      <c r="L175" t="s" s="139">
        <v>2231</v>
      </c>
    </row>
    <row r="176" ht="27.7" customHeight="1" hidden="1">
      <c r="A176" t="s" s="130">
        <v>39</v>
      </c>
      <c r="B176" t="s" s="131">
        <v>21</v>
      </c>
      <c r="C176" t="s" s="132">
        <v>1705</v>
      </c>
      <c r="D176" t="s" s="133">
        <v>545</v>
      </c>
      <c r="E176" s="285">
        <v>45643</v>
      </c>
      <c r="F176" s="632">
        <v>45734</v>
      </c>
      <c r="G176" s="633">
        <v>9110.200000000001</v>
      </c>
      <c r="H176" t="s" s="131">
        <v>2150</v>
      </c>
      <c r="I176" s="144"/>
      <c r="J176" s="145"/>
      <c r="K176" s="136"/>
      <c r="L176" t="s" s="139">
        <v>2232</v>
      </c>
    </row>
    <row r="177" ht="27.7" customHeight="1" hidden="1">
      <c r="A177" t="s" s="130">
        <v>39</v>
      </c>
      <c r="B177" t="s" s="131">
        <v>21</v>
      </c>
      <c r="C177" t="s" s="630">
        <v>430</v>
      </c>
      <c r="D177" t="s" s="629">
        <v>15</v>
      </c>
      <c r="E177" s="8">
        <v>45649</v>
      </c>
      <c r="F177" s="632">
        <v>45689</v>
      </c>
      <c r="G177" s="633">
        <v>2553.25</v>
      </c>
      <c r="H177" t="s" s="131">
        <v>13</v>
      </c>
      <c r="I177" s="137">
        <v>45695</v>
      </c>
      <c r="J177" s="138">
        <v>2553.25</v>
      </c>
      <c r="K177" s="136">
        <f>J177-G177</f>
        <v>0</v>
      </c>
      <c r="L177" t="s" s="139">
        <v>2234</v>
      </c>
    </row>
    <row r="178" ht="27.7" customHeight="1" hidden="1">
      <c r="A178" t="s" s="130">
        <v>39</v>
      </c>
      <c r="B178" t="s" s="131">
        <v>21</v>
      </c>
      <c r="C178" t="s" s="630">
        <v>430</v>
      </c>
      <c r="D178" t="s" s="629">
        <v>15</v>
      </c>
      <c r="E178" s="8">
        <v>45649</v>
      </c>
      <c r="F178" s="632">
        <v>45717</v>
      </c>
      <c r="G178" s="633">
        <v>2403</v>
      </c>
      <c r="H178" t="s" s="131">
        <v>3035</v>
      </c>
      <c r="I178" s="137">
        <v>45688</v>
      </c>
      <c r="J178" s="149">
        <v>2403</v>
      </c>
      <c r="K178" s="136">
        <f>J178-G178</f>
        <v>0</v>
      </c>
      <c r="L178" t="s" s="139">
        <v>2236</v>
      </c>
    </row>
    <row r="179" ht="27.7" customHeight="1" hidden="1">
      <c r="A179" t="s" s="130">
        <v>599</v>
      </c>
      <c r="B179" t="s" s="131">
        <v>21</v>
      </c>
      <c r="C179" t="s" s="638">
        <v>430</v>
      </c>
      <c r="D179" t="s" s="629">
        <v>15</v>
      </c>
      <c r="E179" s="8">
        <v>45649</v>
      </c>
      <c r="F179" s="632">
        <v>45748</v>
      </c>
      <c r="G179" s="633">
        <v>2403</v>
      </c>
      <c r="H179" t="s" s="131">
        <v>3035</v>
      </c>
      <c r="I179" s="144"/>
      <c r="J179" s="145"/>
      <c r="K179" s="136">
        <f>J179-G179</f>
        <v>-2403</v>
      </c>
      <c r="L179" t="s" s="139">
        <v>2099</v>
      </c>
    </row>
    <row r="180" ht="27.7" customHeight="1" hidden="1">
      <c r="A180" t="s" s="130">
        <v>39</v>
      </c>
      <c r="B180" t="s" s="131">
        <v>61</v>
      </c>
      <c r="C180" t="s" s="630">
        <v>3036</v>
      </c>
      <c r="D180" t="s" s="629">
        <v>1533</v>
      </c>
      <c r="E180" s="8">
        <v>45668</v>
      </c>
      <c r="F180" s="632">
        <v>45712</v>
      </c>
      <c r="G180" s="633">
        <v>1852</v>
      </c>
      <c r="H180" t="s" s="131">
        <v>97</v>
      </c>
      <c r="I180" s="137">
        <v>45708</v>
      </c>
      <c r="J180" s="149">
        <v>1852</v>
      </c>
      <c r="K180" s="136">
        <f>J180-G180</f>
        <v>0</v>
      </c>
      <c r="L180" t="s" s="139">
        <v>2178</v>
      </c>
    </row>
    <row r="181" ht="27.7" customHeight="1" hidden="1">
      <c r="A181" t="s" s="130">
        <v>1936</v>
      </c>
      <c r="B181" t="s" s="131">
        <v>61</v>
      </c>
      <c r="C181" t="s" s="638">
        <v>3036</v>
      </c>
      <c r="D181" t="s" s="629">
        <v>1533</v>
      </c>
      <c r="E181" s="8">
        <v>45668</v>
      </c>
      <c r="F181" s="632">
        <v>45742</v>
      </c>
      <c r="G181" s="633">
        <v>1712</v>
      </c>
      <c r="H181" s="158"/>
      <c r="I181" s="144"/>
      <c r="J181" s="145">
        <v>100</v>
      </c>
      <c r="K181" s="136">
        <f>J181-G181</f>
        <v>-1612</v>
      </c>
      <c r="L181" t="s" s="139">
        <v>2369</v>
      </c>
    </row>
    <row r="182" ht="27.7" customHeight="1" hidden="1">
      <c r="A182" t="s" s="130">
        <v>1936</v>
      </c>
      <c r="B182" t="s" s="131">
        <v>61</v>
      </c>
      <c r="C182" t="s" s="638">
        <v>3036</v>
      </c>
      <c r="D182" t="s" s="629">
        <v>1533</v>
      </c>
      <c r="E182" s="8">
        <v>45668</v>
      </c>
      <c r="F182" s="632">
        <v>45772</v>
      </c>
      <c r="G182" s="633">
        <v>1711.75</v>
      </c>
      <c r="H182" s="158"/>
      <c r="I182" s="144"/>
      <c r="J182" s="145"/>
      <c r="K182" s="136">
        <f>J182-G182</f>
        <v>-1711.75</v>
      </c>
      <c r="L182" t="s" s="139">
        <v>2099</v>
      </c>
    </row>
    <row r="183" ht="27.7" customHeight="1" hidden="1">
      <c r="A183" t="s" s="130">
        <v>39</v>
      </c>
      <c r="B183" t="s" s="131">
        <v>488</v>
      </c>
      <c r="C183" t="s" s="630">
        <v>1811</v>
      </c>
      <c r="D183" t="s" s="629">
        <v>468</v>
      </c>
      <c r="E183" s="8">
        <v>45646</v>
      </c>
      <c r="F183" s="632">
        <v>45676</v>
      </c>
      <c r="G183" s="633">
        <v>17498.33</v>
      </c>
      <c r="H183" t="s" s="131">
        <v>21</v>
      </c>
      <c r="I183" s="137">
        <v>45702</v>
      </c>
      <c r="J183" s="149">
        <v>17498.33</v>
      </c>
      <c r="K183" s="136">
        <f>J183-G183</f>
        <v>0</v>
      </c>
      <c r="L183" t="s" s="139">
        <v>2233</v>
      </c>
    </row>
    <row r="184" ht="27.7" customHeight="1" hidden="1">
      <c r="A184" t="s" s="130">
        <v>1936</v>
      </c>
      <c r="B184" t="s" s="131">
        <v>30</v>
      </c>
      <c r="C184" t="s" s="638">
        <v>578</v>
      </c>
      <c r="D184" t="s" s="629">
        <v>579</v>
      </c>
      <c r="E184" s="8">
        <v>45717</v>
      </c>
      <c r="F184" s="632">
        <v>45748</v>
      </c>
      <c r="G184" s="633">
        <v>4852</v>
      </c>
      <c r="H184" s="158"/>
      <c r="I184" s="144"/>
      <c r="J184" s="145"/>
      <c r="K184" s="136">
        <f>J184-G184</f>
        <v>-4852</v>
      </c>
      <c r="L184" s="164"/>
    </row>
    <row r="185" ht="27.7" customHeight="1" hidden="1">
      <c r="A185" t="s" s="130">
        <v>1936</v>
      </c>
      <c r="B185" t="s" s="131">
        <v>30</v>
      </c>
      <c r="C185" t="s" s="638">
        <v>578</v>
      </c>
      <c r="D185" t="s" s="629">
        <v>579</v>
      </c>
      <c r="E185" s="8">
        <v>45717</v>
      </c>
      <c r="F185" s="632">
        <v>45778</v>
      </c>
      <c r="G185" s="633">
        <v>4703</v>
      </c>
      <c r="H185" s="158"/>
      <c r="I185" s="144"/>
      <c r="J185" s="145"/>
      <c r="K185" s="136">
        <f>J185-G185</f>
        <v>-4703</v>
      </c>
      <c r="L185" s="164"/>
    </row>
    <row r="186" ht="27.7" customHeight="1" hidden="1">
      <c r="A186" t="s" s="130">
        <v>1936</v>
      </c>
      <c r="B186" t="s" s="131">
        <v>30</v>
      </c>
      <c r="C186" t="s" s="638">
        <v>578</v>
      </c>
      <c r="D186" t="s" s="629">
        <v>579</v>
      </c>
      <c r="E186" s="8">
        <v>45717</v>
      </c>
      <c r="F186" s="632">
        <v>45808</v>
      </c>
      <c r="G186" s="633">
        <v>4703</v>
      </c>
      <c r="H186" s="158"/>
      <c r="I186" s="144"/>
      <c r="J186" s="145"/>
      <c r="K186" s="136">
        <f>J186-G186</f>
        <v>-4703</v>
      </c>
      <c r="L186" s="164"/>
    </row>
    <row r="187" ht="27.7" customHeight="1" hidden="1">
      <c r="A187" s="163"/>
      <c r="B187" s="158"/>
      <c r="C187" s="638"/>
      <c r="D187" s="629"/>
      <c r="E187" s="8"/>
      <c r="F187" s="632"/>
      <c r="G187" s="633"/>
      <c r="H187" s="158"/>
      <c r="I187" s="144"/>
      <c r="J187" s="145"/>
      <c r="K187" s="136">
        <f>J187-G187</f>
        <v>0</v>
      </c>
      <c r="L187" s="164"/>
    </row>
    <row r="188" ht="27.7" customHeight="1" hidden="1">
      <c r="A188" s="163"/>
      <c r="B188" s="158"/>
      <c r="C188" s="638"/>
      <c r="D188" s="629"/>
      <c r="E188" s="8"/>
      <c r="F188" s="632"/>
      <c r="G188" s="633"/>
      <c r="H188" s="158"/>
      <c r="I188" s="144"/>
      <c r="J188" s="145"/>
      <c r="K188" s="136">
        <f>J188-G188</f>
        <v>0</v>
      </c>
      <c r="L188" s="164"/>
    </row>
    <row r="189" ht="27.7" customHeight="1" hidden="1">
      <c r="A189" s="163"/>
      <c r="B189" s="158"/>
      <c r="C189" s="638"/>
      <c r="D189" s="629"/>
      <c r="E189" s="8"/>
      <c r="F189" s="632"/>
      <c r="G189" s="633"/>
      <c r="H189" s="158"/>
      <c r="I189" s="144"/>
      <c r="J189" s="145"/>
      <c r="K189" s="136">
        <f>J189-G189</f>
        <v>0</v>
      </c>
      <c r="L189" s="164"/>
    </row>
    <row r="190" ht="27.7" customHeight="1" hidden="1">
      <c r="A190" s="163"/>
      <c r="B190" s="158"/>
      <c r="C190" s="638"/>
      <c r="D190" s="629"/>
      <c r="E190" s="8"/>
      <c r="F190" s="632"/>
      <c r="G190" s="633"/>
      <c r="H190" s="158"/>
      <c r="I190" s="144"/>
      <c r="J190" s="145"/>
      <c r="K190" s="136">
        <f>J190-G190</f>
        <v>0</v>
      </c>
      <c r="L190" s="164"/>
    </row>
    <row r="191" ht="27.7" customHeight="1" hidden="1">
      <c r="A191" s="163"/>
      <c r="B191" s="158"/>
      <c r="C191" s="638"/>
      <c r="D191" s="629"/>
      <c r="E191" s="8"/>
      <c r="F191" s="632"/>
      <c r="G191" s="633"/>
      <c r="H191" s="158"/>
      <c r="I191" s="144"/>
      <c r="J191" s="145"/>
      <c r="K191" s="136">
        <f>J191-G191</f>
        <v>0</v>
      </c>
      <c r="L191" s="164"/>
    </row>
    <row r="192" ht="27.7" customHeight="1">
      <c r="A192" s="163"/>
      <c r="B192" t="s" s="131">
        <v>420</v>
      </c>
      <c r="C192" t="s" s="642">
        <v>988</v>
      </c>
      <c r="D192" t="s" s="629">
        <v>90</v>
      </c>
      <c r="E192" s="643"/>
      <c r="F192" s="632"/>
      <c r="G192" s="633"/>
      <c r="H192" s="158"/>
      <c r="I192" s="135"/>
      <c r="J192" s="181"/>
      <c r="K192" s="136">
        <f>J192-G192</f>
        <v>0</v>
      </c>
      <c r="L192" s="164"/>
    </row>
    <row r="193" ht="27.7" customHeight="1">
      <c r="A193" t="s" s="130">
        <v>39</v>
      </c>
      <c r="B193" t="s" s="131">
        <v>68</v>
      </c>
      <c r="C193" t="s" s="132">
        <v>988</v>
      </c>
      <c r="D193" t="s" s="133">
        <v>90</v>
      </c>
      <c r="E193" s="644">
        <v>45467</v>
      </c>
      <c r="F193" s="144">
        <v>45512</v>
      </c>
      <c r="G193" s="136">
        <v>8880</v>
      </c>
      <c r="H193" t="s" s="131">
        <v>2150</v>
      </c>
      <c r="I193" s="645">
        <v>45483</v>
      </c>
      <c r="J193" s="138">
        <v>8880</v>
      </c>
      <c r="K193" s="136">
        <f>J193-G193</f>
        <v>0</v>
      </c>
      <c r="L193" t="s" s="139">
        <v>2169</v>
      </c>
    </row>
    <row r="194" ht="27.7" customHeight="1">
      <c r="A194" t="s" s="130">
        <v>39</v>
      </c>
      <c r="B194" t="s" s="131">
        <v>68</v>
      </c>
      <c r="C194" t="s" s="132">
        <v>988</v>
      </c>
      <c r="D194" t="s" s="133">
        <v>90</v>
      </c>
      <c r="E194" s="644">
        <v>45481</v>
      </c>
      <c r="F194" s="144">
        <v>45526</v>
      </c>
      <c r="G194" s="136">
        <v>21231</v>
      </c>
      <c r="H194" t="s" s="131">
        <v>2150</v>
      </c>
      <c r="I194" s="645">
        <v>45483</v>
      </c>
      <c r="J194" s="142">
        <v>21231</v>
      </c>
      <c r="K194" s="136">
        <f>J194-G194</f>
        <v>0</v>
      </c>
      <c r="L194" t="s" s="139">
        <v>2175</v>
      </c>
    </row>
    <row r="195" ht="27.7" customHeight="1">
      <c r="A195" t="s" s="130">
        <v>39</v>
      </c>
      <c r="B195" t="s" s="131">
        <v>68</v>
      </c>
      <c r="C195" t="s" s="132">
        <v>988</v>
      </c>
      <c r="D195" t="s" s="133">
        <v>90</v>
      </c>
      <c r="E195" s="644">
        <v>45678</v>
      </c>
      <c r="F195" s="144">
        <v>45723</v>
      </c>
      <c r="G195" s="136">
        <v>10888.5</v>
      </c>
      <c r="H195" t="s" s="131">
        <v>13</v>
      </c>
      <c r="I195" s="645">
        <v>45721</v>
      </c>
      <c r="J195" s="138">
        <v>10888.5</v>
      </c>
      <c r="K195" s="136">
        <f>J195-G195</f>
        <v>0</v>
      </c>
      <c r="L195" t="s" s="139">
        <v>2176</v>
      </c>
    </row>
    <row r="196" ht="27.7" customHeight="1">
      <c r="A196" t="s" s="130">
        <v>39</v>
      </c>
      <c r="B196" t="s" s="131">
        <v>68</v>
      </c>
      <c r="C196" t="s" s="132">
        <v>988</v>
      </c>
      <c r="D196" t="s" s="133">
        <v>90</v>
      </c>
      <c r="E196" s="644">
        <v>45702</v>
      </c>
      <c r="F196" s="144">
        <v>45732</v>
      </c>
      <c r="G196" s="136">
        <v>5907</v>
      </c>
      <c r="H196" t="s" s="131">
        <v>68</v>
      </c>
      <c r="I196" s="645">
        <v>45708</v>
      </c>
      <c r="J196" s="142">
        <v>5907</v>
      </c>
      <c r="K196" s="136">
        <f>J196-G196</f>
        <v>0</v>
      </c>
      <c r="L196" t="s" s="139">
        <v>2239</v>
      </c>
    </row>
    <row r="197" ht="27.7" customHeight="1">
      <c r="A197" t="s" s="130">
        <v>39</v>
      </c>
      <c r="B197" t="s" s="131">
        <v>68</v>
      </c>
      <c r="C197" t="s" s="132">
        <v>988</v>
      </c>
      <c r="D197" t="s" s="133">
        <v>90</v>
      </c>
      <c r="E197" s="644">
        <v>45719</v>
      </c>
      <c r="F197" s="144">
        <v>45749</v>
      </c>
      <c r="G197" s="136">
        <v>8451</v>
      </c>
      <c r="H197" t="s" s="131">
        <v>97</v>
      </c>
      <c r="I197" s="645">
        <v>45736</v>
      </c>
      <c r="J197" s="149">
        <v>8451</v>
      </c>
      <c r="K197" s="136">
        <f>J197-G197</f>
        <v>0</v>
      </c>
      <c r="L197" t="s" s="139">
        <v>2243</v>
      </c>
    </row>
    <row r="198" ht="27.7" customHeight="1">
      <c r="A198" t="s" s="130">
        <v>39</v>
      </c>
      <c r="B198" t="s" s="131">
        <v>420</v>
      </c>
      <c r="C198" t="s" s="630">
        <v>988</v>
      </c>
      <c r="D198" s="629"/>
      <c r="E198" s="646">
        <v>45842</v>
      </c>
      <c r="F198" s="632"/>
      <c r="G198" s="633">
        <v>12100</v>
      </c>
      <c r="H198" t="s" s="131">
        <v>97</v>
      </c>
      <c r="I198" s="645">
        <v>45890</v>
      </c>
      <c r="J198" s="149">
        <v>12100</v>
      </c>
      <c r="K198" s="136">
        <f>J198-G198</f>
        <v>0</v>
      </c>
      <c r="L198" t="s" s="139">
        <v>2243</v>
      </c>
    </row>
    <row r="199" ht="27.7" customHeight="1">
      <c r="A199" t="s" s="130">
        <v>39</v>
      </c>
      <c r="B199" t="s" s="131">
        <v>68</v>
      </c>
      <c r="C199" t="s" s="630">
        <v>988</v>
      </c>
      <c r="D199" s="629"/>
      <c r="E199" s="25">
        <v>45866</v>
      </c>
      <c r="F199" s="632"/>
      <c r="G199" s="633">
        <v>12221</v>
      </c>
      <c r="H199" t="s" s="131">
        <v>40</v>
      </c>
      <c r="I199" s="645">
        <v>45931</v>
      </c>
      <c r="J199" s="149">
        <v>12221</v>
      </c>
      <c r="K199" s="136">
        <f>J199-G199</f>
        <v>0</v>
      </c>
      <c r="L199" t="s" s="139">
        <v>2288</v>
      </c>
    </row>
    <row r="200" ht="27.7" customHeight="1" hidden="1">
      <c r="A200" s="163"/>
      <c r="B200" s="158"/>
      <c r="C200" s="642"/>
      <c r="D200" s="629"/>
      <c r="E200" s="8"/>
      <c r="F200" s="632"/>
      <c r="G200" s="633"/>
      <c r="H200" s="158"/>
      <c r="I200" s="137"/>
      <c r="J200" s="149"/>
      <c r="K200" s="136">
        <f>J200-G200</f>
        <v>0</v>
      </c>
      <c r="L200" s="164"/>
    </row>
    <row r="201" ht="27.7" customHeight="1" hidden="1">
      <c r="A201" s="163"/>
      <c r="B201" s="158"/>
      <c r="C201" s="642"/>
      <c r="D201" s="629"/>
      <c r="E201" s="8"/>
      <c r="F201" s="632"/>
      <c r="G201" s="633"/>
      <c r="H201" s="158"/>
      <c r="I201" s="137"/>
      <c r="J201" s="149"/>
      <c r="K201" s="136">
        <f>J201-G201</f>
        <v>0</v>
      </c>
      <c r="L201" s="164"/>
    </row>
    <row r="202" ht="27.7" customHeight="1">
      <c r="A202" s="163"/>
      <c r="B202" t="s" s="131">
        <v>420</v>
      </c>
      <c r="C202" t="s" s="183">
        <v>988</v>
      </c>
      <c r="D202" s="133"/>
      <c r="E202" s="647">
        <v>45925</v>
      </c>
      <c r="F202" s="632"/>
      <c r="G202" s="633">
        <v>13200</v>
      </c>
      <c r="H202" s="158"/>
      <c r="I202" s="135"/>
      <c r="J202" s="181"/>
      <c r="K202" s="136">
        <f>J202-G202</f>
        <v>-13200</v>
      </c>
      <c r="L202" s="164"/>
    </row>
    <row r="204" ht="34.6" customHeight="1">
      <c r="M204" t="s" s="649">
        <v>3037</v>
      </c>
      <c r="N204" t="s" s="650">
        <v>3038</v>
      </c>
      <c r="O204" s="651"/>
    </row>
    <row r="205" ht="34.6" customHeight="1">
      <c r="M205" t="s" s="652">
        <v>3039</v>
      </c>
      <c r="N205" s="653">
        <v>14014</v>
      </c>
      <c r="O205" s="653">
        <v>2285.36</v>
      </c>
    </row>
    <row r="206" ht="34.6" customHeight="1">
      <c r="M206" t="s" s="654">
        <v>3040</v>
      </c>
      <c r="N206" s="655">
        <v>2285.36</v>
      </c>
      <c r="O206" s="655"/>
    </row>
    <row r="207" ht="34.6" customHeight="1">
      <c r="M207" t="s" s="649">
        <v>3041</v>
      </c>
      <c r="N207" s="656">
        <f>N205-N206</f>
        <v>11728.64</v>
      </c>
      <c r="O207" s="657"/>
    </row>
    <row r="208" ht="34.6" customHeight="1">
      <c r="M208" t="s" s="658">
        <v>3042</v>
      </c>
      <c r="N208" s="659">
        <v>3040</v>
      </c>
      <c r="O208" s="659"/>
    </row>
    <row r="209" ht="34.6" customHeight="1">
      <c r="M209" t="s" s="658">
        <v>3043</v>
      </c>
      <c r="N209" s="659">
        <v>8688.639999999999</v>
      </c>
      <c r="O209" s="659"/>
    </row>
    <row r="210" ht="40.15" customHeight="1">
      <c r="M210" t="s" s="660">
        <v>3044</v>
      </c>
      <c r="N210" s="661">
        <f>N207-N208-N209</f>
        <v>0</v>
      </c>
      <c r="O210" s="662"/>
    </row>
    <row r="212" ht="40.2" customHeight="1">
      <c r="P212" t="s" s="131">
        <v>988</v>
      </c>
      <c r="Q212" s="664"/>
      <c r="R212" s="665"/>
    </row>
    <row r="213" ht="40.2" customHeight="1">
      <c r="P213" s="666"/>
      <c r="Q213" s="667"/>
      <c r="R213" s="136"/>
    </row>
    <row r="214" ht="40.2" customHeight="1">
      <c r="P214" t="s" s="668">
        <v>0</v>
      </c>
      <c r="Q214" t="s" s="668">
        <v>3</v>
      </c>
      <c r="R214" t="s" s="668">
        <v>2088</v>
      </c>
    </row>
    <row r="215" ht="40.2" customHeight="1">
      <c r="P215" t="s" s="669">
        <v>68</v>
      </c>
      <c r="Q215" s="670">
        <v>45866</v>
      </c>
      <c r="R215" s="671">
        <v>12221</v>
      </c>
    </row>
    <row r="216" ht="40.2" customHeight="1">
      <c r="P216" t="s" s="672">
        <v>3045</v>
      </c>
      <c r="Q216" t="s" s="673">
        <v>3046</v>
      </c>
      <c r="R216" s="156"/>
    </row>
    <row r="217" ht="40.2" customHeight="1">
      <c r="P217" t="s" s="672">
        <v>3047</v>
      </c>
      <c r="Q217" t="s" s="674">
        <v>3048</v>
      </c>
      <c r="R217" s="156"/>
    </row>
    <row r="218" ht="40.2" customHeight="1">
      <c r="P218" t="s" s="672">
        <v>3049</v>
      </c>
      <c r="Q218" t="s" s="675">
        <v>3050</v>
      </c>
      <c r="R218" s="156"/>
    </row>
    <row r="219" ht="40.2" customHeight="1">
      <c r="P219" s="676"/>
      <c r="Q219" s="676"/>
      <c r="R219" s="676"/>
    </row>
    <row r="220" ht="40.2" customHeight="1">
      <c r="P220" t="s" s="668">
        <v>0</v>
      </c>
      <c r="Q220" t="s" s="668">
        <v>3</v>
      </c>
      <c r="R220" t="s" s="668">
        <v>2088</v>
      </c>
    </row>
    <row r="221" ht="40.2" customHeight="1">
      <c r="P221" t="s" s="677">
        <v>420</v>
      </c>
      <c r="Q221" s="670">
        <v>45842</v>
      </c>
      <c r="R221" s="671">
        <v>12100</v>
      </c>
    </row>
    <row r="222" ht="40.2" customHeight="1">
      <c r="P222" t="s" s="672">
        <v>3045</v>
      </c>
      <c r="Q222" t="s" s="673">
        <v>3051</v>
      </c>
      <c r="R222" s="156"/>
    </row>
    <row r="223" ht="40.2" customHeight="1">
      <c r="P223" t="s" s="672">
        <v>3047</v>
      </c>
      <c r="Q223" t="s" s="674">
        <v>3052</v>
      </c>
      <c r="R223" s="156"/>
    </row>
    <row r="224" ht="40.2" customHeight="1">
      <c r="P224" t="s" s="672">
        <v>3053</v>
      </c>
      <c r="Q224" t="s" s="675">
        <v>3054</v>
      </c>
      <c r="R224" s="156"/>
    </row>
    <row r="225" ht="40.2" customHeight="1">
      <c r="P225" s="678"/>
      <c r="Q225" s="678"/>
      <c r="R225" s="678"/>
    </row>
    <row r="226" ht="40.2" customHeight="1">
      <c r="P226" s="679"/>
      <c r="Q226" s="679"/>
      <c r="R226" s="679"/>
    </row>
    <row r="227" ht="40.2" customHeight="1">
      <c r="P227" s="679"/>
      <c r="Q227" s="679"/>
      <c r="R227" s="679"/>
    </row>
  </sheetData>
  <mergeCells count="8">
    <mergeCell ref="A1:L1"/>
    <mergeCell ref="P212:R212"/>
    <mergeCell ref="Q216:R216"/>
    <mergeCell ref="Q218:R218"/>
    <mergeCell ref="Q222:R222"/>
    <mergeCell ref="Q224:R224"/>
    <mergeCell ref="Q223:R223"/>
    <mergeCell ref="Q217:R217"/>
  </mergeCells>
  <dataValidations count="9">
    <dataValidation type="list" allowBlank="1" showInputMessage="1" showErrorMessage="1" sqref="B2">
      <formula1>",Fornecedor,MADEFLONA,GABRIELENSE,MAD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A3:A202">
      <formula1>",-,RECEBER,PAGANDO...,ATRASADO,CONFERIR,Revisar,EM REVISÃO,?,OK,OK (Pastinha),OK (Enviar),OK (Enviado),OK (Envelope),Contato Cliente,Solicitar Envio,Acompanhar,ENVIAR,PEPINO,LUCIANO,REVISAR,REVISÃO,SOLICITAR ENVIO"</formula1>
    </dataValidation>
    <dataValidation type="list" allowBlank="1" showInputMessage="1" showErrorMessage="1" sqref="B3:B128 B183 B187:B191">
      <formula1>",Fornecedor,MADEFLONA,GABRIELENSE,MAD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H3:H198 H200:H202">
      <formula1>",Fornecedor,MADEFLONA,GABRIELENSE,MAD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B129:B144 B148:B151 B163:B170 B180:B182 B192:B194 B198 B200:B202">
      <formula1>",MADEFLONA,GABRIELENSE,MAD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B145:B147 B152:B162 B171:B179 B184:B186 B195:B197 B199">
      <formula1>",MADEFLONA,GABRIELENSE,MAD VITORIA,MADEPOL / PANDA,MADERAZI,BRASIL FLORA,IMPERIO WOODS,KL ART. DE MADEIRAS,SERRARIA BROCADO,MAD TAMARINO,CICHELERO,PORTERIT,TREVISO,NORTE SUL,WD NEUHAUS,D.S. DE OLIVEIRA,MARINHO / LF SANTOS,EPG / EMERSON,LH PORTAS,HM PORTAS"</formula1>
    </dataValidation>
    <dataValidation type="list" allowBlank="1" showInputMessage="1" showErrorMessage="1" sqref="H199">
      <formula1>",Fornecedor,MADEFLONA,GABRIELENSE,MAD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  <dataValidation type="list" allowBlank="1" showInputMessage="1" showErrorMessage="1" sqref="P213 P215 P221">
      <formula1>",MADEFLONA,GABRIELENSE,MAD VITORIA,MADEPOL / PANDA,MADERAZI,BRASIL FLORA,IMPERIO WOODS,KL ART. DE MADEIRAS,SERRARIA BROCADO,MAD TAMARINO,CICHELERO,PORTERIT,TREVISO,NORTE SUL,WD NEUHAUS,D.S. DE OLIVEIRA,MARINHO / LF SANTOS,EPG / EMERSON,LH PORTAS,HM PORTAS"</formula1>
    </dataValidation>
    <dataValidation type="list" allowBlank="1" showInputMessage="1" showErrorMessage="1" sqref="P214 P220">
      <formula1>",Fornecedor,MADEFLONA,GABRIELENSE,MAD VITORIA,MADEPOL,MADERAZI,BRASIL FLORA,IMPERIO WOODS,KL ARTEFATOS,S. BROCADO,MAD TAMARINO,CICHELERO,PORTERIT,TREVISO,NORTE SUL,WD NEUHAUS,D.S. DE OLIVEIRA,MARINHO / LF SANTOS,EPG / EMERSON,LH PORTAS,HM PORTAS,RINNOVARE"</formula1>
    </dataValidation>
  </dataValidations>
  <pageMargins left="1" right="1" top="1" bottom="1" header="0.25" footer="0.25"/>
  <pageSetup firstPageNumber="1" fitToHeight="1" fitToWidth="1" scale="100" useFirstPageNumber="0" orientation="landscape" pageOrder="downThenOver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15"/>
  <sheetViews>
    <sheetView workbookViewId="0" showGridLines="0" defaultGridColor="1">
      <pane topLeftCell="E2" xSplit="4" ySplit="1" activePane="bottomRight" state="frozen"/>
    </sheetView>
  </sheetViews>
  <sheetFormatPr defaultColWidth="16.3333" defaultRowHeight="19.9" customHeight="1" outlineLevelRow="0" outlineLevelCol="0"/>
  <cols>
    <col min="1" max="1" width="11.7344" style="680" customWidth="1"/>
    <col min="2" max="2" width="16.8047" style="680" customWidth="1"/>
    <col min="3" max="3" width="31.7734" style="680" customWidth="1"/>
    <col min="4" max="4" width="18.4609" style="680" customWidth="1"/>
    <col min="5" max="7" width="10.0469" style="680" customWidth="1"/>
    <col min="8" max="10" width="11.7422" style="680" customWidth="1"/>
    <col min="11" max="11" width="15.4062" style="680" customWidth="1"/>
    <col min="12" max="12" width="10.0469" style="680" customWidth="1"/>
    <col min="13" max="13" width="43.2969" style="680" customWidth="1"/>
    <col min="14" max="16384" width="16.3516" style="680" customWidth="1"/>
  </cols>
  <sheetData>
    <row r="1" ht="30.4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5</v>
      </c>
      <c r="G1" t="s" s="3">
        <v>4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3055</v>
      </c>
      <c r="M1" s="2"/>
    </row>
    <row r="2" ht="30.45" customHeight="1">
      <c r="A2" t="s" s="17">
        <v>517</v>
      </c>
      <c r="B2" t="s" s="5">
        <v>3056</v>
      </c>
      <c r="C2" t="s" s="6">
        <v>3057</v>
      </c>
      <c r="D2" t="s" s="7">
        <v>468</v>
      </c>
      <c r="E2" s="25">
        <v>45133</v>
      </c>
      <c r="F2" s="16"/>
      <c r="G2" s="16"/>
      <c r="H2" s="26">
        <v>8904.690000000001</v>
      </c>
      <c r="I2" s="26">
        <v>7581.16</v>
      </c>
      <c r="J2" s="15">
        <f>I2-H2</f>
        <v>-1323.53</v>
      </c>
      <c r="K2" t="s" s="14">
        <v>467</v>
      </c>
      <c r="L2" s="16"/>
      <c r="M2" s="16"/>
    </row>
    <row r="3" ht="30.45" customHeight="1">
      <c r="A3" t="s" s="17">
        <v>108</v>
      </c>
      <c r="B3" t="s" s="5">
        <v>21</v>
      </c>
      <c r="C3" t="s" s="6">
        <v>334</v>
      </c>
      <c r="D3" t="s" s="7">
        <v>319</v>
      </c>
      <c r="E3" s="25">
        <v>45143</v>
      </c>
      <c r="F3" s="16"/>
      <c r="G3" s="16"/>
      <c r="H3" s="26">
        <v>50103.17</v>
      </c>
      <c r="I3" s="26">
        <v>44250</v>
      </c>
      <c r="J3" s="15">
        <f>I3-H3</f>
        <v>-5853.17</v>
      </c>
      <c r="K3" t="s" s="14">
        <v>24</v>
      </c>
      <c r="L3" s="16"/>
      <c r="M3" t="s" s="10">
        <v>3058</v>
      </c>
    </row>
    <row r="4" ht="30.45" customHeight="1">
      <c r="A4" t="s" s="17">
        <v>108</v>
      </c>
      <c r="B4" t="s" s="5">
        <v>317</v>
      </c>
      <c r="C4" t="s" s="6">
        <v>3059</v>
      </c>
      <c r="D4" s="92"/>
      <c r="E4" s="25">
        <v>45233</v>
      </c>
      <c r="F4" s="16"/>
      <c r="G4" s="16"/>
      <c r="H4" s="26">
        <v>20520.5</v>
      </c>
      <c r="I4" s="26">
        <v>20220.5</v>
      </c>
      <c r="J4" s="15">
        <f>I4-H4</f>
        <v>-300</v>
      </c>
      <c r="K4" t="s" s="14">
        <v>24</v>
      </c>
      <c r="L4" s="16"/>
      <c r="M4" t="s" s="10">
        <v>3060</v>
      </c>
    </row>
    <row r="5" ht="30.45" customHeight="1">
      <c r="A5" t="s" s="17">
        <v>517</v>
      </c>
      <c r="B5" t="s" s="5">
        <v>3061</v>
      </c>
      <c r="C5" t="s" s="6">
        <v>3062</v>
      </c>
      <c r="D5" t="s" s="7">
        <v>3063</v>
      </c>
      <c r="E5" s="25">
        <v>45009</v>
      </c>
      <c r="F5" t="s" s="10">
        <v>517</v>
      </c>
      <c r="G5" s="16"/>
      <c r="H5" s="26">
        <v>-1240</v>
      </c>
      <c r="I5" s="26"/>
      <c r="J5" s="15">
        <f>I5-H5</f>
        <v>1240</v>
      </c>
      <c r="K5" t="s" s="14">
        <v>24</v>
      </c>
      <c r="L5" s="9">
        <v>26</v>
      </c>
      <c r="M5" t="s" s="121">
        <v>3064</v>
      </c>
    </row>
    <row r="6" ht="30.45" customHeight="1">
      <c r="A6" t="s" s="17">
        <v>24</v>
      </c>
      <c r="B6" s="123"/>
      <c r="C6" s="122"/>
      <c r="D6" s="92"/>
      <c r="E6" s="93"/>
      <c r="F6" s="16"/>
      <c r="G6" s="16"/>
      <c r="H6" s="26"/>
      <c r="I6" s="26"/>
      <c r="J6" s="15">
        <f>I6-H6</f>
        <v>0</v>
      </c>
      <c r="K6" t="s" s="14">
        <v>24</v>
      </c>
      <c r="L6" s="16"/>
      <c r="M6" s="16"/>
    </row>
    <row r="7" ht="30.45" customHeight="1">
      <c r="A7" t="s" s="17">
        <v>108</v>
      </c>
      <c r="B7" t="s" s="5">
        <v>79</v>
      </c>
      <c r="C7" t="s" s="6">
        <v>3065</v>
      </c>
      <c r="D7" s="92"/>
      <c r="E7" s="25">
        <v>45115</v>
      </c>
      <c r="F7" s="16"/>
      <c r="G7" s="16"/>
      <c r="H7" s="26"/>
      <c r="I7" s="26"/>
      <c r="J7" s="15">
        <f>I7-H7</f>
        <v>0</v>
      </c>
      <c r="K7" t="s" s="14">
        <v>24</v>
      </c>
      <c r="L7" s="16"/>
      <c r="M7" s="16"/>
    </row>
    <row r="8" ht="30.45" customHeight="1">
      <c r="A8" t="s" s="17">
        <v>24</v>
      </c>
      <c r="B8" s="123"/>
      <c r="C8" s="122"/>
      <c r="D8" s="92"/>
      <c r="E8" s="93"/>
      <c r="F8" s="16"/>
      <c r="G8" s="16"/>
      <c r="H8" s="26"/>
      <c r="I8" s="26"/>
      <c r="J8" s="15">
        <f>I8-H8</f>
        <v>0</v>
      </c>
      <c r="K8" t="s" s="14">
        <v>24</v>
      </c>
      <c r="L8" s="16"/>
      <c r="M8" s="16"/>
    </row>
    <row r="9" ht="30.45" customHeight="1">
      <c r="A9" t="s" s="17">
        <v>24</v>
      </c>
      <c r="B9" s="123"/>
      <c r="C9" s="122"/>
      <c r="D9" s="92"/>
      <c r="E9" s="93"/>
      <c r="F9" s="16"/>
      <c r="G9" s="16"/>
      <c r="H9" s="26"/>
      <c r="I9" s="26"/>
      <c r="J9" s="15">
        <f>I9-H9</f>
        <v>0</v>
      </c>
      <c r="K9" t="s" s="14">
        <v>24</v>
      </c>
      <c r="L9" s="16"/>
      <c r="M9" s="16"/>
    </row>
    <row r="10" ht="30.45" customHeight="1">
      <c r="A10" t="s" s="17">
        <v>24</v>
      </c>
      <c r="B10" s="123"/>
      <c r="C10" s="122"/>
      <c r="D10" s="92"/>
      <c r="E10" s="93"/>
      <c r="F10" s="16"/>
      <c r="G10" s="16"/>
      <c r="H10" s="26"/>
      <c r="I10" s="26"/>
      <c r="J10" s="15">
        <f>I10-H10</f>
        <v>0</v>
      </c>
      <c r="K10" t="s" s="14">
        <v>24</v>
      </c>
      <c r="L10" s="16"/>
      <c r="M10" s="16"/>
    </row>
    <row r="11" ht="30.45" customHeight="1">
      <c r="A11" t="s" s="17">
        <v>24</v>
      </c>
      <c r="B11" s="123"/>
      <c r="C11" s="122"/>
      <c r="D11" s="92"/>
      <c r="E11" s="93"/>
      <c r="F11" s="16"/>
      <c r="G11" s="16"/>
      <c r="H11" s="26"/>
      <c r="I11" s="26"/>
      <c r="J11" s="15">
        <f>I11-H11</f>
        <v>0</v>
      </c>
      <c r="K11" t="s" s="14">
        <v>24</v>
      </c>
      <c r="L11" s="16"/>
      <c r="M11" s="16"/>
    </row>
    <row r="12" ht="30.45" customHeight="1">
      <c r="A12" t="s" s="17">
        <v>24</v>
      </c>
      <c r="B12" s="123"/>
      <c r="C12" s="122"/>
      <c r="D12" s="92"/>
      <c r="E12" s="93"/>
      <c r="F12" s="16"/>
      <c r="G12" s="16"/>
      <c r="H12" s="26"/>
      <c r="I12" s="26"/>
      <c r="J12" s="15">
        <f>I12-H12</f>
        <v>0</v>
      </c>
      <c r="K12" t="s" s="14">
        <v>24</v>
      </c>
      <c r="L12" s="16"/>
      <c r="M12" s="16"/>
    </row>
    <row r="13" ht="30.45" customHeight="1">
      <c r="A13" t="s" s="17">
        <v>24</v>
      </c>
      <c r="B13" s="123"/>
      <c r="C13" s="122"/>
      <c r="D13" s="92"/>
      <c r="E13" s="93"/>
      <c r="F13" s="16"/>
      <c r="G13" s="16"/>
      <c r="H13" s="26"/>
      <c r="I13" s="26"/>
      <c r="J13" s="15">
        <f>I13-H13</f>
        <v>0</v>
      </c>
      <c r="K13" t="s" s="14">
        <v>24</v>
      </c>
      <c r="L13" s="16"/>
      <c r="M13" s="16"/>
    </row>
    <row r="14" ht="30.45" customHeight="1">
      <c r="A14" t="s" s="17">
        <v>24</v>
      </c>
      <c r="B14" s="123"/>
      <c r="C14" s="122"/>
      <c r="D14" s="92"/>
      <c r="E14" s="93"/>
      <c r="F14" s="16"/>
      <c r="G14" s="16"/>
      <c r="H14" s="26"/>
      <c r="I14" s="26"/>
      <c r="J14" s="15">
        <f>I14-H14</f>
        <v>0</v>
      </c>
      <c r="K14" t="s" s="14">
        <v>24</v>
      </c>
      <c r="L14" s="16"/>
      <c r="M14" s="16"/>
    </row>
    <row r="15" ht="30.45" customHeight="1">
      <c r="A15" t="s" s="17">
        <v>24</v>
      </c>
      <c r="B15" s="123"/>
      <c r="C15" s="122"/>
      <c r="D15" s="92"/>
      <c r="E15" s="93"/>
      <c r="F15" s="16"/>
      <c r="G15" s="16"/>
      <c r="H15" s="26"/>
      <c r="I15" s="26"/>
      <c r="J15" s="15">
        <f>I15-H15</f>
        <v>0</v>
      </c>
      <c r="K15" t="s" s="14">
        <v>24</v>
      </c>
      <c r="L15" s="16"/>
      <c r="M15" s="16"/>
    </row>
  </sheetData>
  <dataValidations count="3">
    <dataValidation type="list" allowBlank="1" showInputMessage="1" showErrorMessage="1" sqref="A2:A15">
      <formula1>"-,RECEBER,CONFERIR,?,REVISAR"</formula1>
    </dataValidation>
    <dataValidation type="list" allowBlank="1" showInputMessage="1" showErrorMessage="1" sqref="B2:B15">
      <formula1>",GABRIELENSE,MAD VITORIA,MADEPOL / PANDA,MADERAZI,MADEFLONA,BRASIL FLORA,IMPERIO WOODS,KL ART. DE MADEIRAS,SERRARIA BROCADO,MAD TAMARINO,CICHELERO,PORTERIT,TREVISO,NORTE SUL,WD NEUHAUS,D.S. DE OLIVEIRA,MARINHO / LF SANTOS,EPG / EMERSON,LH PORTAS,HM PORTAS"</formula1>
    </dataValidation>
    <dataValidation type="list" allowBlank="1" showInputMessage="1" showErrorMessage="1" sqref="K2:K15">
      <formula1>"-,01 - Norte,02 - Noroeste,03 - Litoral Norte,04 - Rio Doce,05 - Santas,06 - Central,07 - Metropolitana,08 - Montanhas,09 - Caparaó,10 - Litoral Sul,11 - Sul,12 - MG,13 - BA"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25.9375" style="681" customWidth="1"/>
    <col min="2" max="2" width="13.4219" style="681" customWidth="1"/>
    <col min="3" max="3" width="21.2578" style="681" customWidth="1"/>
    <col min="4" max="7" width="16.3516" style="681" customWidth="1"/>
    <col min="8" max="16384" width="16.3516" style="681" customWidth="1"/>
  </cols>
  <sheetData>
    <row r="1" ht="20.25" customHeight="1">
      <c r="A1" s="682"/>
      <c r="B1" s="683"/>
      <c r="C1" s="682"/>
      <c r="D1" s="682"/>
      <c r="E1" s="682"/>
      <c r="F1" s="682"/>
      <c r="G1" s="682"/>
    </row>
    <row r="2" ht="20.25" customHeight="1">
      <c r="A2" t="s" s="684">
        <v>3061</v>
      </c>
      <c r="B2" s="685"/>
      <c r="C2" t="s" s="686">
        <v>3066</v>
      </c>
      <c r="D2" s="687"/>
      <c r="E2" s="687"/>
      <c r="F2" s="687"/>
      <c r="G2" s="687"/>
    </row>
    <row r="3" ht="32.05" customHeight="1">
      <c r="A3" t="s" s="688">
        <v>3061</v>
      </c>
      <c r="B3" t="s" s="689">
        <v>3067</v>
      </c>
      <c r="C3" t="s" s="690">
        <v>3062</v>
      </c>
      <c r="D3" s="691">
        <v>-1240</v>
      </c>
      <c r="E3" t="s" s="690">
        <v>3063</v>
      </c>
      <c r="F3" t="s" s="692">
        <v>3068</v>
      </c>
      <c r="G3" s="679"/>
    </row>
    <row r="4" ht="20.05" customHeight="1">
      <c r="A4" s="693"/>
      <c r="B4" s="694"/>
      <c r="C4" s="695"/>
      <c r="D4" s="679"/>
      <c r="E4" s="679"/>
      <c r="F4" s="679"/>
      <c r="G4" s="679"/>
    </row>
    <row r="5" ht="20.05" customHeight="1">
      <c r="A5" t="s" s="688">
        <v>3056</v>
      </c>
      <c r="B5" s="694"/>
      <c r="C5" t="s" s="690">
        <v>3069</v>
      </c>
      <c r="D5" s="679"/>
      <c r="E5" s="679"/>
      <c r="F5" s="679"/>
      <c r="G5" s="679"/>
    </row>
    <row r="6" ht="20.05" customHeight="1">
      <c r="A6" s="693"/>
      <c r="B6" s="694"/>
      <c r="C6" s="695"/>
      <c r="D6" s="679"/>
      <c r="E6" s="679"/>
      <c r="F6" s="679"/>
      <c r="G6" s="679"/>
    </row>
    <row r="7" ht="20.05" customHeight="1">
      <c r="A7" s="693"/>
      <c r="B7" s="694"/>
      <c r="C7" s="695"/>
      <c r="D7" s="679"/>
      <c r="E7" s="679"/>
      <c r="F7" s="679"/>
      <c r="G7" s="679"/>
    </row>
    <row r="8" ht="32.05" customHeight="1">
      <c r="A8" t="s" s="688">
        <v>317</v>
      </c>
      <c r="B8" s="694"/>
      <c r="C8" t="s" s="690">
        <v>3070</v>
      </c>
      <c r="D8" s="679"/>
      <c r="E8" s="679"/>
      <c r="F8" s="679"/>
      <c r="G8" s="679"/>
    </row>
    <row r="9" ht="20.05" customHeight="1">
      <c r="A9" s="693"/>
      <c r="B9" s="694"/>
      <c r="C9" s="695"/>
      <c r="D9" s="679"/>
      <c r="E9" s="679"/>
      <c r="F9" s="679"/>
      <c r="G9" s="679"/>
    </row>
    <row r="10" ht="20.05" customHeight="1">
      <c r="A10" s="693"/>
      <c r="B10" s="694"/>
      <c r="C10" s="695"/>
      <c r="D10" s="679"/>
      <c r="E10" s="679"/>
      <c r="F10" s="679"/>
      <c r="G10" s="679"/>
    </row>
    <row r="11" ht="20.05" customHeight="1">
      <c r="A11" s="693"/>
      <c r="B11" s="694"/>
      <c r="C11" s="695"/>
      <c r="D11" s="679"/>
      <c r="E11" s="679"/>
      <c r="F11" s="679"/>
      <c r="G11" s="679"/>
    </row>
    <row r="12" ht="20.05" customHeight="1">
      <c r="A12" s="693"/>
      <c r="B12" s="694"/>
      <c r="C12" s="695"/>
      <c r="D12" s="679"/>
      <c r="E12" s="679"/>
      <c r="F12" s="679"/>
      <c r="G12" s="679"/>
    </row>
    <row r="13" ht="20.05" customHeight="1">
      <c r="A13" s="693"/>
      <c r="B13" s="694"/>
      <c r="C13" s="695"/>
      <c r="D13" s="679"/>
      <c r="E13" s="679"/>
      <c r="F13" s="679"/>
      <c r="G13" s="679"/>
    </row>
    <row r="14" ht="20.05" customHeight="1">
      <c r="A14" s="693"/>
      <c r="B14" s="694"/>
      <c r="C14" s="695"/>
      <c r="D14" s="679"/>
      <c r="E14" s="679"/>
      <c r="F14" s="679"/>
      <c r="G14" s="679"/>
    </row>
    <row r="15" ht="20.05" customHeight="1">
      <c r="A15" s="693"/>
      <c r="B15" s="694"/>
      <c r="C15" s="695"/>
      <c r="D15" s="679"/>
      <c r="E15" s="679"/>
      <c r="F15" s="679"/>
      <c r="G15" s="679"/>
    </row>
    <row r="16" ht="20.05" customHeight="1">
      <c r="A16" s="693"/>
      <c r="B16" s="694"/>
      <c r="C16" s="695"/>
      <c r="D16" s="679"/>
      <c r="E16" s="679"/>
      <c r="F16" s="679"/>
      <c r="G16" s="679"/>
    </row>
    <row r="17" ht="20.05" customHeight="1">
      <c r="A17" s="693"/>
      <c r="B17" s="694"/>
      <c r="C17" s="695"/>
      <c r="D17" s="679"/>
      <c r="E17" s="679"/>
      <c r="F17" s="679"/>
      <c r="G17" s="679"/>
    </row>
    <row r="18" ht="20.05" customHeight="1">
      <c r="A18" s="693"/>
      <c r="B18" s="694"/>
      <c r="C18" s="695"/>
      <c r="D18" s="679"/>
      <c r="E18" s="679"/>
      <c r="F18" s="679"/>
      <c r="G18" s="679"/>
    </row>
    <row r="19" ht="20.05" customHeight="1">
      <c r="A19" s="693"/>
      <c r="B19" s="694"/>
      <c r="C19" s="695"/>
      <c r="D19" s="679"/>
      <c r="E19" s="679"/>
      <c r="F19" s="679"/>
      <c r="G19" s="679"/>
    </row>
    <row r="20" ht="20.05" customHeight="1">
      <c r="A20" s="693"/>
      <c r="B20" s="694"/>
      <c r="C20" s="695"/>
      <c r="D20" s="679"/>
      <c r="E20" s="679"/>
      <c r="F20" s="679"/>
      <c r="G20" s="679"/>
    </row>
    <row r="21" ht="20.05" customHeight="1">
      <c r="A21" s="693"/>
      <c r="B21" s="694"/>
      <c r="C21" s="695"/>
      <c r="D21" s="679"/>
      <c r="E21" s="679"/>
      <c r="F21" s="679"/>
      <c r="G21" s="679"/>
    </row>
    <row r="22" ht="20.05" customHeight="1">
      <c r="A22" s="693"/>
      <c r="B22" s="694"/>
      <c r="C22" s="695"/>
      <c r="D22" s="679"/>
      <c r="E22" s="679"/>
      <c r="F22" s="679"/>
      <c r="G22" s="679"/>
    </row>
  </sheetData>
  <dataValidations count="1">
    <dataValidation type="list" allowBlank="1" showInputMessage="1" showErrorMessage="1" sqref="A2:A3">
      <formula1>",GABRIELENSE,MAD VITORIA,MADEPOL / PANDA,MADERAZI,MADEFLONA,BRASIL FLORA,IMPERIO WOODS,KL ART. DE MADEIRAS,SERRARIA BROCADO,MAD TAMARINO,CICHELERO,PORTERIT,TREVISO,NORTE SUL,WD NEUHAUS,D.S. DE OLIVEIRA,MARINHO / LF SANTOS,EPG / EMERSON,LH PORTAS,HM PORTAS"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9.1562" style="696" customWidth="1"/>
    <col min="2" max="2" width="29.2109" style="696" customWidth="1"/>
    <col min="3" max="3" width="32.6719" style="696" customWidth="1"/>
    <col min="4" max="4" width="13.4297" style="696" customWidth="1"/>
    <col min="5" max="5" width="16.3516" style="696" customWidth="1"/>
    <col min="6" max="16384" width="16.3516" style="696" customWidth="1"/>
  </cols>
  <sheetData>
    <row r="1" ht="32.65" customHeight="1">
      <c r="A1" s="697"/>
      <c r="B1" s="697"/>
      <c r="C1" s="697"/>
      <c r="D1" s="697"/>
      <c r="E1" s="697"/>
    </row>
    <row r="2" ht="32.65" customHeight="1">
      <c r="A2" t="s" s="698">
        <v>68</v>
      </c>
      <c r="B2" t="s" s="699">
        <v>3071</v>
      </c>
      <c r="C2" t="s" s="700">
        <v>3072</v>
      </c>
      <c r="D2" s="701">
        <v>2404</v>
      </c>
      <c r="E2" s="702"/>
    </row>
    <row r="3" ht="32.65" customHeight="1">
      <c r="A3" t="s" s="703">
        <v>420</v>
      </c>
      <c r="B3" t="s" s="704">
        <v>3073</v>
      </c>
      <c r="C3" t="s" s="705">
        <v>3074</v>
      </c>
      <c r="D3" s="706">
        <v>4525</v>
      </c>
      <c r="E3" s="707"/>
    </row>
    <row r="4" ht="32.35" customHeight="1">
      <c r="A4" t="s" s="703">
        <v>137</v>
      </c>
      <c r="B4" t="s" s="704">
        <v>3075</v>
      </c>
      <c r="C4" t="s" s="705">
        <v>3076</v>
      </c>
      <c r="D4" s="708">
        <v>760</v>
      </c>
      <c r="E4" s="707"/>
    </row>
    <row r="5" ht="32.35" customHeight="1">
      <c r="A5" t="s" s="703">
        <v>68</v>
      </c>
      <c r="B5" s="709"/>
      <c r="C5" s="707"/>
      <c r="D5" s="708"/>
      <c r="E5" s="707"/>
    </row>
    <row r="6" ht="32.35" customHeight="1">
      <c r="A6" t="s" s="703">
        <v>3056</v>
      </c>
      <c r="B6" t="s" s="704">
        <v>3077</v>
      </c>
      <c r="C6" s="707"/>
      <c r="D6" s="708">
        <v>18124.18</v>
      </c>
      <c r="E6" s="710">
        <v>44200.59</v>
      </c>
    </row>
    <row r="7" ht="32.35" customHeight="1">
      <c r="A7" t="s" s="703">
        <v>317</v>
      </c>
      <c r="B7" s="709"/>
      <c r="C7" s="707"/>
      <c r="D7" s="708">
        <v>18754.1</v>
      </c>
      <c r="E7" s="707"/>
    </row>
    <row r="8" ht="32.35" customHeight="1">
      <c r="A8" t="s" s="703">
        <v>3078</v>
      </c>
      <c r="B8" s="709"/>
      <c r="C8" s="707"/>
      <c r="D8" s="708">
        <v>27743.94</v>
      </c>
      <c r="E8" s="710">
        <f>E6-D6-D7</f>
        <v>7322.31</v>
      </c>
    </row>
    <row r="9" ht="32.35" customHeight="1">
      <c r="A9" t="s" s="703">
        <v>79</v>
      </c>
      <c r="B9" s="709"/>
      <c r="C9" t="s" s="705">
        <v>3079</v>
      </c>
      <c r="D9" s="708"/>
      <c r="E9" s="707"/>
    </row>
    <row r="10" ht="32.35" customHeight="1">
      <c r="A10" s="711"/>
      <c r="B10" s="709"/>
      <c r="C10" s="707"/>
      <c r="D10" s="708"/>
      <c r="E10" s="707"/>
    </row>
    <row r="11" ht="32.35" customHeight="1">
      <c r="A11" s="711"/>
      <c r="B11" s="712"/>
      <c r="C11" s="713"/>
      <c r="D11" s="714">
        <f>SUM(D2:D10)</f>
        <v>72311.22</v>
      </c>
      <c r="E11" t="s" s="715">
        <v>3080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716" customWidth="1"/>
    <col min="2" max="2" width="24.6953" style="716" customWidth="1"/>
    <col min="3" max="6" width="16.3516" style="716" customWidth="1"/>
    <col min="7" max="16384" width="16.3516" style="716" customWidth="1"/>
  </cols>
  <sheetData>
    <row r="1" ht="32.65" customHeight="1">
      <c r="A1" s="697"/>
      <c r="B1" s="697"/>
      <c r="C1" s="717"/>
      <c r="D1" s="697"/>
      <c r="E1" s="697"/>
      <c r="F1" s="697"/>
    </row>
    <row r="2" ht="32.65" customHeight="1">
      <c r="A2" s="718"/>
      <c r="B2" s="719"/>
      <c r="C2" s="720"/>
      <c r="D2" s="721"/>
      <c r="E2" s="702"/>
      <c r="F2" s="702"/>
    </row>
    <row r="3" ht="32.65" customHeight="1">
      <c r="A3" t="s" s="703">
        <v>68</v>
      </c>
      <c r="B3" t="s" s="722">
        <v>3081</v>
      </c>
      <c r="C3" t="s" s="723">
        <v>2987</v>
      </c>
      <c r="D3" s="706">
        <v>5157.3</v>
      </c>
      <c r="E3" s="724">
        <v>5634</v>
      </c>
      <c r="F3" s="707"/>
    </row>
    <row r="4" ht="32.65" customHeight="1">
      <c r="A4" t="s" s="703">
        <v>61</v>
      </c>
      <c r="B4" t="s" s="722">
        <v>3081</v>
      </c>
      <c r="C4" t="s" s="723">
        <v>2987</v>
      </c>
      <c r="D4" s="706">
        <v>525.1</v>
      </c>
      <c r="E4" s="725">
        <v>48.4</v>
      </c>
      <c r="F4" s="707"/>
    </row>
    <row r="5" ht="32.65" customHeight="1">
      <c r="A5" t="s" s="703">
        <v>61</v>
      </c>
      <c r="B5" t="s" s="722">
        <v>3082</v>
      </c>
      <c r="C5" t="s" s="723">
        <v>3083</v>
      </c>
      <c r="D5" s="706">
        <v>4000</v>
      </c>
      <c r="E5" s="707"/>
      <c r="F5" s="707"/>
    </row>
    <row r="6" ht="32.35" customHeight="1">
      <c r="A6" t="s" s="703">
        <v>61</v>
      </c>
      <c r="B6" t="s" s="704">
        <v>3084</v>
      </c>
      <c r="C6" t="s" s="723">
        <v>3085</v>
      </c>
      <c r="D6" s="708">
        <v>2753.73</v>
      </c>
      <c r="E6" s="707"/>
      <c r="F6" s="707"/>
    </row>
    <row r="7" ht="32.35" customHeight="1">
      <c r="A7" t="s" s="703">
        <v>61</v>
      </c>
      <c r="B7" t="s" s="704">
        <v>3086</v>
      </c>
      <c r="C7" t="s" s="723">
        <v>3085</v>
      </c>
      <c r="D7" s="708">
        <v>6422.78</v>
      </c>
      <c r="E7" s="707"/>
      <c r="F7" s="707"/>
    </row>
    <row r="8" ht="32.35" customHeight="1">
      <c r="A8" t="s" s="703">
        <v>3087</v>
      </c>
      <c r="B8" t="s" s="722">
        <v>3088</v>
      </c>
      <c r="C8" s="726"/>
      <c r="D8" s="706">
        <v>7034.01</v>
      </c>
      <c r="E8" s="707"/>
      <c r="F8" s="707"/>
    </row>
    <row r="9" ht="32.35" customHeight="1">
      <c r="A9" t="s" s="703">
        <v>40</v>
      </c>
      <c r="B9" t="s" s="704">
        <v>3089</v>
      </c>
      <c r="C9" s="726"/>
      <c r="D9" s="710"/>
      <c r="E9" s="707"/>
      <c r="F9" s="707"/>
    </row>
    <row r="10" ht="32.35" customHeight="1">
      <c r="A10" t="s" s="703">
        <v>317</v>
      </c>
      <c r="B10" t="s" s="704">
        <v>3090</v>
      </c>
      <c r="C10" t="s" s="723">
        <v>3091</v>
      </c>
      <c r="D10" s="710">
        <v>270</v>
      </c>
      <c r="E10" s="707"/>
      <c r="F10" s="707"/>
    </row>
    <row r="11" ht="32.35" customHeight="1">
      <c r="A11" t="s" s="703">
        <v>3092</v>
      </c>
      <c r="B11" t="s" s="704">
        <v>3093</v>
      </c>
      <c r="C11" t="s" s="723">
        <v>3085</v>
      </c>
      <c r="D11" s="710">
        <v>5839.2</v>
      </c>
      <c r="E11" s="727">
        <v>45253</v>
      </c>
      <c r="F11" s="707"/>
    </row>
    <row r="12" ht="32.35" customHeight="1">
      <c r="A12" t="s" s="703">
        <v>61</v>
      </c>
      <c r="B12" t="s" s="704">
        <v>3082</v>
      </c>
      <c r="C12" t="s" s="723">
        <v>3085</v>
      </c>
      <c r="D12" s="710">
        <v>9618.83</v>
      </c>
      <c r="E12" s="727">
        <v>45254</v>
      </c>
      <c r="F12" s="707"/>
    </row>
    <row r="13" ht="32.35" customHeight="1">
      <c r="A13" t="s" s="703">
        <v>3087</v>
      </c>
      <c r="B13" t="s" s="704">
        <v>3082</v>
      </c>
      <c r="C13" t="s" s="723">
        <v>3085</v>
      </c>
      <c r="D13" s="728">
        <v>12065.42</v>
      </c>
      <c r="E13" s="729">
        <v>45261</v>
      </c>
      <c r="F13" s="707"/>
    </row>
    <row r="14" ht="32.35" customHeight="1">
      <c r="A14" t="s" s="703">
        <v>21</v>
      </c>
      <c r="B14" t="s" s="704">
        <v>3094</v>
      </c>
      <c r="C14" t="s" s="723">
        <v>3095</v>
      </c>
      <c r="D14" s="728">
        <v>5348</v>
      </c>
      <c r="E14" s="729">
        <v>45300</v>
      </c>
      <c r="F14" s="707"/>
    </row>
    <row r="15" ht="32.35" customHeight="1">
      <c r="A15" t="s" s="703">
        <v>21</v>
      </c>
      <c r="B15" t="s" s="704">
        <v>3096</v>
      </c>
      <c r="C15" t="s" s="723">
        <v>3097</v>
      </c>
      <c r="D15" s="728">
        <v>222.5</v>
      </c>
      <c r="E15" s="707"/>
      <c r="F15" s="707"/>
    </row>
    <row r="16" ht="32.35" customHeight="1">
      <c r="A16" s="711"/>
      <c r="B16" s="709"/>
      <c r="C16" s="726"/>
      <c r="D16" s="710">
        <v>39111.79</v>
      </c>
      <c r="E16" t="s" s="705">
        <v>3098</v>
      </c>
      <c r="F16" s="710">
        <f>D16+D17+D18</f>
        <v>45580.25</v>
      </c>
    </row>
    <row r="17" ht="32.35" customHeight="1">
      <c r="A17" s="711"/>
      <c r="B17" s="709"/>
      <c r="C17" s="726"/>
      <c r="D17" s="710">
        <v>5088.8</v>
      </c>
      <c r="E17" s="707"/>
      <c r="F17" s="707"/>
    </row>
    <row r="18" ht="32.35" customHeight="1">
      <c r="A18" t="s" s="703">
        <v>33</v>
      </c>
      <c r="B18" t="s" s="704">
        <v>3096</v>
      </c>
      <c r="C18" t="s" s="723">
        <v>3097</v>
      </c>
      <c r="D18" s="710">
        <v>1379.66</v>
      </c>
      <c r="E18" s="707"/>
      <c r="F18" s="707"/>
    </row>
    <row r="19" ht="32.35" customHeight="1">
      <c r="A19" s="711"/>
      <c r="B19" s="709"/>
      <c r="C19" s="726"/>
      <c r="D19" s="710"/>
      <c r="E19" s="707"/>
      <c r="F19" s="707"/>
    </row>
    <row r="20" ht="32.35" customHeight="1">
      <c r="A20" t="s" s="703">
        <v>696</v>
      </c>
      <c r="B20" t="s" s="704">
        <v>3099</v>
      </c>
      <c r="C20" t="s" s="723">
        <v>3097</v>
      </c>
      <c r="D20" s="710">
        <v>393</v>
      </c>
      <c r="E20" s="707"/>
      <c r="F20" s="707"/>
    </row>
    <row r="21" ht="32.35" customHeight="1">
      <c r="A21" s="711"/>
      <c r="B21" s="709"/>
      <c r="C21" s="726"/>
      <c r="D21" s="710"/>
      <c r="E21" s="707"/>
      <c r="F21" s="707"/>
    </row>
    <row r="22" ht="32.35" customHeight="1">
      <c r="A22" s="711"/>
      <c r="B22" s="709"/>
      <c r="C22" s="726"/>
      <c r="D22" s="710"/>
      <c r="E22" s="707"/>
      <c r="F22" s="707"/>
    </row>
    <row r="23" ht="32.35" customHeight="1">
      <c r="A23" s="711"/>
      <c r="B23" s="709"/>
      <c r="C23" s="726"/>
      <c r="D23" s="710"/>
      <c r="E23" s="707"/>
      <c r="F23" s="707"/>
    </row>
    <row r="24" ht="32.35" customHeight="1">
      <c r="A24" s="711"/>
      <c r="B24" s="709"/>
      <c r="C24" s="726"/>
      <c r="D24" s="710"/>
      <c r="E24" s="707"/>
      <c r="F24" s="707"/>
    </row>
    <row r="25" ht="32.35" customHeight="1">
      <c r="A25" s="711"/>
      <c r="B25" s="712"/>
      <c r="C25" s="730"/>
      <c r="D25" s="714">
        <f>SUM(D2:D18)</f>
        <v>104837.12</v>
      </c>
      <c r="E25" t="s" s="715">
        <v>3080</v>
      </c>
      <c r="F25" s="73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5" width="16.3516" style="732" customWidth="1"/>
    <col min="6" max="10" width="16.3516" style="742" customWidth="1"/>
    <col min="11" max="16384" width="16.3516" style="742" customWidth="1"/>
  </cols>
  <sheetData>
    <row r="1" ht="20.25" customHeight="1">
      <c r="A1" s="682"/>
      <c r="B1" s="682"/>
      <c r="C1" s="682"/>
      <c r="D1" s="682"/>
      <c r="E1" s="682"/>
    </row>
    <row r="2" ht="20.25" customHeight="1">
      <c r="A2" s="733"/>
      <c r="B2" s="734">
        <v>5.029</v>
      </c>
      <c r="C2" s="735">
        <v>3400</v>
      </c>
      <c r="D2" s="735">
        <f>B2*C2</f>
        <v>17098.6</v>
      </c>
      <c r="E2" s="687"/>
    </row>
    <row r="3" ht="20.05" customHeight="1">
      <c r="A3" s="693"/>
      <c r="B3" s="736">
        <v>26.165</v>
      </c>
      <c r="C3" s="691">
        <v>2750</v>
      </c>
      <c r="D3" s="691">
        <f>B3*C3</f>
        <v>71953.75</v>
      </c>
      <c r="E3" s="679"/>
    </row>
    <row r="4" ht="20.05" customHeight="1">
      <c r="A4" s="693"/>
      <c r="B4" s="737"/>
      <c r="C4" s="691"/>
      <c r="D4" s="738">
        <f>D2+D3</f>
        <v>89052.350000000006</v>
      </c>
      <c r="E4" s="679"/>
    </row>
    <row r="5" ht="20.05" customHeight="1">
      <c r="A5" s="693"/>
      <c r="B5" s="737"/>
      <c r="C5" s="691"/>
      <c r="D5" s="691">
        <v>20800</v>
      </c>
      <c r="E5" s="679"/>
    </row>
    <row r="6" ht="20.05" customHeight="1">
      <c r="A6" s="693"/>
      <c r="B6" s="737"/>
      <c r="C6" s="691"/>
      <c r="D6" s="738">
        <f>D4-D5</f>
        <v>68252.350000000006</v>
      </c>
      <c r="E6" s="679"/>
    </row>
    <row r="7" ht="20.05" customHeight="1">
      <c r="A7" s="693"/>
      <c r="B7" s="737"/>
      <c r="C7" s="691"/>
      <c r="D7" s="739">
        <v>66164.95</v>
      </c>
      <c r="E7" t="s" s="740">
        <v>3100</v>
      </c>
    </row>
    <row r="8" ht="20.05" customHeight="1">
      <c r="A8" s="693"/>
      <c r="B8" s="737"/>
      <c r="C8" s="691"/>
      <c r="D8" s="741">
        <f>D7-D6</f>
        <v>-2087.4</v>
      </c>
      <c r="E8" s="679"/>
    </row>
    <row r="9" ht="20.05" customHeight="1">
      <c r="A9" s="693"/>
      <c r="B9" s="737"/>
      <c r="C9" s="691"/>
      <c r="D9" s="691"/>
      <c r="E9" s="679"/>
    </row>
    <row r="11" ht="20.25" customHeight="1">
      <c r="F11" s="682"/>
      <c r="G11" s="682"/>
      <c r="H11" s="682"/>
      <c r="I11" s="682"/>
      <c r="J11" s="682"/>
    </row>
    <row r="12" ht="20.25" customHeight="1">
      <c r="F12" s="733"/>
      <c r="G12" s="734">
        <v>4.441</v>
      </c>
      <c r="H12" s="735">
        <v>3200</v>
      </c>
      <c r="I12" s="735">
        <f>G12*H12</f>
        <v>14211.2</v>
      </c>
      <c r="J12" s="735">
        <f>D4-I14</f>
        <v>2887.4</v>
      </c>
    </row>
    <row r="13" ht="20.05" customHeight="1">
      <c r="F13" s="693"/>
      <c r="G13" s="736">
        <v>26.165</v>
      </c>
      <c r="H13" s="691">
        <v>2750</v>
      </c>
      <c r="I13" s="691">
        <f>G13*H13</f>
        <v>71953.75</v>
      </c>
      <c r="J13" s="679"/>
    </row>
    <row r="14" ht="20.05" customHeight="1">
      <c r="F14" s="693"/>
      <c r="G14" s="737"/>
      <c r="H14" s="691"/>
      <c r="I14" s="738">
        <f>I12+I13</f>
        <v>86164.95</v>
      </c>
      <c r="J14" s="679"/>
    </row>
    <row r="15" ht="20.05" customHeight="1">
      <c r="F15" s="693"/>
      <c r="G15" s="737"/>
      <c r="H15" s="691"/>
      <c r="I15" s="691">
        <v>20800</v>
      </c>
      <c r="J15" s="679"/>
    </row>
    <row r="16" ht="20.05" customHeight="1">
      <c r="F16" s="693"/>
      <c r="G16" s="737"/>
      <c r="H16" s="691"/>
      <c r="I16" s="738">
        <f>I14-I15</f>
        <v>65364.95</v>
      </c>
      <c r="J16" t="s" s="692">
        <v>6</v>
      </c>
    </row>
    <row r="17" ht="20.05" customHeight="1">
      <c r="F17" s="693"/>
      <c r="G17" s="737"/>
      <c r="H17" s="691"/>
      <c r="I17" s="739">
        <v>66164.95</v>
      </c>
      <c r="J17" t="s" s="740">
        <v>3100</v>
      </c>
    </row>
    <row r="18" ht="20.05" customHeight="1">
      <c r="F18" s="693"/>
      <c r="G18" s="737"/>
      <c r="H18" s="691"/>
      <c r="I18" s="743">
        <f>I17-I16</f>
        <v>800</v>
      </c>
      <c r="J18" s="679"/>
    </row>
    <row r="19" ht="20.05" customHeight="1">
      <c r="F19" s="693"/>
      <c r="G19" s="737"/>
      <c r="H19" s="691"/>
      <c r="I19" s="691"/>
      <c r="J19" s="67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10"/>
  <sheetViews>
    <sheetView workbookViewId="0" showGridLines="0" defaultGridColor="1">
      <pane topLeftCell="C2" xSplit="2" ySplit="1" activePane="bottomRight" state="frozen"/>
    </sheetView>
  </sheetViews>
  <sheetFormatPr defaultColWidth="16.3333" defaultRowHeight="19.9" customHeight="1" outlineLevelRow="0" outlineLevelCol="0"/>
  <cols>
    <col min="1" max="1" width="3.40625" style="744" customWidth="1"/>
    <col min="2" max="3" width="16.3516" style="744" customWidth="1"/>
    <col min="4" max="16384" width="16.3516" style="744" customWidth="1"/>
  </cols>
  <sheetData>
    <row r="1" ht="20.25" customHeight="1">
      <c r="A1" s="682"/>
      <c r="B1" t="s" s="745">
        <v>68</v>
      </c>
      <c r="C1" s="746">
        <v>45646</v>
      </c>
    </row>
    <row r="2" ht="20.25" customHeight="1">
      <c r="A2" t="s" s="747">
        <v>3101</v>
      </c>
      <c r="B2" t="s" s="748">
        <v>3102</v>
      </c>
      <c r="C2" s="749">
        <v>9400</v>
      </c>
    </row>
    <row r="3" ht="20.05" customHeight="1">
      <c r="A3" t="s" s="750">
        <v>3101</v>
      </c>
      <c r="B3" t="s" s="751">
        <v>3103</v>
      </c>
      <c r="C3" s="752">
        <v>9600</v>
      </c>
    </row>
    <row r="4" ht="20.05" customHeight="1">
      <c r="A4" t="s" s="750">
        <v>3104</v>
      </c>
      <c r="B4" t="s" s="753">
        <v>3080</v>
      </c>
      <c r="C4" s="754">
        <f>C2+C3</f>
        <v>19000</v>
      </c>
    </row>
    <row r="5" ht="20.05" customHeight="1">
      <c r="A5" t="s" s="750">
        <v>3105</v>
      </c>
      <c r="B5" t="s" s="751">
        <v>3106</v>
      </c>
      <c r="C5" s="755">
        <f>C4*0.02</f>
        <v>380</v>
      </c>
    </row>
    <row r="6" ht="20.05" customHeight="1">
      <c r="A6" t="s" s="750">
        <v>3107</v>
      </c>
      <c r="B6" t="s" s="751">
        <v>3108</v>
      </c>
      <c r="C6" s="752">
        <v>7492</v>
      </c>
    </row>
    <row r="7" ht="20.05" customHeight="1">
      <c r="A7" t="s" s="750">
        <v>3104</v>
      </c>
      <c r="B7" t="s" s="753">
        <v>3109</v>
      </c>
      <c r="C7" s="754">
        <f>C4-C5-C6</f>
        <v>11128</v>
      </c>
    </row>
    <row r="8" ht="20.05" customHeight="1">
      <c r="A8" t="s" s="750">
        <v>3107</v>
      </c>
      <c r="B8" t="s" s="751">
        <v>3110</v>
      </c>
      <c r="C8" s="752">
        <v>9520</v>
      </c>
    </row>
    <row r="9" ht="20.05" customHeight="1">
      <c r="A9" t="s" s="750">
        <v>3107</v>
      </c>
      <c r="B9" t="s" s="751">
        <v>3111</v>
      </c>
      <c r="C9" s="752">
        <f>C7-C8</f>
        <v>1608</v>
      </c>
    </row>
    <row r="10" ht="20.05" customHeight="1">
      <c r="A10" t="s" s="750">
        <v>3104</v>
      </c>
      <c r="B10" t="s" s="753">
        <v>3112</v>
      </c>
      <c r="C10" s="756">
        <f>C7-C8-C9</f>
        <v>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24"/>
  <sheetViews>
    <sheetView workbookViewId="0" showGridLines="0" defaultGridColor="1"/>
  </sheetViews>
  <sheetFormatPr defaultColWidth="16.3333" defaultRowHeight="19.9" customHeight="1" outlineLevelRow="0" outlineLevelCol="0"/>
  <cols>
    <col min="1" max="1" width="8.35156" style="757" customWidth="1"/>
    <col min="2" max="3" width="13.3516" style="757" customWidth="1"/>
    <col min="4" max="4" width="8.35156" style="757" customWidth="1"/>
    <col min="5" max="6" width="13.3516" style="757" customWidth="1"/>
    <col min="7" max="8" width="15" style="757" customWidth="1"/>
    <col min="9" max="9" width="8.35156" style="783" customWidth="1"/>
    <col min="10" max="13" width="15" style="783" customWidth="1"/>
    <col min="14" max="16384" width="16.3516" style="783" customWidth="1"/>
  </cols>
  <sheetData>
    <row r="1" ht="34.7" customHeight="1">
      <c r="A1" t="s" s="758">
        <v>3113</v>
      </c>
      <c r="B1" s="759"/>
      <c r="C1" s="760"/>
      <c r="D1" t="s" s="761">
        <v>3114</v>
      </c>
      <c r="E1" s="416"/>
      <c r="F1" s="762"/>
      <c r="G1" t="s" s="763">
        <v>2985</v>
      </c>
      <c r="H1" s="416"/>
    </row>
    <row r="2" ht="29.7" customHeight="1">
      <c r="A2" t="s" s="764">
        <v>3010</v>
      </c>
      <c r="B2" t="s" s="130">
        <v>2087</v>
      </c>
      <c r="C2" t="s" s="765">
        <v>3115</v>
      </c>
      <c r="D2" t="s" s="766">
        <v>3010</v>
      </c>
      <c r="E2" t="s" s="766">
        <v>2087</v>
      </c>
      <c r="F2" t="s" s="766">
        <v>3115</v>
      </c>
      <c r="G2" t="s" s="767">
        <v>2976</v>
      </c>
      <c r="H2" t="s" s="767">
        <v>3116</v>
      </c>
    </row>
    <row r="3" ht="27.7" customHeight="1">
      <c r="A3" t="s" s="764">
        <v>3117</v>
      </c>
      <c r="B3" s="147">
        <v>45862</v>
      </c>
      <c r="C3" s="768">
        <v>12313</v>
      </c>
      <c r="D3" s="766"/>
      <c r="E3" s="769"/>
      <c r="F3" s="770"/>
      <c r="G3" s="769">
        <v>45877</v>
      </c>
      <c r="H3" s="770">
        <f>C3+C4</f>
        <v>24626</v>
      </c>
    </row>
    <row r="4" ht="27.7" customHeight="1">
      <c r="A4" t="s" s="764">
        <v>3118</v>
      </c>
      <c r="B4" s="147">
        <v>45877</v>
      </c>
      <c r="C4" s="768">
        <v>12313</v>
      </c>
      <c r="D4" s="766"/>
      <c r="E4" s="769"/>
      <c r="F4" s="770"/>
      <c r="G4" s="771"/>
      <c r="H4" s="416"/>
    </row>
    <row r="5" ht="27.7" customHeight="1">
      <c r="A5" t="s" s="764">
        <v>3119</v>
      </c>
      <c r="B5" s="147">
        <v>45892</v>
      </c>
      <c r="C5" s="768">
        <v>12313</v>
      </c>
      <c r="D5" t="s" s="766">
        <v>3117</v>
      </c>
      <c r="E5" s="772">
        <v>45893</v>
      </c>
      <c r="F5" s="773">
        <v>12627</v>
      </c>
      <c r="G5" s="769">
        <v>45893</v>
      </c>
      <c r="H5" s="770">
        <f>C5+F5</f>
        <v>24940</v>
      </c>
    </row>
    <row r="6" ht="27.7" customHeight="1">
      <c r="A6" t="s" s="764">
        <v>3120</v>
      </c>
      <c r="B6" s="147">
        <v>45907</v>
      </c>
      <c r="C6" s="768">
        <v>12313</v>
      </c>
      <c r="D6" t="s" s="766">
        <v>3118</v>
      </c>
      <c r="E6" s="772">
        <v>45908</v>
      </c>
      <c r="F6" s="773">
        <v>12627</v>
      </c>
      <c r="G6" s="769">
        <v>45908</v>
      </c>
      <c r="H6" s="770">
        <f>C6+F6</f>
        <v>24940</v>
      </c>
    </row>
    <row r="7" ht="27.7" customHeight="1">
      <c r="A7" t="s" s="764">
        <v>3121</v>
      </c>
      <c r="B7" s="147">
        <v>45922</v>
      </c>
      <c r="C7" s="768">
        <v>12312</v>
      </c>
      <c r="D7" t="s" s="766">
        <v>3119</v>
      </c>
      <c r="E7" s="772">
        <v>45923</v>
      </c>
      <c r="F7" s="773">
        <v>12627</v>
      </c>
      <c r="G7" s="769">
        <v>45923</v>
      </c>
      <c r="H7" s="770">
        <f>C7+F7</f>
        <v>24939</v>
      </c>
    </row>
    <row r="8" ht="27.7" customHeight="1">
      <c r="A8" s="774"/>
      <c r="B8" s="775"/>
      <c r="C8" s="776"/>
      <c r="D8" t="s" s="766">
        <v>3120</v>
      </c>
      <c r="E8" s="772">
        <v>45938</v>
      </c>
      <c r="F8" s="773">
        <v>12627</v>
      </c>
      <c r="G8" s="769">
        <v>45938</v>
      </c>
      <c r="H8" s="770">
        <f>C8+F8</f>
        <v>12627</v>
      </c>
    </row>
    <row r="9" ht="27.7" customHeight="1">
      <c r="A9" s="774"/>
      <c r="B9" s="775"/>
      <c r="C9" s="776"/>
      <c r="D9" t="s" s="766">
        <v>3121</v>
      </c>
      <c r="E9" s="772">
        <v>45953</v>
      </c>
      <c r="F9" s="773">
        <v>12625.25</v>
      </c>
      <c r="G9" s="769">
        <v>45953</v>
      </c>
      <c r="H9" s="770">
        <f>C9+F9</f>
        <v>12625.25</v>
      </c>
    </row>
    <row r="10" ht="29.7" customHeight="1">
      <c r="A10" s="777"/>
      <c r="B10" s="778"/>
      <c r="C10" s="779">
        <f>SUM(C3:C9)</f>
        <v>61564</v>
      </c>
      <c r="D10" s="780"/>
      <c r="E10" s="416"/>
      <c r="F10" s="781">
        <f>SUM(F3:F9)</f>
        <v>63133.25</v>
      </c>
      <c r="G10" s="780"/>
      <c r="H10" s="782">
        <f>SUM(H3:H9)</f>
        <v>124697.25</v>
      </c>
    </row>
    <row r="12" ht="27.7" customHeight="1">
      <c r="I12" t="s" s="784">
        <v>3113</v>
      </c>
      <c r="J12" s="416"/>
      <c r="K12" s="762"/>
      <c r="L12" s="785"/>
      <c r="M12" s="786"/>
    </row>
    <row r="13" ht="27.7" customHeight="1">
      <c r="I13" t="s" s="766">
        <v>3010</v>
      </c>
      <c r="J13" t="s" s="787">
        <v>2087</v>
      </c>
      <c r="K13" t="s" s="787">
        <v>3115</v>
      </c>
      <c r="L13" s="785"/>
      <c r="M13" s="786"/>
    </row>
    <row r="14" ht="27.7" customHeight="1">
      <c r="I14" t="s" s="766">
        <v>3117</v>
      </c>
      <c r="J14" s="788">
        <v>45862</v>
      </c>
      <c r="K14" s="789">
        <v>20522</v>
      </c>
      <c r="L14" s="790">
        <f>K14</f>
        <v>20522</v>
      </c>
      <c r="M14" t="s" s="791">
        <v>3122</v>
      </c>
    </row>
    <row r="15" ht="27.7" customHeight="1">
      <c r="I15" t="s" s="766">
        <v>3119</v>
      </c>
      <c r="J15" s="788">
        <v>45892</v>
      </c>
      <c r="K15" s="789">
        <v>20521</v>
      </c>
      <c r="L15" s="792">
        <v>20521</v>
      </c>
      <c r="M15" t="s" s="791">
        <v>2150</v>
      </c>
    </row>
    <row r="16" ht="27.7" customHeight="1">
      <c r="I16" t="s" s="766">
        <v>3121</v>
      </c>
      <c r="J16" s="788">
        <v>45922</v>
      </c>
      <c r="K16" s="789">
        <v>20521</v>
      </c>
      <c r="L16" s="792">
        <v>20521</v>
      </c>
      <c r="M16" t="s" s="791">
        <v>2150</v>
      </c>
    </row>
    <row r="17" ht="27.7" customHeight="1">
      <c r="I17" t="s" s="766">
        <v>3123</v>
      </c>
      <c r="J17" s="416"/>
      <c r="K17" s="793">
        <f>SUM(K14:K16)</f>
        <v>61564</v>
      </c>
      <c r="L17" s="794">
        <f>L14+L15+L16</f>
        <v>61564</v>
      </c>
      <c r="M17" s="795"/>
    </row>
    <row r="18" ht="27.7" customHeight="1">
      <c r="I18" t="s" s="784">
        <v>3114</v>
      </c>
      <c r="J18" s="416"/>
      <c r="K18" s="762"/>
      <c r="L18" s="796"/>
      <c r="M18" s="786"/>
    </row>
    <row r="19" ht="27.7" customHeight="1">
      <c r="I19" t="s" s="766">
        <v>3010</v>
      </c>
      <c r="J19" t="s" s="787">
        <v>2087</v>
      </c>
      <c r="K19" t="s" s="787">
        <v>3115</v>
      </c>
      <c r="L19" s="796"/>
      <c r="M19" s="786"/>
    </row>
    <row r="20" ht="27.7" customHeight="1">
      <c r="I20" t="s" s="766">
        <v>3117</v>
      </c>
      <c r="J20" s="788">
        <v>45893</v>
      </c>
      <c r="K20" s="789">
        <v>21045</v>
      </c>
      <c r="L20" s="792">
        <v>20377</v>
      </c>
      <c r="M20" t="s" s="791">
        <v>2150</v>
      </c>
    </row>
    <row r="21" ht="27.7" customHeight="1">
      <c r="I21" t="s" s="766">
        <v>3119</v>
      </c>
      <c r="J21" s="788">
        <v>45923</v>
      </c>
      <c r="K21" s="789">
        <v>21044</v>
      </c>
      <c r="L21" s="792">
        <v>20377</v>
      </c>
      <c r="M21" t="s" s="791">
        <v>2150</v>
      </c>
    </row>
    <row r="22" ht="27.7" customHeight="1">
      <c r="I22" t="s" s="766">
        <v>3121</v>
      </c>
      <c r="J22" s="788">
        <v>45953</v>
      </c>
      <c r="K22" s="789">
        <v>21044.25</v>
      </c>
      <c r="L22" s="792">
        <v>20377</v>
      </c>
      <c r="M22" t="s" s="791">
        <v>2150</v>
      </c>
    </row>
    <row r="23" ht="27.7" customHeight="1">
      <c r="I23" t="s" s="766">
        <v>3123</v>
      </c>
      <c r="J23" s="416"/>
      <c r="K23" s="793">
        <f>SUM(K20:K22)</f>
        <v>63133.25</v>
      </c>
      <c r="L23" s="794">
        <f>L20+L21+L22</f>
        <v>61131</v>
      </c>
      <c r="M23" s="797"/>
    </row>
    <row r="24" ht="27.7" customHeight="1">
      <c r="I24" s="798"/>
      <c r="J24" s="799"/>
      <c r="K24" t="s" s="800">
        <v>3124</v>
      </c>
      <c r="L24" s="801">
        <f>K23-L23</f>
        <v>2002.25</v>
      </c>
      <c r="M24" t="s" s="791">
        <v>3125</v>
      </c>
    </row>
  </sheetData>
  <mergeCells count="12">
    <mergeCell ref="A1:C1"/>
    <mergeCell ref="D1:F1"/>
    <mergeCell ref="H3:H4"/>
    <mergeCell ref="G3:G4"/>
    <mergeCell ref="G1:H1"/>
    <mergeCell ref="A10:B10"/>
    <mergeCell ref="D10:E10"/>
    <mergeCell ref="I12:K12"/>
    <mergeCell ref="I18:K18"/>
    <mergeCell ref="I17:J17"/>
    <mergeCell ref="I23:J23"/>
    <mergeCell ref="I24:J2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