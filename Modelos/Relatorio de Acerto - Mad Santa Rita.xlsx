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CEBIMENTO" sheetId="1" r:id="rId4"/>
    <sheet name="ACERTO" sheetId="2" r:id="rId5"/>
  </sheets>
</workbook>
</file>

<file path=xl/sharedStrings.xml><?xml version="1.0" encoding="utf-8"?>
<sst xmlns="http://schemas.openxmlformats.org/spreadsheetml/2006/main" uniqueCount="62">
  <si>
    <t>OGURA REPRESENTAÇÕES</t>
  </si>
  <si>
    <t>RELATÓRIO DE ACERTO</t>
  </si>
  <si>
    <t>(27) 99987-0054</t>
  </si>
  <si>
    <t>luizogura@gmail.com</t>
  </si>
  <si>
    <t>Data / Emissão:</t>
  </si>
  <si>
    <t>FORNECEDOR:</t>
  </si>
  <si>
    <t>IND. E COM. DE MADEIRAS SANTA RITA LTDA</t>
  </si>
  <si>
    <t>DATA DE EMBARQUE:</t>
  </si>
  <si>
    <t>JUNHO DE 2026</t>
  </si>
  <si>
    <t>VALORES A PAGAR</t>
  </si>
  <si>
    <t>Embarque</t>
  </si>
  <si>
    <t>Pedido</t>
  </si>
  <si>
    <t>Cliente</t>
  </si>
  <si>
    <t>Marcadoria</t>
  </si>
  <si>
    <t>Frete</t>
  </si>
  <si>
    <t>ICMS</t>
  </si>
  <si>
    <t>Sobra</t>
  </si>
  <si>
    <t>Falta</t>
  </si>
  <si>
    <t>Liquido</t>
  </si>
  <si>
    <t>Desc. 2,5% AV</t>
  </si>
  <si>
    <t>Comissão 5%</t>
  </si>
  <si>
    <t>Total a Pagar</t>
  </si>
  <si>
    <t>4252</t>
  </si>
  <si>
    <t>MADEIRAS SAO JOAO</t>
  </si>
  <si>
    <t>4253 e 4299</t>
  </si>
  <si>
    <t>SANTA CLARA MAT CONST</t>
  </si>
  <si>
    <t>4293</t>
  </si>
  <si>
    <t>B F MADEIRAS</t>
  </si>
  <si>
    <t>4294</t>
  </si>
  <si>
    <t>PANPER MAT DE CONST</t>
  </si>
  <si>
    <t>4331</t>
  </si>
  <si>
    <t>COLUNA MAT DE CONST</t>
  </si>
  <si>
    <t>SOMA A PAGAR</t>
  </si>
  <si>
    <t>PAGAMENTOS</t>
  </si>
  <si>
    <t>Data</t>
  </si>
  <si>
    <t>Identificação</t>
  </si>
  <si>
    <t>CPF | CNPJ | Cód.</t>
  </si>
  <si>
    <t>Tipo</t>
  </si>
  <si>
    <t>Operação</t>
  </si>
  <si>
    <t>Meio</t>
  </si>
  <si>
    <t>Bom Para</t>
  </si>
  <si>
    <t>Banco</t>
  </si>
  <si>
    <t>AG</t>
  </si>
  <si>
    <t>C/C</t>
  </si>
  <si>
    <t>Valor</t>
  </si>
  <si>
    <t>OGURA REP</t>
  </si>
  <si>
    <t>ANTECIPAÇÃO DE ACERTO</t>
  </si>
  <si>
    <t>CH</t>
  </si>
  <si>
    <t>DEPOSITO</t>
  </si>
  <si>
    <t>FORNECEDOR</t>
  </si>
  <si>
    <t>BB</t>
  </si>
  <si>
    <t>0777-3</t>
  </si>
  <si>
    <t>12161-4</t>
  </si>
  <si>
    <t>03.311.786/0001-56</t>
  </si>
  <si>
    <t>PIX</t>
  </si>
  <si>
    <t>DIRETO</t>
  </si>
  <si>
    <t>ITAU</t>
  </si>
  <si>
    <t>SOMA DE PAGAMENTOS</t>
  </si>
  <si>
    <t>SALDO</t>
  </si>
  <si>
    <t>EXTRAS</t>
  </si>
  <si>
    <t>SOMA TOTAL - (OGURA REP)</t>
  </si>
  <si>
    <t>INDUSTRIA DE MADEIRAS E COMPENSADOS HORIZONTE LTDA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</si>
</sst>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dd/mm/yyyy"/>
    <numFmt numFmtId="60" formatCode="dd/mm/yy"/>
    <numFmt numFmtId="61" formatCode="_-[$R$-416]* #,##0.00_-;_-[$R$-416]* \(#,##0.00\)_-;_-[$R$-416]* &quot;-&quot;??;_-@_-"/>
  </numFmts>
  <fonts count="17">
    <font>
      <sz val="10"/>
      <color indexed="8"/>
      <name val="Helvetica Neue"/>
    </font>
    <font>
      <sz val="11"/>
      <color indexed="8"/>
      <name val="Calibri"/>
    </font>
    <font>
      <sz val="15"/>
      <color indexed="8"/>
      <name val="Calibri"/>
    </font>
    <font>
      <b val="1"/>
      <sz val="25"/>
      <color indexed="8"/>
      <name val="Arial"/>
    </font>
    <font>
      <b val="1"/>
      <sz val="20"/>
      <color indexed="8"/>
      <name val="Arial"/>
    </font>
    <font>
      <b val="1"/>
      <sz val="16"/>
      <color indexed="8"/>
      <name val="Arial"/>
    </font>
    <font>
      <sz val="12"/>
      <color indexed="8"/>
      <name val="Arial"/>
    </font>
    <font>
      <b val="1"/>
      <sz val="24"/>
      <color indexed="8"/>
      <name val="Arial"/>
    </font>
    <font>
      <b val="1"/>
      <sz val="12"/>
      <color indexed="8"/>
      <name val="Arial"/>
    </font>
    <font>
      <b val="1"/>
      <sz val="18"/>
      <color indexed="8"/>
      <name val="Arial"/>
    </font>
    <font>
      <b val="1"/>
      <sz val="18"/>
      <color indexed="13"/>
      <name val="Arial"/>
    </font>
    <font>
      <b val="1"/>
      <sz val="14"/>
      <color indexed="8"/>
      <name val="Arial"/>
    </font>
    <font>
      <b val="1"/>
      <sz val="9"/>
      <color indexed="8"/>
      <name val="Calibri"/>
    </font>
    <font>
      <sz val="15"/>
      <color indexed="8"/>
      <name val="Arial"/>
    </font>
    <font>
      <sz val="14"/>
      <color indexed="8"/>
      <name val="Arial"/>
    </font>
    <font>
      <b val="1"/>
      <sz val="15"/>
      <color indexed="8"/>
      <name val="Arial"/>
    </font>
    <font>
      <b val="1"/>
      <sz val="13"/>
      <color indexed="8"/>
      <name val="Arial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</fills>
  <borders count="30">
    <border>
      <left/>
      <right/>
      <top/>
      <bottom/>
      <diagonal/>
    </border>
    <border>
      <left>
        <color indexed="8"/>
      </left>
      <right>
        <color indexed="8"/>
      </right>
      <top>
        <color indexed="8"/>
      </top>
      <bottom style="thick">
        <color indexed="10"/>
      </bottom>
      <diagonal/>
    </border>
    <border>
      <left>
        <color indexed="8"/>
      </left>
      <right style="thick">
        <color indexed="10"/>
      </right>
      <top>
        <color indexed="8"/>
      </top>
      <bottom>
        <color indexed="8"/>
      </bottom>
      <diagonal/>
    </border>
    <border>
      <left style="thick">
        <color indexed="10"/>
      </left>
      <right>
        <color indexed="8"/>
      </right>
      <top>
        <color indexed="8"/>
      </top>
      <bottom>
        <color indexed="8"/>
      </bottom>
      <diagonal/>
    </border>
    <border>
      <left>
        <color indexed="8"/>
      </left>
      <right style="thick">
        <color indexed="10"/>
      </right>
      <top>
        <color indexed="8"/>
      </top>
      <bottom style="thick">
        <color indexed="10"/>
      </bottom>
      <diagonal/>
    </border>
    <border>
      <left style="thick">
        <color indexed="10"/>
      </left>
      <right>
        <color indexed="8"/>
      </right>
      <top>
        <color indexed="8"/>
      </top>
      <bottom style="thick">
        <color indexed="10"/>
      </bottom>
      <diagonal/>
    </border>
    <border>
      <left style="thick">
        <color indexed="10"/>
      </left>
      <right>
        <color indexed="8"/>
      </right>
      <top style="thick">
        <color indexed="10"/>
      </top>
      <bottom style="thick">
        <color indexed="10"/>
      </bottom>
      <diagonal/>
    </border>
    <border>
      <left>
        <color indexed="8"/>
      </left>
      <right style="thick">
        <color indexed="10"/>
      </right>
      <top style="thick">
        <color indexed="10"/>
      </top>
      <bottom style="thick">
        <color indexed="10"/>
      </bottom>
      <diagonal/>
    </border>
    <border>
      <left style="thick">
        <color indexed="10"/>
      </left>
      <right>
        <color indexed="8"/>
      </right>
      <top style="thick">
        <color indexed="10"/>
      </top>
      <bottom>
        <color indexed="8"/>
      </bottom>
      <diagonal/>
    </border>
    <border>
      <left>
        <color indexed="8"/>
      </left>
      <right>
        <color indexed="8"/>
      </right>
      <top style="thick">
        <color indexed="10"/>
      </top>
      <bottom>
        <color indexed="8"/>
      </bottom>
      <diagonal/>
    </border>
    <border>
      <left>
        <color indexed="8"/>
      </left>
      <right style="thick">
        <color indexed="10"/>
      </right>
      <top style="thick">
        <color indexed="10"/>
      </top>
      <bottom>
        <color indexed="8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ck">
        <color indexed="10"/>
      </left>
      <right style="thick">
        <color indexed="10"/>
      </right>
      <top>
        <color indexed="8"/>
      </top>
      <bottom style="thick">
        <color indexed="10"/>
      </bottom>
      <diagonal/>
    </border>
    <border>
      <left>
        <color indexed="8"/>
      </left>
      <right>
        <color indexed="8"/>
      </right>
      <top>
        <color indexed="8"/>
      </top>
      <bottom style="thin">
        <color indexed="8"/>
      </bottom>
      <diagonal/>
    </border>
    <border>
      <left>
        <color indexed="8"/>
      </left>
      <right style="thin">
        <color indexed="14"/>
      </right>
      <top>
        <color indexed="8"/>
      </top>
      <bottom style="thin">
        <color indexed="8"/>
      </bottom>
      <diagonal/>
    </border>
    <border>
      <left style="thin">
        <color indexed="14"/>
      </left>
      <right style="thin">
        <color indexed="14"/>
      </right>
      <top>
        <color indexed="8"/>
      </top>
      <bottom style="thin">
        <color indexed="8"/>
      </bottom>
      <diagonal/>
    </border>
    <border>
      <left style="thin">
        <color indexed="14"/>
      </left>
      <right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14"/>
      </right>
      <top style="thin">
        <color indexed="8"/>
      </top>
      <bottom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8"/>
      </top>
      <bottom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8"/>
      </top>
      <bottom style="thin">
        <color indexed="8"/>
      </bottom>
      <diagonal/>
    </border>
    <border>
      <left style="thin">
        <color indexed="14"/>
      </left>
      <right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 style="medium">
        <color indexed="14"/>
      </right>
      <top>
        <color indexed="8"/>
      </top>
      <bottom>
        <color indexed="8"/>
      </bottom>
      <diagonal/>
    </border>
    <border>
      <left style="medium">
        <color indexed="14"/>
      </left>
      <right style="medium">
        <color indexed="14"/>
      </right>
      <top style="thin">
        <color indexed="8"/>
      </top>
      <bottom style="thin">
        <color indexed="8"/>
      </bottom>
      <diagonal/>
    </border>
    <border>
      <left style="medium">
        <color indexed="14"/>
      </left>
      <right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86">
    <xf numFmtId="0" fontId="0" applyNumberFormat="0" applyFont="1" applyFill="0" applyBorder="0" applyAlignment="1" applyProtection="0">
      <alignment vertical="top" wrapText="1"/>
    </xf>
    <xf numFmtId="0" fontId="1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1" fillId="3" borderId="1" applyNumberFormat="0" applyFont="1" applyFill="1" applyBorder="1" applyAlignment="1" applyProtection="0">
      <alignment vertical="bottom"/>
    </xf>
    <xf numFmtId="0" fontId="1" fillId="3" borderId="1" applyNumberFormat="0" applyFont="1" applyFill="1" applyBorder="1" applyAlignment="1" applyProtection="0">
      <alignment horizontal="center" vertical="bottom"/>
    </xf>
    <xf numFmtId="0" fontId="4" borderId="2" applyNumberFormat="0" applyFont="1" applyFill="0" applyBorder="1" applyAlignment="1" applyProtection="0">
      <alignment horizontal="center" vertical="center" wrapText="1"/>
    </xf>
    <xf numFmtId="0" fontId="5" borderId="3" applyNumberFormat="0" applyFont="1" applyFill="0" applyBorder="1" applyAlignment="1" applyProtection="0">
      <alignment horizontal="center" vertical="center"/>
    </xf>
    <xf numFmtId="0" fontId="6" borderId="1" applyNumberFormat="0" applyFont="1" applyFill="0" applyBorder="1" applyAlignment="1" applyProtection="0">
      <alignment horizontal="center" vertical="bottom"/>
    </xf>
    <xf numFmtId="49" fontId="7" fillId="4" borderId="1" applyNumberFormat="1" applyFont="1" applyFill="1" applyBorder="1" applyAlignment="1" applyProtection="0">
      <alignment horizontal="center" vertical="center" wrapText="1"/>
    </xf>
    <xf numFmtId="0" fontId="1" fillId="3" borderId="4" applyNumberFormat="0" applyFont="1" applyFill="1" applyBorder="1" applyAlignment="1" applyProtection="0">
      <alignment vertical="bottom"/>
    </xf>
    <xf numFmtId="0" fontId="1" borderId="5" applyNumberFormat="0" applyFont="1" applyFill="0" applyBorder="1" applyAlignment="1" applyProtection="0">
      <alignment vertical="bottom"/>
    </xf>
    <xf numFmtId="49" fontId="5" fillId="5" borderId="6" applyNumberFormat="1" applyFont="1" applyFill="1" applyBorder="1" applyAlignment="1" applyProtection="0">
      <alignment horizontal="center" vertical="center" wrapText="1"/>
    </xf>
    <xf numFmtId="0" fontId="1" fillId="3" borderId="7" applyNumberFormat="0" applyFont="1" applyFill="1" applyBorder="1" applyAlignment="1" applyProtection="0">
      <alignment vertical="bottom"/>
    </xf>
    <xf numFmtId="49" fontId="5" fillId="5" borderId="8" applyNumberFormat="1" applyFont="1" applyFill="1" applyBorder="1" applyAlignment="1" applyProtection="0">
      <alignment horizontal="center" vertical="center" wrapText="1"/>
    </xf>
    <xf numFmtId="0" fontId="1" fillId="3" borderId="9" applyNumberFormat="0" applyFont="1" applyFill="1" applyBorder="1" applyAlignment="1" applyProtection="0">
      <alignment horizontal="center" vertical="bottom"/>
    </xf>
    <xf numFmtId="0" fontId="5" borderId="2" applyNumberFormat="0" applyFont="1" applyFill="0" applyBorder="1" applyAlignment="1" applyProtection="0">
      <alignment horizontal="center" vertical="center" wrapText="1"/>
    </xf>
    <xf numFmtId="0" fontId="8" borderId="9" applyNumberFormat="0" applyFont="1" applyFill="0" applyBorder="1" applyAlignment="1" applyProtection="0">
      <alignment horizontal="center" vertical="center" wrapText="1"/>
    </xf>
    <xf numFmtId="49" fontId="9" fillId="4" borderId="10" applyNumberFormat="1" applyFont="1" applyFill="1" applyBorder="1" applyAlignment="1" applyProtection="0">
      <alignment horizontal="center" vertical="center" wrapText="1"/>
    </xf>
    <xf numFmtId="0" fontId="1" fillId="3" borderId="11" applyNumberFormat="0" applyFont="1" applyFill="1" applyBorder="1" applyAlignment="1" applyProtection="0">
      <alignment vertical="bottom"/>
    </xf>
    <xf numFmtId="59" fontId="9" fillId="5" borderId="8" applyNumberFormat="1" applyFont="1" applyFill="1" applyBorder="1" applyAlignment="1" applyProtection="0">
      <alignment horizontal="center" vertical="center"/>
    </xf>
    <xf numFmtId="0" fontId="1" fillId="3" borderId="9" applyNumberFormat="0" applyFont="1" applyFill="1" applyBorder="1" applyAlignment="1" applyProtection="0">
      <alignment vertical="bottom"/>
    </xf>
    <xf numFmtId="0" fontId="6" fillId="3" borderId="9" applyNumberFormat="0" applyFont="1" applyFill="1" applyBorder="1" applyAlignment="1" applyProtection="0">
      <alignment horizontal="center" vertical="center" wrapText="1"/>
    </xf>
    <xf numFmtId="0" fontId="1" fillId="3" borderId="12" applyNumberFormat="0" applyFont="1" applyFill="1" applyBorder="1" applyAlignment="1" applyProtection="0">
      <alignment horizontal="center" vertical="bottom"/>
    </xf>
    <xf numFmtId="0" fontId="1" borderId="12" applyNumberFormat="0" applyFont="1" applyFill="0" applyBorder="1" applyAlignment="1" applyProtection="0">
      <alignment vertical="bottom"/>
    </xf>
    <xf numFmtId="0" fontId="1" fillId="3" borderId="12" applyNumberFormat="0" applyFont="1" applyFill="1" applyBorder="1" applyAlignment="1" applyProtection="0">
      <alignment vertical="bottom"/>
    </xf>
    <xf numFmtId="49" fontId="9" fillId="2" borderId="1" applyNumberFormat="1" applyFont="1" applyFill="1" applyBorder="1" applyAlignment="1" applyProtection="0">
      <alignment horizontal="center" vertical="center" wrapText="1"/>
    </xf>
    <xf numFmtId="0" fontId="1" fillId="3" borderId="13" applyNumberFormat="0" applyFont="1" applyFill="1" applyBorder="1" applyAlignment="1" applyProtection="0">
      <alignment vertical="bottom"/>
    </xf>
    <xf numFmtId="49" fontId="9" fillId="4" borderId="13" applyNumberFormat="1" applyFont="1" applyFill="1" applyBorder="1" applyAlignment="1" applyProtection="0">
      <alignment horizontal="left" vertical="center" wrapText="1"/>
    </xf>
    <xf numFmtId="0" fontId="1" borderId="13" applyNumberFormat="0" applyFont="1" applyFill="0" applyBorder="1" applyAlignment="1" applyProtection="0">
      <alignment vertical="bottom"/>
    </xf>
    <xf numFmtId="0" fontId="1" fillId="3" borderId="5" applyNumberFormat="0" applyFont="1" applyFill="1" applyBorder="1" applyAlignment="1" applyProtection="0">
      <alignment vertical="bottom"/>
    </xf>
    <xf numFmtId="49" fontId="9" fillId="4" borderId="9" applyNumberFormat="1" applyFont="1" applyFill="1" applyBorder="1" applyAlignment="1" applyProtection="0">
      <alignment horizontal="center" vertical="center" wrapText="1"/>
    </xf>
    <xf numFmtId="0" fontId="1" fillId="3" borderId="10" applyNumberFormat="0" applyFont="1" applyFill="1" applyBorder="1" applyAlignment="1" applyProtection="0">
      <alignment vertical="bottom"/>
    </xf>
    <xf numFmtId="49" fontId="10" fillId="5" borderId="11" applyNumberFormat="1" applyFont="1" applyFill="1" applyBorder="1" applyAlignment="1" applyProtection="0">
      <alignment horizontal="left" vertical="center" wrapText="1"/>
    </xf>
    <xf numFmtId="0" fontId="1" borderId="11" applyNumberFormat="0" applyFont="1" applyFill="0" applyBorder="1" applyAlignment="1" applyProtection="0">
      <alignment vertical="bottom"/>
    </xf>
    <xf numFmtId="0" fontId="1" fillId="3" borderId="8" applyNumberFormat="0" applyFont="1" applyFill="1" applyBorder="1" applyAlignment="1" applyProtection="0">
      <alignment vertical="bottom"/>
    </xf>
    <xf numFmtId="0" fontId="6" fillId="3" borderId="14" applyNumberFormat="0" applyFont="1" applyFill="1" applyBorder="1" applyAlignment="1" applyProtection="0">
      <alignment horizontal="center" vertical="center" wrapText="1"/>
    </xf>
    <xf numFmtId="0" fontId="1" fillId="3" borderId="15" applyNumberFormat="0" applyFont="1" applyFill="1" applyBorder="1" applyAlignment="1" applyProtection="0">
      <alignment vertical="bottom"/>
    </xf>
    <xf numFmtId="0" fontId="1" fillId="3" borderId="16" applyNumberFormat="0" applyFont="1" applyFill="1" applyBorder="1" applyAlignment="1" applyProtection="0">
      <alignment vertical="bottom"/>
    </xf>
    <xf numFmtId="0" fontId="1" borderId="16" applyNumberFormat="0" applyFont="1" applyFill="0" applyBorder="1" applyAlignment="1" applyProtection="0">
      <alignment vertical="bottom"/>
    </xf>
    <xf numFmtId="0" fontId="1" fillId="3" borderId="17" applyNumberFormat="0" applyFont="1" applyFill="1" applyBorder="1" applyAlignment="1" applyProtection="0">
      <alignment vertical="bottom"/>
    </xf>
    <xf numFmtId="49" fontId="11" fillId="4" borderId="18" applyNumberFormat="1" applyFont="1" applyFill="1" applyBorder="1" applyAlignment="1" applyProtection="0">
      <alignment horizontal="center" vertical="center" wrapText="1"/>
    </xf>
    <xf numFmtId="0" fontId="1" fillId="3" borderId="18" applyNumberFormat="0" applyFont="1" applyFill="1" applyBorder="1" applyAlignment="1" applyProtection="0">
      <alignment vertical="bottom"/>
    </xf>
    <xf numFmtId="0" fontId="12" fillId="5" borderId="18" applyNumberFormat="0" applyFont="1" applyFill="1" applyBorder="1" applyAlignment="1" applyProtection="0">
      <alignment horizontal="center" vertical="center"/>
    </xf>
    <xf numFmtId="49" fontId="11" fillId="5" borderId="18" applyNumberFormat="1" applyFont="1" applyFill="1" applyBorder="1" applyAlignment="1" applyProtection="0">
      <alignment horizontal="center" vertical="center" wrapText="1"/>
    </xf>
    <xf numFmtId="60" fontId="13" fillId="3" borderId="18" applyNumberFormat="1" applyFont="1" applyFill="1" applyBorder="1" applyAlignment="1" applyProtection="0">
      <alignment horizontal="center" vertical="center" wrapText="1"/>
    </xf>
    <xf numFmtId="49" fontId="14" fillId="3" borderId="18" applyNumberFormat="1" applyFont="1" applyFill="1" applyBorder="1" applyAlignment="1" applyProtection="0">
      <alignment horizontal="center" vertical="center" wrapText="1"/>
    </xf>
    <xf numFmtId="49" fontId="14" borderId="18" applyNumberFormat="1" applyFont="1" applyFill="0" applyBorder="1" applyAlignment="1" applyProtection="0">
      <alignment horizontal="center" vertical="center" wrapText="1"/>
    </xf>
    <xf numFmtId="61" fontId="14" fillId="3" borderId="18" applyNumberFormat="1" applyFont="1" applyFill="1" applyBorder="1" applyAlignment="1" applyProtection="0">
      <alignment horizontal="center" vertical="center" wrapText="1"/>
    </xf>
    <xf numFmtId="61" fontId="14" fillId="5" borderId="18" applyNumberFormat="1" applyFont="1" applyFill="1" applyBorder="1" applyAlignment="1" applyProtection="0">
      <alignment horizontal="center" vertical="center" wrapText="1"/>
    </xf>
    <xf numFmtId="61" fontId="14" borderId="18" applyNumberFormat="1" applyFont="1" applyFill="0" applyBorder="1" applyAlignment="1" applyProtection="0">
      <alignment horizontal="center" vertical="center" wrapText="1"/>
    </xf>
    <xf numFmtId="61" fontId="11" borderId="18" applyNumberFormat="1" applyFont="1" applyFill="0" applyBorder="1" applyAlignment="1" applyProtection="0">
      <alignment horizontal="center" vertical="center" wrapText="1"/>
    </xf>
    <xf numFmtId="61" fontId="13" fillId="3" borderId="18" applyNumberFormat="1" applyFont="1" applyFill="1" applyBorder="1" applyAlignment="1" applyProtection="0">
      <alignment horizontal="center" vertical="center" wrapText="1"/>
    </xf>
    <xf numFmtId="49" fontId="11" borderId="18" applyNumberFormat="1" applyFont="1" applyFill="0" applyBorder="1" applyAlignment="1" applyProtection="0">
      <alignment horizontal="center" vertical="center" wrapText="1"/>
    </xf>
    <xf numFmtId="61" fontId="15" fillId="3" borderId="18" applyNumberFormat="1" applyFont="1" applyFill="1" applyBorder="1" applyAlignment="1" applyProtection="0">
      <alignment horizontal="center" vertical="center" wrapText="1"/>
    </xf>
    <xf numFmtId="0" fontId="14" fillId="3" borderId="19" applyNumberFormat="0" applyFont="1" applyFill="1" applyBorder="1" applyAlignment="1" applyProtection="0">
      <alignment horizontal="center" vertical="center" wrapText="1"/>
    </xf>
    <xf numFmtId="0" fontId="1" fillId="3" borderId="20" applyNumberFormat="0" applyFont="1" applyFill="1" applyBorder="1" applyAlignment="1" applyProtection="0">
      <alignment vertical="bottom"/>
    </xf>
    <xf numFmtId="0" fontId="1" fillId="3" borderId="21" applyNumberFormat="0" applyFont="1" applyFill="1" applyBorder="1" applyAlignment="1" applyProtection="0">
      <alignment vertical="bottom"/>
    </xf>
    <xf numFmtId="0" fontId="1" fillId="3" borderId="22" applyNumberFormat="0" applyFont="1" applyFill="1" applyBorder="1" applyAlignment="1" applyProtection="0">
      <alignment vertical="bottom"/>
    </xf>
    <xf numFmtId="0" fontId="1" borderId="22" applyNumberFormat="0" applyFont="1" applyFill="0" applyBorder="1" applyAlignment="1" applyProtection="0">
      <alignment vertical="bottom"/>
    </xf>
    <xf numFmtId="0" fontId="1" fillId="3" borderId="23" applyNumberFormat="0" applyFont="1" applyFill="1" applyBorder="1" applyAlignment="1" applyProtection="0">
      <alignment vertical="bottom"/>
    </xf>
    <xf numFmtId="0" fontId="16" borderId="12" applyNumberFormat="0" applyFont="1" applyFill="0" applyBorder="1" applyAlignment="1" applyProtection="0">
      <alignment horizontal="center" vertical="center" wrapText="1"/>
    </xf>
    <xf numFmtId="0" fontId="15" borderId="24" applyNumberFormat="0" applyFont="1" applyFill="0" applyBorder="1" applyAlignment="1" applyProtection="0">
      <alignment horizontal="center" vertical="center" wrapText="1"/>
    </xf>
    <xf numFmtId="0" fontId="1" fillId="3" borderId="25" applyNumberFormat="0" applyFont="1" applyFill="1" applyBorder="1" applyAlignment="1" applyProtection="0">
      <alignment vertical="bottom"/>
    </xf>
    <xf numFmtId="49" fontId="15" fillId="5" borderId="18" applyNumberFormat="1" applyFont="1" applyFill="1" applyBorder="1" applyAlignment="1" applyProtection="0">
      <alignment horizontal="center" vertical="center" wrapText="1"/>
    </xf>
    <xf numFmtId="61" fontId="11" fillId="5" borderId="18" applyNumberFormat="1" applyFont="1" applyFill="1" applyBorder="1" applyAlignment="1" applyProtection="0">
      <alignment horizontal="center" vertical="center" wrapText="1"/>
    </xf>
    <xf numFmtId="61" fontId="15" fillId="6" borderId="18" applyNumberFormat="1" applyFont="1" applyFill="1" applyBorder="1" applyAlignment="1" applyProtection="0">
      <alignment horizontal="center" vertical="center" wrapText="1"/>
    </xf>
    <xf numFmtId="0" fontId="14" fillId="3" borderId="14" applyNumberFormat="0" applyFont="1" applyFill="1" applyBorder="1" applyAlignment="1" applyProtection="0">
      <alignment horizontal="center" vertical="center" wrapText="1"/>
    </xf>
    <xf numFmtId="0" fontId="1" fillId="3" borderId="14" applyNumberFormat="0" applyFont="1" applyFill="1" applyBorder="1" applyAlignment="1" applyProtection="0">
      <alignment vertical="bottom"/>
    </xf>
    <xf numFmtId="0" fontId="1" fillId="3" borderId="26" applyNumberFormat="0" applyFont="1" applyFill="1" applyBorder="1" applyAlignment="1" applyProtection="0">
      <alignment vertical="bottom"/>
    </xf>
    <xf numFmtId="0" fontId="1" borderId="26" applyNumberFormat="0" applyFont="1" applyFill="0" applyBorder="1" applyAlignment="1" applyProtection="0">
      <alignment vertical="bottom"/>
    </xf>
    <xf numFmtId="60" fontId="13" borderId="18" applyNumberFormat="1" applyFont="1" applyFill="0" applyBorder="1" applyAlignment="1" applyProtection="0">
      <alignment horizontal="center" vertical="center" wrapText="1"/>
    </xf>
    <xf numFmtId="49" fontId="6" borderId="18" applyNumberFormat="1" applyFont="1" applyFill="0" applyBorder="1" applyAlignment="1" applyProtection="0">
      <alignment horizontal="center" vertical="center" wrapText="1"/>
    </xf>
    <xf numFmtId="60" fontId="14" borderId="18" applyNumberFormat="1" applyFont="1" applyFill="0" applyBorder="1" applyAlignment="1" applyProtection="0">
      <alignment horizontal="center" vertical="center" wrapText="1"/>
    </xf>
    <xf numFmtId="61" fontId="15" borderId="18" applyNumberFormat="1" applyFont="1" applyFill="0" applyBorder="1" applyAlignment="1" applyProtection="0">
      <alignment horizontal="center" vertical="center" wrapText="1"/>
    </xf>
    <xf numFmtId="0" fontId="1" fillId="3" borderId="19" applyNumberFormat="0" applyFont="1" applyFill="1" applyBorder="1" applyAlignment="1" applyProtection="0">
      <alignment vertical="bottom"/>
    </xf>
    <xf numFmtId="0" fontId="14" fillId="3" borderId="12" applyNumberFormat="0" applyFont="1" applyFill="1" applyBorder="1" applyAlignment="1" applyProtection="0">
      <alignment horizontal="center" vertical="center" wrapText="1"/>
    </xf>
    <xf numFmtId="0" fontId="11" borderId="24" applyNumberFormat="0" applyFont="1" applyFill="0" applyBorder="1" applyAlignment="1" applyProtection="0">
      <alignment horizontal="center" vertical="center" wrapText="1"/>
    </xf>
    <xf numFmtId="0" fontId="1" borderId="18" applyNumberFormat="0" applyFont="1" applyFill="0" applyBorder="1" applyAlignment="1" applyProtection="0">
      <alignment vertical="bottom"/>
    </xf>
    <xf numFmtId="0" fontId="11" borderId="27" applyNumberFormat="0" applyFont="1" applyFill="0" applyBorder="1" applyAlignment="1" applyProtection="0">
      <alignment horizontal="center" vertical="center" wrapText="1"/>
    </xf>
    <xf numFmtId="0" fontId="1" fillId="3" borderId="28" applyNumberFormat="0" applyFont="1" applyFill="1" applyBorder="1" applyAlignment="1" applyProtection="0">
      <alignment vertical="bottom"/>
    </xf>
    <xf numFmtId="0" fontId="1" borderId="29" applyNumberFormat="0" applyFont="1" applyFill="0" applyBorder="1" applyAlignment="1" applyProtection="0">
      <alignment vertical="bottom"/>
    </xf>
    <xf numFmtId="61" fontId="11" borderId="26" applyNumberFormat="1" applyFont="1" applyFill="0" applyBorder="1" applyAlignment="1" applyProtection="0">
      <alignment horizontal="center" vertical="center" wrapText="1"/>
    </xf>
    <xf numFmtId="61" fontId="5" fillId="3" borderId="18" applyNumberFormat="1" applyFont="1" applyFill="1" applyBorder="1" applyAlignment="1" applyProtection="0">
      <alignment horizontal="center" vertical="center" wrapText="1"/>
    </xf>
    <xf numFmtId="0" fontId="6" fillId="3" borderId="12" applyNumberFormat="0" applyFont="1" applyFill="1" applyBorder="1" applyAlignment="1" applyProtection="0">
      <alignment horizontal="center" vertical="center" wrapText="1"/>
    </xf>
    <xf numFmtId="0" fontId="1" borderId="19" applyNumberFormat="0" applyFont="1" applyFill="0" applyBorder="1" applyAlignment="1" applyProtection="0">
      <alignment vertical="bottom"/>
    </xf>
    <xf numFmtId="0" fontId="1" applyNumberFormat="1" applyFont="1" applyFill="0" applyBorder="0" applyAlignment="1" applyProtection="0">
      <alignment vertical="bottom"/>
    </xf>
  </cellXfs>
  <cellStyles count="1">
    <cellStyle name="Normal" xfId="0" builtinId="0"/>
  </cellStyles>
  <dxfs count="4">
    <dxf>
      <font>
        <color rgb="ff3a88fe"/>
      </font>
    </dxf>
    <dxf>
      <font>
        <color rgb="ffe32400"/>
      </font>
    </dxf>
    <dxf>
      <font>
        <color rgb="ff3a88fe"/>
      </font>
    </dxf>
    <dxf>
      <font>
        <color rgb="ffe324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4fca9"/>
      <rgbColor rgb="fffefffe"/>
      <rgbColor rgb="ffdddddd"/>
      <rgbColor rgb="fff2f2f2"/>
      <rgbColor rgb="ff4472c4"/>
      <rgbColor rgb="ffaaaaaa"/>
      <rgbColor rgb="fffff056"/>
      <rgbColor rgb="ff3a88fe"/>
      <rgbColor rgb="ffe324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28"/>
  <sheetViews>
    <sheetView workbookViewId="0" showGridLines="0" defaultGridColor="1"/>
  </sheetViews>
  <sheetFormatPr defaultColWidth="8.83333" defaultRowHeight="14.4" customHeight="1" outlineLevelRow="0" outlineLevelCol="0"/>
  <cols>
    <col min="1" max="1" width="13.3516" style="1" customWidth="1"/>
    <col min="2" max="2" width="15.8516" style="1" customWidth="1"/>
    <col min="3" max="3" width="41.6719" style="1" customWidth="1"/>
    <col min="4" max="4" width="23.3516" style="1" customWidth="1"/>
    <col min="5" max="5" width="17.5" style="1" customWidth="1"/>
    <col min="6" max="8" width="16.6719" style="1" customWidth="1"/>
    <col min="9" max="9" width="18.3516" style="1" customWidth="1"/>
    <col min="10" max="10" width="17.5" style="1" customWidth="1"/>
    <col min="11" max="11" width="16.6719" style="1" customWidth="1"/>
    <col min="12" max="12" width="20" style="1" customWidth="1"/>
    <col min="13" max="16384" width="8.85156" style="1" customWidth="1"/>
  </cols>
  <sheetData>
    <row r="1" ht="50" customHeight="1">
      <c r="A1" t="s" s="2">
        <v>0</v>
      </c>
      <c r="B1" s="3"/>
      <c r="C1" s="3"/>
      <c r="D1" s="4"/>
      <c r="E1" s="4"/>
      <c r="F1" s="5"/>
      <c r="G1" s="6"/>
      <c r="H1" s="7"/>
      <c r="I1" t="s" s="8">
        <v>1</v>
      </c>
      <c r="J1" s="9"/>
      <c r="K1" s="10"/>
      <c r="L1" s="3"/>
    </row>
    <row r="2" ht="45" customHeight="1">
      <c r="A2" t="s" s="11">
        <v>2</v>
      </c>
      <c r="B2" s="12"/>
      <c r="C2" t="s" s="13">
        <v>3</v>
      </c>
      <c r="D2" s="14"/>
      <c r="E2" s="14"/>
      <c r="F2" s="15"/>
      <c r="G2" s="6"/>
      <c r="H2" s="16"/>
      <c r="I2" t="s" s="17">
        <v>4</v>
      </c>
      <c r="J2" s="18"/>
      <c r="K2" s="19"/>
      <c r="L2" s="20"/>
    </row>
    <row r="3" ht="30" customHeight="1">
      <c r="A3" s="21"/>
      <c r="B3" s="14"/>
      <c r="C3" s="22"/>
      <c r="D3" s="22"/>
      <c r="E3" s="22"/>
      <c r="F3" s="22"/>
      <c r="G3" s="22"/>
      <c r="H3" s="22"/>
      <c r="I3" s="22"/>
      <c r="J3" s="22"/>
      <c r="K3" s="23"/>
      <c r="L3" s="24"/>
    </row>
    <row r="4" ht="50" customHeight="1">
      <c r="A4" t="s" s="25">
        <v>5</v>
      </c>
      <c r="B4" s="9"/>
      <c r="C4" s="26"/>
      <c r="D4" t="s" s="27">
        <v>6</v>
      </c>
      <c r="E4" s="26"/>
      <c r="F4" s="26"/>
      <c r="G4" s="26"/>
      <c r="H4" s="26"/>
      <c r="I4" s="26"/>
      <c r="J4" s="26"/>
      <c r="K4" s="28"/>
      <c r="L4" s="29"/>
    </row>
    <row r="5" ht="45" customHeight="1">
      <c r="A5" t="s" s="30">
        <v>7</v>
      </c>
      <c r="B5" s="31"/>
      <c r="C5" s="18"/>
      <c r="D5" t="s" s="32">
        <v>8</v>
      </c>
      <c r="E5" s="18"/>
      <c r="F5" s="18"/>
      <c r="G5" s="18"/>
      <c r="H5" s="18"/>
      <c r="I5" s="18"/>
      <c r="J5" s="18"/>
      <c r="K5" s="33"/>
      <c r="L5" s="34"/>
    </row>
    <row r="6" ht="30" customHeight="1">
      <c r="A6" s="35"/>
      <c r="B6" s="36"/>
      <c r="C6" s="37"/>
      <c r="D6" s="37"/>
      <c r="E6" s="37"/>
      <c r="F6" s="37"/>
      <c r="G6" s="37"/>
      <c r="H6" s="37"/>
      <c r="I6" s="37"/>
      <c r="J6" s="37"/>
      <c r="K6" s="38"/>
      <c r="L6" s="39"/>
    </row>
    <row r="7" ht="40" customHeight="1">
      <c r="A7" t="s" s="40">
        <v>9</v>
      </c>
      <c r="B7" s="41"/>
      <c r="C7" s="41"/>
      <c r="D7" s="41"/>
      <c r="E7" s="41"/>
      <c r="F7" s="42"/>
      <c r="G7" s="42"/>
      <c r="H7" s="42"/>
      <c r="I7" s="42"/>
      <c r="J7" s="42"/>
      <c r="K7" s="42"/>
      <c r="L7" s="42"/>
    </row>
    <row r="8" ht="50" customHeight="1">
      <c r="A8" t="s" s="43">
        <v>10</v>
      </c>
      <c r="B8" t="s" s="43">
        <v>11</v>
      </c>
      <c r="C8" t="s" s="43">
        <v>12</v>
      </c>
      <c r="D8" t="s" s="43">
        <v>13</v>
      </c>
      <c r="E8" t="s" s="43">
        <v>14</v>
      </c>
      <c r="F8" t="s" s="43">
        <v>15</v>
      </c>
      <c r="G8" t="s" s="43">
        <v>16</v>
      </c>
      <c r="H8" t="s" s="43">
        <v>17</v>
      </c>
      <c r="I8" t="s" s="43">
        <v>18</v>
      </c>
      <c r="J8" t="s" s="43">
        <v>19</v>
      </c>
      <c r="K8" t="s" s="43">
        <v>20</v>
      </c>
      <c r="L8" t="s" s="43">
        <v>21</v>
      </c>
    </row>
    <row r="9" ht="45" customHeight="1">
      <c r="A9" s="44">
        <v>46185</v>
      </c>
      <c r="B9" t="s" s="45">
        <v>22</v>
      </c>
      <c r="C9" t="s" s="46">
        <v>23</v>
      </c>
      <c r="D9" s="47">
        <v>18030</v>
      </c>
      <c r="E9" s="47">
        <v>3100</v>
      </c>
      <c r="F9" s="48"/>
      <c r="G9" s="47"/>
      <c r="H9" s="49"/>
      <c r="I9" s="48">
        <f>D9-E9+G9-H9</f>
        <v>14930</v>
      </c>
      <c r="J9" s="49"/>
      <c r="K9" s="50">
        <f>I9*0.05</f>
        <v>746.5</v>
      </c>
      <c r="L9" s="51">
        <f>-K9</f>
        <v>-746.5</v>
      </c>
    </row>
    <row r="10" ht="45" customHeight="1">
      <c r="A10" s="44">
        <v>46192</v>
      </c>
      <c r="B10" t="s" s="45">
        <v>24</v>
      </c>
      <c r="C10" t="s" s="52">
        <v>25</v>
      </c>
      <c r="D10" s="47">
        <v>44987</v>
      </c>
      <c r="E10" s="47">
        <v>6700</v>
      </c>
      <c r="F10" s="48"/>
      <c r="G10" s="47"/>
      <c r="H10" s="49">
        <v>108.08</v>
      </c>
      <c r="I10" s="48">
        <f>D10-E10+G10-H10</f>
        <v>38178.92</v>
      </c>
      <c r="J10" s="50">
        <f>I10*0.025</f>
        <v>954.473</v>
      </c>
      <c r="K10" s="49">
        <f>I10*0.05</f>
        <v>1908.946</v>
      </c>
      <c r="L10" s="53">
        <f>I10-J10-K10</f>
        <v>35315.501</v>
      </c>
    </row>
    <row r="11" ht="45" customHeight="1">
      <c r="A11" s="44">
        <v>46192</v>
      </c>
      <c r="B11" t="s" s="45">
        <v>26</v>
      </c>
      <c r="C11" t="s" s="46">
        <v>27</v>
      </c>
      <c r="D11" s="47">
        <v>15302.5</v>
      </c>
      <c r="E11" s="47">
        <v>3100</v>
      </c>
      <c r="F11" s="48"/>
      <c r="G11" s="47"/>
      <c r="H11" s="49"/>
      <c r="I11" s="48">
        <f>D11-E11+G11-H11</f>
        <v>12202.5</v>
      </c>
      <c r="J11" s="50"/>
      <c r="K11" s="50">
        <f>I11*0.05</f>
        <v>610.125</v>
      </c>
      <c r="L11" s="51">
        <f>-K11</f>
        <v>-610.125</v>
      </c>
    </row>
    <row r="12" ht="45" customHeight="1">
      <c r="A12" s="44">
        <v>46192</v>
      </c>
      <c r="B12" t="s" s="45">
        <v>28</v>
      </c>
      <c r="C12" t="s" s="52">
        <v>29</v>
      </c>
      <c r="D12" s="47">
        <v>19572.8</v>
      </c>
      <c r="E12" s="47">
        <v>3200</v>
      </c>
      <c r="F12" s="48"/>
      <c r="G12" s="47"/>
      <c r="H12" s="49"/>
      <c r="I12" s="48">
        <f>D12-E12+G12-H12</f>
        <v>16372.8</v>
      </c>
      <c r="J12" s="50">
        <f>I12*0.025</f>
        <v>409.32</v>
      </c>
      <c r="K12" s="49">
        <f>I12*0.05</f>
        <v>818.64</v>
      </c>
      <c r="L12" s="53">
        <f>I12-J12-K12</f>
        <v>15144.84</v>
      </c>
    </row>
    <row r="13" ht="45" customHeight="1">
      <c r="A13" s="44">
        <v>46192</v>
      </c>
      <c r="B13" t="s" s="45">
        <v>30</v>
      </c>
      <c r="C13" t="s" s="52">
        <v>31</v>
      </c>
      <c r="D13" s="47">
        <v>6317.2</v>
      </c>
      <c r="E13" s="47">
        <v>1100</v>
      </c>
      <c r="F13" s="48"/>
      <c r="G13" s="47"/>
      <c r="H13" s="49"/>
      <c r="I13" s="48">
        <f>D13-E13+G13-H13</f>
        <v>5217.2</v>
      </c>
      <c r="J13" s="50">
        <f>I13*0.025</f>
        <v>130.43</v>
      </c>
      <c r="K13" s="49">
        <f>I13*0.05</f>
        <v>260.86</v>
      </c>
      <c r="L13" s="53">
        <f>I13-J13-K13</f>
        <v>4825.91</v>
      </c>
    </row>
    <row r="14" ht="10" customHeight="1">
      <c r="A14" s="54"/>
      <c r="B14" s="55"/>
      <c r="C14" s="56"/>
      <c r="D14" s="56"/>
      <c r="E14" s="56"/>
      <c r="F14" s="56"/>
      <c r="G14" s="56"/>
      <c r="H14" s="56"/>
      <c r="I14" s="57"/>
      <c r="J14" s="57"/>
      <c r="K14" s="58"/>
      <c r="L14" s="59"/>
    </row>
    <row r="15" ht="50" customHeight="1">
      <c r="A15" s="60"/>
      <c r="B15" s="24"/>
      <c r="C15" s="24"/>
      <c r="D15" s="24"/>
      <c r="E15" s="24"/>
      <c r="F15" s="24"/>
      <c r="G15" s="61"/>
      <c r="H15" s="62"/>
      <c r="I15" t="s" s="63">
        <v>32</v>
      </c>
      <c r="J15" s="41"/>
      <c r="K15" s="64">
        <f>SUM(K9:K13)</f>
        <v>4345.071</v>
      </c>
      <c r="L15" s="65">
        <f>SUM(L9:L13)</f>
        <v>53929.626</v>
      </c>
    </row>
    <row r="16" ht="30" customHeight="1">
      <c r="A16" s="66"/>
      <c r="B16" s="67"/>
      <c r="C16" s="67"/>
      <c r="D16" s="67"/>
      <c r="E16" s="67"/>
      <c r="F16" s="67"/>
      <c r="G16" s="67"/>
      <c r="H16" s="67"/>
      <c r="I16" s="68"/>
      <c r="J16" s="68"/>
      <c r="K16" s="69"/>
      <c r="L16" s="68"/>
    </row>
    <row r="17" ht="40" customHeight="1">
      <c r="A17" t="s" s="40">
        <v>33</v>
      </c>
      <c r="B17" s="41"/>
      <c r="C17" s="41"/>
      <c r="D17" s="41"/>
      <c r="E17" s="41"/>
      <c r="F17" s="42"/>
      <c r="G17" s="42"/>
      <c r="H17" s="42"/>
      <c r="I17" s="42"/>
      <c r="J17" s="42"/>
      <c r="K17" s="42"/>
      <c r="L17" s="42"/>
    </row>
    <row r="18" ht="50" customHeight="1">
      <c r="A18" t="s" s="43">
        <v>34</v>
      </c>
      <c r="B18" t="s" s="43">
        <v>12</v>
      </c>
      <c r="C18" t="s" s="43">
        <v>35</v>
      </c>
      <c r="D18" t="s" s="43">
        <v>36</v>
      </c>
      <c r="E18" t="s" s="43">
        <v>37</v>
      </c>
      <c r="F18" t="s" s="43">
        <v>38</v>
      </c>
      <c r="G18" t="s" s="43">
        <v>39</v>
      </c>
      <c r="H18" t="s" s="43">
        <v>40</v>
      </c>
      <c r="I18" t="s" s="43">
        <v>41</v>
      </c>
      <c r="J18" t="s" s="43">
        <v>42</v>
      </c>
      <c r="K18" t="s" s="43">
        <v>43</v>
      </c>
      <c r="L18" t="s" s="43">
        <v>44</v>
      </c>
    </row>
    <row r="19" ht="45" customHeight="1">
      <c r="A19" s="70">
        <v>46211</v>
      </c>
      <c r="B19" t="s" s="46">
        <v>45</v>
      </c>
      <c r="C19" t="s" s="46">
        <v>46</v>
      </c>
      <c r="D19" s="46"/>
      <c r="E19" t="s" s="46">
        <v>47</v>
      </c>
      <c r="F19" t="s" s="46">
        <v>48</v>
      </c>
      <c r="G19" t="s" s="71">
        <v>49</v>
      </c>
      <c r="H19" s="72"/>
      <c r="I19" t="s" s="46">
        <v>50</v>
      </c>
      <c r="J19" t="s" s="46">
        <v>51</v>
      </c>
      <c r="K19" t="s" s="46">
        <v>52</v>
      </c>
      <c r="L19" s="73">
        <v>28013.69</v>
      </c>
    </row>
    <row r="20" ht="45" customHeight="1">
      <c r="A20" s="70">
        <v>46211</v>
      </c>
      <c r="B20" t="s" s="46">
        <v>45</v>
      </c>
      <c r="C20" t="s" s="46">
        <v>46</v>
      </c>
      <c r="D20" s="46"/>
      <c r="E20" t="s" s="46">
        <v>47</v>
      </c>
      <c r="F20" t="s" s="46">
        <v>48</v>
      </c>
      <c r="G20" t="s" s="71">
        <v>49</v>
      </c>
      <c r="H20" s="72"/>
      <c r="I20" t="s" s="46">
        <v>50</v>
      </c>
      <c r="J20" t="s" s="46">
        <v>51</v>
      </c>
      <c r="K20" t="s" s="46">
        <v>52</v>
      </c>
      <c r="L20" s="73">
        <v>25660.91</v>
      </c>
    </row>
    <row r="21" ht="45" customHeight="1">
      <c r="A21" s="70">
        <v>46213</v>
      </c>
      <c r="B21" t="s" s="46">
        <v>45</v>
      </c>
      <c r="C21" t="s" s="46">
        <v>46</v>
      </c>
      <c r="D21" t="s" s="46">
        <v>53</v>
      </c>
      <c r="E21" t="s" s="46">
        <v>54</v>
      </c>
      <c r="F21" t="s" s="46">
        <v>55</v>
      </c>
      <c r="G21" t="s" s="71">
        <v>49</v>
      </c>
      <c r="H21" s="72"/>
      <c r="I21" t="s" s="46">
        <v>56</v>
      </c>
      <c r="J21" s="46"/>
      <c r="K21" s="52"/>
      <c r="L21" s="73">
        <v>255.03</v>
      </c>
    </row>
    <row r="22" ht="10" customHeight="1">
      <c r="A22" s="54"/>
      <c r="B22" s="74"/>
      <c r="C22" s="74"/>
      <c r="D22" s="74"/>
      <c r="E22" s="74"/>
      <c r="F22" s="74"/>
      <c r="G22" s="74"/>
      <c r="H22" s="74"/>
      <c r="I22" s="68"/>
      <c r="J22" s="68"/>
      <c r="K22" s="69"/>
      <c r="L22" s="68"/>
    </row>
    <row r="23" ht="50" customHeight="1">
      <c r="A23" s="75"/>
      <c r="B23" s="24"/>
      <c r="C23" s="24"/>
      <c r="D23" s="24"/>
      <c r="E23" s="24"/>
      <c r="F23" s="24"/>
      <c r="G23" s="24"/>
      <c r="H23" s="76"/>
      <c r="I23" t="s" s="63">
        <v>57</v>
      </c>
      <c r="J23" s="41"/>
      <c r="K23" s="77"/>
      <c r="L23" s="65">
        <f>SUM(L19:L21)</f>
        <v>53929.63</v>
      </c>
    </row>
    <row r="24" ht="20" customHeight="1">
      <c r="A24" s="75"/>
      <c r="B24" s="24"/>
      <c r="C24" s="24"/>
      <c r="D24" s="24"/>
      <c r="E24" s="24"/>
      <c r="F24" s="24"/>
      <c r="G24" s="24"/>
      <c r="H24" s="78"/>
      <c r="I24" s="79"/>
      <c r="J24" s="79"/>
      <c r="K24" s="80"/>
      <c r="L24" s="81"/>
    </row>
    <row r="25" ht="50" customHeight="1">
      <c r="A25" s="75"/>
      <c r="B25" s="24"/>
      <c r="C25" s="24"/>
      <c r="D25" s="24"/>
      <c r="E25" s="24"/>
      <c r="F25" s="24"/>
      <c r="G25" s="24"/>
      <c r="H25" s="76"/>
      <c r="I25" t="s" s="63">
        <v>58</v>
      </c>
      <c r="J25" s="41"/>
      <c r="K25" s="77"/>
      <c r="L25" s="53">
        <f>SUM(L23-L15)</f>
        <v>0.004</v>
      </c>
    </row>
    <row r="26" ht="50" customHeight="1">
      <c r="A26" s="75"/>
      <c r="B26" s="24"/>
      <c r="C26" s="24"/>
      <c r="D26" s="24"/>
      <c r="E26" s="24"/>
      <c r="F26" s="24"/>
      <c r="G26" s="24"/>
      <c r="H26" s="76"/>
      <c r="I26" t="s" s="63">
        <v>59</v>
      </c>
      <c r="J26" s="41"/>
      <c r="K26" s="77"/>
      <c r="L26" s="53"/>
    </row>
    <row r="27" ht="60" customHeight="1">
      <c r="A27" s="75"/>
      <c r="B27" s="24"/>
      <c r="C27" s="24"/>
      <c r="D27" s="24"/>
      <c r="E27" s="24"/>
      <c r="F27" s="24"/>
      <c r="G27" s="24"/>
      <c r="H27" s="76"/>
      <c r="I27" t="s" s="63">
        <v>60</v>
      </c>
      <c r="J27" s="41"/>
      <c r="K27" s="77"/>
      <c r="L27" s="82">
        <f>L25+L26</f>
        <v>0.004</v>
      </c>
    </row>
    <row r="28" ht="20" customHeight="1">
      <c r="A28" s="83"/>
      <c r="B28" s="24"/>
      <c r="C28" s="24"/>
      <c r="D28" s="24"/>
      <c r="E28" s="24"/>
      <c r="F28" s="24"/>
      <c r="G28" s="24"/>
      <c r="H28" s="24"/>
      <c r="I28" s="74"/>
      <c r="J28" s="74"/>
      <c r="K28" s="84"/>
      <c r="L28" s="74"/>
    </row>
  </sheetData>
  <mergeCells count="29">
    <mergeCell ref="A17:L17"/>
    <mergeCell ref="A6:L6"/>
    <mergeCell ref="A15:F15"/>
    <mergeCell ref="A16:L16"/>
    <mergeCell ref="A14:L14"/>
    <mergeCell ref="A22:L22"/>
    <mergeCell ref="A23:G23"/>
    <mergeCell ref="A25:G25"/>
    <mergeCell ref="A28:L28"/>
    <mergeCell ref="A26:G26"/>
    <mergeCell ref="A27:G27"/>
    <mergeCell ref="H24:K24"/>
    <mergeCell ref="A24:G24"/>
    <mergeCell ref="A7:L7"/>
    <mergeCell ref="A1:C1"/>
    <mergeCell ref="I1:L1"/>
    <mergeCell ref="K2:L2"/>
    <mergeCell ref="A4:C4"/>
    <mergeCell ref="A5:C5"/>
    <mergeCell ref="G15:H15"/>
    <mergeCell ref="I2:J2"/>
    <mergeCell ref="D4:L4"/>
    <mergeCell ref="D5:L5"/>
    <mergeCell ref="I25:K25"/>
    <mergeCell ref="I26:K26"/>
    <mergeCell ref="I27:K27"/>
    <mergeCell ref="I23:K23"/>
    <mergeCell ref="A2:B2"/>
    <mergeCell ref="I15:J15"/>
  </mergeCells>
  <conditionalFormatting sqref="L25 L27">
    <cfRule type="cellIs" dxfId="0" priority="1" operator="greaterThan" stopIfTrue="1">
      <formula>0</formula>
    </cfRule>
    <cfRule type="cellIs" dxfId="1" priority="2" operator="lessThan" stopIfTrue="1">
      <formula>0</formula>
    </cfRule>
  </conditionalFormatting>
  <dataValidations count="1">
    <dataValidation type="list" allowBlank="1" showInputMessage="1" showErrorMessage="1" sqref="I19:I20">
      <formula1>"-,SICOOB,BRADESCO,SAFRA,BANESTES,CEF,UNICRED,ITAU,BB,SANTANDER,CRESOL,BANCO DO NORDESTE,SICREDI"</formula1>
    </dataValidation>
  </dataValidations>
  <pageMargins left="0.166667" right="0.125" top="1" bottom="0.75" header="0.3" footer="0.3"/>
  <pageSetup firstPageNumber="1" fitToHeight="1" fitToWidth="1" scale="40" useFirstPageNumber="0" orientation="portrait" pageOrder="downThenOver"/>
</worksheet>
</file>

<file path=xl/worksheets/sheet2.xml><?xml version="1.0" encoding="utf-8"?>
<worksheet xmlns:r="http://schemas.openxmlformats.org/officeDocument/2006/relationships" xmlns="http://schemas.openxmlformats.org/spreadsheetml/2006/main">
  <dimension ref="A1:L28"/>
  <sheetViews>
    <sheetView workbookViewId="0" showGridLines="0" defaultGridColor="1"/>
  </sheetViews>
  <sheetFormatPr defaultColWidth="8.83333" defaultRowHeight="14.4" customHeight="1" outlineLevelRow="0" outlineLevelCol="0"/>
  <cols>
    <col min="1" max="1" width="13.3516" style="85" customWidth="1"/>
    <col min="2" max="2" width="15.8516" style="85" customWidth="1"/>
    <col min="3" max="3" width="41.6719" style="85" customWidth="1"/>
    <col min="4" max="4" width="23.3516" style="85" customWidth="1"/>
    <col min="5" max="5" width="17.5" style="85" customWidth="1"/>
    <col min="6" max="8" width="16.6719" style="85" customWidth="1"/>
    <col min="9" max="9" width="18.3516" style="85" customWidth="1"/>
    <col min="10" max="10" width="17.5" style="85" customWidth="1"/>
    <col min="11" max="11" width="16.6719" style="85" customWidth="1"/>
    <col min="12" max="12" width="20" style="85" customWidth="1"/>
    <col min="13" max="16384" width="8.85156" style="85" customWidth="1"/>
  </cols>
  <sheetData>
    <row r="1" ht="50" customHeight="1">
      <c r="A1" t="s" s="2">
        <v>0</v>
      </c>
      <c r="B1" s="3"/>
      <c r="C1" s="3"/>
      <c r="D1" s="4"/>
      <c r="E1" s="4"/>
      <c r="F1" s="5"/>
      <c r="G1" s="6"/>
      <c r="H1" s="7"/>
      <c r="I1" t="s" s="8">
        <v>1</v>
      </c>
      <c r="J1" s="9"/>
      <c r="K1" s="10"/>
      <c r="L1" s="3"/>
    </row>
    <row r="2" ht="45" customHeight="1">
      <c r="A2" t="s" s="11">
        <v>2</v>
      </c>
      <c r="B2" s="12"/>
      <c r="C2" t="s" s="13">
        <v>3</v>
      </c>
      <c r="D2" s="14"/>
      <c r="E2" s="14"/>
      <c r="F2" s="15"/>
      <c r="G2" s="6"/>
      <c r="H2" s="16"/>
      <c r="I2" t="s" s="17">
        <v>4</v>
      </c>
      <c r="J2" s="18"/>
      <c r="K2" s="19">
        <v>46213</v>
      </c>
      <c r="L2" s="20"/>
    </row>
    <row r="3" ht="30" customHeight="1">
      <c r="A3" s="21"/>
      <c r="B3" s="14"/>
      <c r="C3" s="22"/>
      <c r="D3" s="22"/>
      <c r="E3" s="22"/>
      <c r="F3" s="22"/>
      <c r="G3" s="22"/>
      <c r="H3" s="22"/>
      <c r="I3" s="22"/>
      <c r="J3" s="22"/>
      <c r="K3" s="23"/>
      <c r="L3" s="24"/>
    </row>
    <row r="4" ht="50" customHeight="1">
      <c r="A4" t="s" s="25">
        <v>5</v>
      </c>
      <c r="B4" s="9"/>
      <c r="C4" s="26"/>
      <c r="D4" t="s" s="27">
        <v>61</v>
      </c>
      <c r="E4" s="26"/>
      <c r="F4" s="26"/>
      <c r="G4" s="26"/>
      <c r="H4" s="26"/>
      <c r="I4" s="26"/>
      <c r="J4" s="26"/>
      <c r="K4" s="28"/>
      <c r="L4" s="29"/>
    </row>
    <row r="5" ht="45" customHeight="1">
      <c r="A5" t="s" s="30">
        <v>7</v>
      </c>
      <c r="B5" s="31"/>
      <c r="C5" s="18"/>
      <c r="D5" t="s" s="32">
        <v>8</v>
      </c>
      <c r="E5" s="18"/>
      <c r="F5" s="18"/>
      <c r="G5" s="18"/>
      <c r="H5" s="18"/>
      <c r="I5" s="18"/>
      <c r="J5" s="18"/>
      <c r="K5" s="33"/>
      <c r="L5" s="34"/>
    </row>
    <row r="6" ht="30" customHeight="1">
      <c r="A6" s="35"/>
      <c r="B6" s="36"/>
      <c r="C6" s="37"/>
      <c r="D6" s="37"/>
      <c r="E6" s="37"/>
      <c r="F6" s="37"/>
      <c r="G6" s="37"/>
      <c r="H6" s="37"/>
      <c r="I6" s="37"/>
      <c r="J6" s="37"/>
      <c r="K6" s="38"/>
      <c r="L6" s="39"/>
    </row>
    <row r="7" ht="40" customHeight="1">
      <c r="A7" t="s" s="40">
        <v>9</v>
      </c>
      <c r="B7" s="41"/>
      <c r="C7" s="41"/>
      <c r="D7" s="41"/>
      <c r="E7" s="41"/>
      <c r="F7" s="42"/>
      <c r="G7" s="42"/>
      <c r="H7" s="42"/>
      <c r="I7" s="42"/>
      <c r="J7" s="42"/>
      <c r="K7" s="42"/>
      <c r="L7" s="42"/>
    </row>
    <row r="8" ht="50" customHeight="1">
      <c r="A8" t="s" s="43">
        <v>10</v>
      </c>
      <c r="B8" t="s" s="43">
        <v>11</v>
      </c>
      <c r="C8" t="s" s="43">
        <v>12</v>
      </c>
      <c r="D8" t="s" s="43">
        <v>13</v>
      </c>
      <c r="E8" t="s" s="43">
        <v>14</v>
      </c>
      <c r="F8" t="s" s="43">
        <v>15</v>
      </c>
      <c r="G8" t="s" s="43">
        <v>16</v>
      </c>
      <c r="H8" t="s" s="43">
        <v>17</v>
      </c>
      <c r="I8" t="s" s="43">
        <v>18</v>
      </c>
      <c r="J8" t="s" s="43">
        <v>19</v>
      </c>
      <c r="K8" t="s" s="43">
        <v>20</v>
      </c>
      <c r="L8" t="s" s="43">
        <v>21</v>
      </c>
    </row>
    <row r="9" ht="45" customHeight="1">
      <c r="A9" s="44">
        <v>46185</v>
      </c>
      <c r="B9" t="s" s="45">
        <v>22</v>
      </c>
      <c r="C9" t="s" s="46">
        <v>23</v>
      </c>
      <c r="D9" s="47">
        <v>18030</v>
      </c>
      <c r="E9" s="47">
        <v>3100</v>
      </c>
      <c r="F9" s="48"/>
      <c r="G9" s="47"/>
      <c r="H9" s="49"/>
      <c r="I9" s="48">
        <f>D9-E9+G9-H9</f>
        <v>14930</v>
      </c>
      <c r="J9" s="49"/>
      <c r="K9" s="50">
        <f>I9*0.05</f>
        <v>746.5</v>
      </c>
      <c r="L9" s="51">
        <f>-K9</f>
        <v>-746.5</v>
      </c>
    </row>
    <row r="10" ht="45" customHeight="1">
      <c r="A10" s="44">
        <v>46192</v>
      </c>
      <c r="B10" t="s" s="45">
        <v>24</v>
      </c>
      <c r="C10" t="s" s="52">
        <v>25</v>
      </c>
      <c r="D10" s="47">
        <v>44987</v>
      </c>
      <c r="E10" s="47">
        <v>6700</v>
      </c>
      <c r="F10" s="48"/>
      <c r="G10" s="47"/>
      <c r="H10" s="49">
        <v>108.08</v>
      </c>
      <c r="I10" s="48">
        <f>D10-E10+G10-H10</f>
        <v>38178.92</v>
      </c>
      <c r="J10" s="50">
        <f>I10*0.025</f>
        <v>954.473</v>
      </c>
      <c r="K10" s="49">
        <f>I10*0.05</f>
        <v>1908.946</v>
      </c>
      <c r="L10" s="53">
        <f>I10-J10-K10</f>
        <v>35315.501</v>
      </c>
    </row>
    <row r="11" ht="45" customHeight="1">
      <c r="A11" s="44">
        <v>46192</v>
      </c>
      <c r="B11" t="s" s="45">
        <v>26</v>
      </c>
      <c r="C11" t="s" s="46">
        <v>27</v>
      </c>
      <c r="D11" s="47">
        <v>15302.5</v>
      </c>
      <c r="E11" s="47">
        <v>3100</v>
      </c>
      <c r="F11" s="48"/>
      <c r="G11" s="47"/>
      <c r="H11" s="49"/>
      <c r="I11" s="48">
        <f>D11-E11+G11-H11</f>
        <v>12202.5</v>
      </c>
      <c r="J11" s="50"/>
      <c r="K11" s="50">
        <f>I11*0.05</f>
        <v>610.125</v>
      </c>
      <c r="L11" s="51">
        <f>-K11</f>
        <v>-610.125</v>
      </c>
    </row>
    <row r="12" ht="45" customHeight="1">
      <c r="A12" s="44">
        <v>46192</v>
      </c>
      <c r="B12" t="s" s="45">
        <v>28</v>
      </c>
      <c r="C12" t="s" s="52">
        <v>29</v>
      </c>
      <c r="D12" s="47">
        <v>19572.8</v>
      </c>
      <c r="E12" s="47">
        <v>3200</v>
      </c>
      <c r="F12" s="48"/>
      <c r="G12" s="47"/>
      <c r="H12" s="49"/>
      <c r="I12" s="48">
        <f>D12-E12+G12-H12</f>
        <v>16372.8</v>
      </c>
      <c r="J12" s="50">
        <f>I12*0.025</f>
        <v>409.32</v>
      </c>
      <c r="K12" s="49">
        <f>I12*0.05</f>
        <v>818.64</v>
      </c>
      <c r="L12" s="53">
        <f>I12-J12-K12</f>
        <v>15144.84</v>
      </c>
    </row>
    <row r="13" ht="45" customHeight="1">
      <c r="A13" s="44">
        <v>46192</v>
      </c>
      <c r="B13" t="s" s="45">
        <v>30</v>
      </c>
      <c r="C13" t="s" s="52">
        <v>31</v>
      </c>
      <c r="D13" s="47">
        <v>6317.2</v>
      </c>
      <c r="E13" s="47">
        <v>1100</v>
      </c>
      <c r="F13" s="48"/>
      <c r="G13" s="47"/>
      <c r="H13" s="49"/>
      <c r="I13" s="48">
        <f>D13-E13+G13-H13</f>
        <v>5217.2</v>
      </c>
      <c r="J13" s="50">
        <f>I13*0.025</f>
        <v>130.43</v>
      </c>
      <c r="K13" s="49">
        <f>I13*0.05</f>
        <v>260.86</v>
      </c>
      <c r="L13" s="53">
        <f>I13-J13-K13</f>
        <v>4825.91</v>
      </c>
    </row>
    <row r="14" ht="10" customHeight="1">
      <c r="A14" s="54"/>
      <c r="B14" s="55"/>
      <c r="C14" s="56"/>
      <c r="D14" s="56"/>
      <c r="E14" s="56"/>
      <c r="F14" s="56"/>
      <c r="G14" s="56"/>
      <c r="H14" s="56"/>
      <c r="I14" s="57"/>
      <c r="J14" s="57"/>
      <c r="K14" s="58"/>
      <c r="L14" s="59"/>
    </row>
    <row r="15" ht="50" customHeight="1">
      <c r="A15" s="60"/>
      <c r="B15" s="24"/>
      <c r="C15" s="24"/>
      <c r="D15" s="24"/>
      <c r="E15" s="24"/>
      <c r="F15" s="24"/>
      <c r="G15" s="61"/>
      <c r="H15" s="62"/>
      <c r="I15" t="s" s="63">
        <v>32</v>
      </c>
      <c r="J15" s="41"/>
      <c r="K15" s="64">
        <f>SUM(K9:K13)</f>
        <v>4345.071</v>
      </c>
      <c r="L15" s="65">
        <f>SUM(L9:L13)</f>
        <v>53929.626</v>
      </c>
    </row>
    <row r="16" ht="30" customHeight="1">
      <c r="A16" s="66"/>
      <c r="B16" s="67"/>
      <c r="C16" s="67"/>
      <c r="D16" s="67"/>
      <c r="E16" s="67"/>
      <c r="F16" s="67"/>
      <c r="G16" s="67"/>
      <c r="H16" s="67"/>
      <c r="I16" s="68"/>
      <c r="J16" s="68"/>
      <c r="K16" s="69"/>
      <c r="L16" s="68"/>
    </row>
    <row r="17" ht="40" customHeight="1">
      <c r="A17" t="s" s="40">
        <v>33</v>
      </c>
      <c r="B17" s="41"/>
      <c r="C17" s="41"/>
      <c r="D17" s="41"/>
      <c r="E17" s="41"/>
      <c r="F17" s="42"/>
      <c r="G17" s="42"/>
      <c r="H17" s="42"/>
      <c r="I17" s="42"/>
      <c r="J17" s="42"/>
      <c r="K17" s="42"/>
      <c r="L17" s="42"/>
    </row>
    <row r="18" ht="50" customHeight="1">
      <c r="A18" t="s" s="43">
        <v>34</v>
      </c>
      <c r="B18" t="s" s="43">
        <v>12</v>
      </c>
      <c r="C18" t="s" s="43">
        <v>35</v>
      </c>
      <c r="D18" t="s" s="43">
        <v>36</v>
      </c>
      <c r="E18" t="s" s="43">
        <v>37</v>
      </c>
      <c r="F18" t="s" s="43">
        <v>38</v>
      </c>
      <c r="G18" t="s" s="43">
        <v>39</v>
      </c>
      <c r="H18" t="s" s="43">
        <v>40</v>
      </c>
      <c r="I18" t="s" s="43">
        <v>41</v>
      </c>
      <c r="J18" t="s" s="43">
        <v>42</v>
      </c>
      <c r="K18" t="s" s="43">
        <v>43</v>
      </c>
      <c r="L18" t="s" s="43">
        <v>44</v>
      </c>
    </row>
    <row r="19" ht="45" customHeight="1">
      <c r="A19" s="70">
        <v>46211</v>
      </c>
      <c r="B19" t="s" s="46">
        <v>45</v>
      </c>
      <c r="C19" t="s" s="46">
        <v>46</v>
      </c>
      <c r="D19" s="46"/>
      <c r="E19" t="s" s="46">
        <v>47</v>
      </c>
      <c r="F19" t="s" s="46">
        <v>48</v>
      </c>
      <c r="G19" t="s" s="71">
        <v>49</v>
      </c>
      <c r="H19" s="72"/>
      <c r="I19" t="s" s="46">
        <v>50</v>
      </c>
      <c r="J19" t="s" s="46">
        <v>51</v>
      </c>
      <c r="K19" t="s" s="46">
        <v>52</v>
      </c>
      <c r="L19" s="73">
        <v>28013.69</v>
      </c>
    </row>
    <row r="20" ht="45" customHeight="1">
      <c r="A20" s="70">
        <v>46211</v>
      </c>
      <c r="B20" t="s" s="46">
        <v>45</v>
      </c>
      <c r="C20" t="s" s="46">
        <v>46</v>
      </c>
      <c r="D20" s="46"/>
      <c r="E20" t="s" s="46">
        <v>47</v>
      </c>
      <c r="F20" t="s" s="46">
        <v>48</v>
      </c>
      <c r="G20" t="s" s="71">
        <v>49</v>
      </c>
      <c r="H20" s="72"/>
      <c r="I20" t="s" s="46">
        <v>50</v>
      </c>
      <c r="J20" t="s" s="46">
        <v>51</v>
      </c>
      <c r="K20" t="s" s="46">
        <v>52</v>
      </c>
      <c r="L20" s="73">
        <v>25660.91</v>
      </c>
    </row>
    <row r="21" ht="45" customHeight="1">
      <c r="A21" s="70">
        <v>46213</v>
      </c>
      <c r="B21" t="s" s="46">
        <v>45</v>
      </c>
      <c r="C21" t="s" s="46">
        <v>46</v>
      </c>
      <c r="D21" t="s" s="46">
        <v>53</v>
      </c>
      <c r="E21" t="s" s="46">
        <v>54</v>
      </c>
      <c r="F21" t="s" s="46">
        <v>55</v>
      </c>
      <c r="G21" t="s" s="71">
        <v>49</v>
      </c>
      <c r="H21" s="72"/>
      <c r="I21" t="s" s="46">
        <v>56</v>
      </c>
      <c r="J21" s="46"/>
      <c r="K21" s="52"/>
      <c r="L21" s="73">
        <v>255.03</v>
      </c>
    </row>
    <row r="22" ht="10" customHeight="1">
      <c r="A22" s="54"/>
      <c r="B22" s="74"/>
      <c r="C22" s="74"/>
      <c r="D22" s="74"/>
      <c r="E22" s="74"/>
      <c r="F22" s="74"/>
      <c r="G22" s="74"/>
      <c r="H22" s="74"/>
      <c r="I22" s="68"/>
      <c r="J22" s="68"/>
      <c r="K22" s="69"/>
      <c r="L22" s="68"/>
    </row>
    <row r="23" ht="50" customHeight="1">
      <c r="A23" s="75"/>
      <c r="B23" s="24"/>
      <c r="C23" s="24"/>
      <c r="D23" s="24"/>
      <c r="E23" s="24"/>
      <c r="F23" s="24"/>
      <c r="G23" s="24"/>
      <c r="H23" s="76"/>
      <c r="I23" t="s" s="63">
        <v>57</v>
      </c>
      <c r="J23" s="41"/>
      <c r="K23" s="77"/>
      <c r="L23" s="65">
        <f>SUM(L19:L21)</f>
        <v>53929.63</v>
      </c>
    </row>
    <row r="24" ht="20" customHeight="1">
      <c r="A24" s="75"/>
      <c r="B24" s="24"/>
      <c r="C24" s="24"/>
      <c r="D24" s="24"/>
      <c r="E24" s="24"/>
      <c r="F24" s="24"/>
      <c r="G24" s="24"/>
      <c r="H24" s="78"/>
      <c r="I24" s="79"/>
      <c r="J24" s="79"/>
      <c r="K24" s="80"/>
      <c r="L24" s="81"/>
    </row>
    <row r="25" ht="50" customHeight="1">
      <c r="A25" s="75"/>
      <c r="B25" s="24"/>
      <c r="C25" s="24"/>
      <c r="D25" s="24"/>
      <c r="E25" s="24"/>
      <c r="F25" s="24"/>
      <c r="G25" s="24"/>
      <c r="H25" s="76"/>
      <c r="I25" t="s" s="63">
        <v>58</v>
      </c>
      <c r="J25" s="41"/>
      <c r="K25" s="77"/>
      <c r="L25" s="53">
        <f>SUM(L23-L15)</f>
        <v>0.004</v>
      </c>
    </row>
    <row r="26" ht="50" customHeight="1">
      <c r="A26" s="75"/>
      <c r="B26" s="24"/>
      <c r="C26" s="24"/>
      <c r="D26" s="24"/>
      <c r="E26" s="24"/>
      <c r="F26" s="24"/>
      <c r="G26" s="24"/>
      <c r="H26" s="76"/>
      <c r="I26" t="s" s="63">
        <v>59</v>
      </c>
      <c r="J26" s="41"/>
      <c r="K26" s="77"/>
      <c r="L26" s="53"/>
    </row>
    <row r="27" ht="60" customHeight="1">
      <c r="A27" s="75"/>
      <c r="B27" s="24"/>
      <c r="C27" s="24"/>
      <c r="D27" s="24"/>
      <c r="E27" s="24"/>
      <c r="F27" s="24"/>
      <c r="G27" s="24"/>
      <c r="H27" s="76"/>
      <c r="I27" t="s" s="63">
        <v>60</v>
      </c>
      <c r="J27" s="41"/>
      <c r="K27" s="77"/>
      <c r="L27" s="82">
        <f>L25+L26</f>
        <v>0.004</v>
      </c>
    </row>
    <row r="28" ht="20" customHeight="1">
      <c r="A28" s="83"/>
      <c r="B28" s="24"/>
      <c r="C28" s="24"/>
      <c r="D28" s="24"/>
      <c r="E28" s="24"/>
      <c r="F28" s="24"/>
      <c r="G28" s="24"/>
      <c r="H28" s="24"/>
      <c r="I28" s="74"/>
      <c r="J28" s="74"/>
      <c r="K28" s="84"/>
      <c r="L28" s="74"/>
    </row>
  </sheetData>
  <mergeCells count="29">
    <mergeCell ref="A17:L17"/>
    <mergeCell ref="A6:L6"/>
    <mergeCell ref="A15:F15"/>
    <mergeCell ref="A16:L16"/>
    <mergeCell ref="A14:L14"/>
    <mergeCell ref="A22:L22"/>
    <mergeCell ref="A23:G23"/>
    <mergeCell ref="A25:G25"/>
    <mergeCell ref="A28:L28"/>
    <mergeCell ref="A26:G26"/>
    <mergeCell ref="A27:G27"/>
    <mergeCell ref="H24:K24"/>
    <mergeCell ref="A24:G24"/>
    <mergeCell ref="A7:L7"/>
    <mergeCell ref="A1:C1"/>
    <mergeCell ref="I1:L1"/>
    <mergeCell ref="K2:L2"/>
    <mergeCell ref="A4:C4"/>
    <mergeCell ref="A5:C5"/>
    <mergeCell ref="G15:H15"/>
    <mergeCell ref="I2:J2"/>
    <mergeCell ref="D4:L4"/>
    <mergeCell ref="D5:L5"/>
    <mergeCell ref="I25:K25"/>
    <mergeCell ref="I26:K26"/>
    <mergeCell ref="I27:K27"/>
    <mergeCell ref="I23:K23"/>
    <mergeCell ref="A2:B2"/>
    <mergeCell ref="I15:J15"/>
  </mergeCells>
  <conditionalFormatting sqref="L25 L27">
    <cfRule type="cellIs" dxfId="2" priority="1" operator="greaterThan" stopIfTrue="1">
      <formula>0</formula>
    </cfRule>
    <cfRule type="cellIs" dxfId="3" priority="2" operator="lessThan" stopIfTrue="1">
      <formula>0</formula>
    </cfRule>
  </conditionalFormatting>
  <dataValidations count="1">
    <dataValidation type="list" allowBlank="1" showInputMessage="1" showErrorMessage="1" sqref="I19:I20">
      <formula1>"-,SICOOB,BRADESCO,SAFRA,BANESTES,CEF,UNICRED,ITAU,BB,SANTANDER,CRESOL,BANCO DO NORDESTE,SICREDI"</formula1>
    </dataValidation>
  </dataValidations>
  <pageMargins left="0.166667" right="0.125" top="1" bottom="0.75" header="0.3" footer="0.3"/>
  <pageSetup firstPageNumber="1" fitToHeight="1" fitToWidth="1" scale="40" useFirstPageNumber="0" orientation="portrait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