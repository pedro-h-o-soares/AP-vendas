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" sheetId="1" r:id="rId4"/>
    <sheet name="2025" sheetId="2" r:id="rId5"/>
    <sheet name="2024" sheetId="3" r:id="rId6"/>
  </sheets>
</workbook>
</file>

<file path=xl/sharedStrings.xml><?xml version="1.0" encoding="utf-8"?>
<sst xmlns="http://schemas.openxmlformats.org/spreadsheetml/2006/main" uniqueCount="264">
  <si>
    <t>-</t>
  </si>
  <si>
    <t>FORNECEDOR</t>
  </si>
  <si>
    <t>INFORMAÇÕES</t>
  </si>
  <si>
    <t>VENDA</t>
  </si>
  <si>
    <t>PAGAMENTO</t>
  </si>
  <si>
    <t>SERVIÇO</t>
  </si>
  <si>
    <t>ACERTO FORNECEDOR</t>
  </si>
  <si>
    <t>ENTREGA</t>
  </si>
  <si>
    <t>ACOMPANHAMENTO</t>
  </si>
  <si>
    <t>ACERTO CLIENTE</t>
  </si>
  <si>
    <t>ACERTO COMISSÃO</t>
  </si>
  <si>
    <t>OBSERVAÇÕES</t>
  </si>
  <si>
    <t>★</t>
  </si>
  <si>
    <t>:)</t>
  </si>
  <si>
    <t>ANO</t>
  </si>
  <si>
    <t>MÊS</t>
  </si>
  <si>
    <t>PEDIDO</t>
  </si>
  <si>
    <t>EMBARQUE</t>
  </si>
  <si>
    <t>LOCAL</t>
  </si>
  <si>
    <t>VALORES DE CARGA</t>
  </si>
  <si>
    <t>ALTERAÇÕES</t>
  </si>
  <si>
    <t>BASE</t>
  </si>
  <si>
    <t>EXTRAS</t>
  </si>
  <si>
    <t xml:space="preserve"> RECEBER DO CLIENTE</t>
  </si>
  <si>
    <t>DESCONTOS</t>
  </si>
  <si>
    <t>COMISSÃO</t>
  </si>
  <si>
    <t>À PRAZO</t>
  </si>
  <si>
    <t>À VISTA</t>
  </si>
  <si>
    <t>DATA</t>
  </si>
  <si>
    <t>CLIENTE</t>
  </si>
  <si>
    <t>Rep.</t>
  </si>
  <si>
    <t>Ogura</t>
  </si>
  <si>
    <t>#LR</t>
  </si>
  <si>
    <t>Nota</t>
  </si>
  <si>
    <t>NF</t>
  </si>
  <si>
    <t>Condições/Orçamento</t>
  </si>
  <si>
    <t>Cidade</t>
  </si>
  <si>
    <t>Mercadoria</t>
  </si>
  <si>
    <t>Frete</t>
  </si>
  <si>
    <t>ICMS</t>
  </si>
  <si>
    <t>Sobra</t>
  </si>
  <si>
    <t>Falta</t>
  </si>
  <si>
    <t>Líquido</t>
  </si>
  <si>
    <t>Descontos</t>
  </si>
  <si>
    <t>Recebimentos</t>
  </si>
  <si>
    <t>Ao Motorista (Frete)</t>
  </si>
  <si>
    <t>À Prazo</t>
  </si>
  <si>
    <t>À Vista</t>
  </si>
  <si>
    <t>À Vista - 3%</t>
  </si>
  <si>
    <t>À Vista - 4%</t>
  </si>
  <si>
    <t>À Vista - 5%</t>
  </si>
  <si>
    <t>Pós Comissão</t>
  </si>
  <si>
    <t>Data</t>
  </si>
  <si>
    <t>Meio Pagamento</t>
  </si>
  <si>
    <t>Forma Pagamento</t>
  </si>
  <si>
    <t>Pré-Datados</t>
  </si>
  <si>
    <t>Pagamento Cliente</t>
  </si>
  <si>
    <t>Valor Recebido</t>
  </si>
  <si>
    <t>Diferença</t>
  </si>
  <si>
    <t>Pagamento Fornecedor</t>
  </si>
  <si>
    <t>Valor Pago</t>
  </si>
  <si>
    <t>Pagamento Comissão</t>
  </si>
  <si>
    <t>!</t>
  </si>
  <si>
    <t>B F MADEIRAS LTDA EPP</t>
  </si>
  <si>
    <t>OG</t>
  </si>
  <si>
    <t>3823</t>
  </si>
  <si>
    <t>1446</t>
  </si>
  <si>
    <t>30/60/90</t>
  </si>
  <si>
    <t>Aracruz (ES)</t>
  </si>
  <si>
    <t>TITOE MADEIRAS LTDA ME</t>
  </si>
  <si>
    <t>3809</t>
  </si>
  <si>
    <t>1447</t>
  </si>
  <si>
    <t>Jaguaré (ES)</t>
  </si>
  <si>
    <t>101 COMERCIO DE MADEIRAS LTDA ME</t>
  </si>
  <si>
    <t>3824</t>
  </si>
  <si>
    <t>1448</t>
  </si>
  <si>
    <t>30/45/60/75/90</t>
  </si>
  <si>
    <t>Linhares (ES)</t>
  </si>
  <si>
    <t>SANTO ANTONIO MATERIAL DE CONST LTDA EPP</t>
  </si>
  <si>
    <t>3825</t>
  </si>
  <si>
    <t>1449</t>
  </si>
  <si>
    <t>30/45/60</t>
  </si>
  <si>
    <t>SAO BENTO - IND E COM DE ARTEFATOS DE MAD LTDA EPP</t>
  </si>
  <si>
    <t>3808</t>
  </si>
  <si>
    <t>1450</t>
  </si>
  <si>
    <t>S. R. do Canaã (ES)</t>
  </si>
  <si>
    <t>GAMA MADEIREIRA LTDA EPP</t>
  </si>
  <si>
    <t>3901</t>
  </si>
  <si>
    <t>1468</t>
  </si>
  <si>
    <t>GEO SOL MATERIAL DE CONST LTDA EPP</t>
  </si>
  <si>
    <t>3909</t>
  </si>
  <si>
    <t>1469</t>
  </si>
  <si>
    <t>P. Canário (ES)</t>
  </si>
  <si>
    <t>3913</t>
  </si>
  <si>
    <t>1470</t>
  </si>
  <si>
    <t>MADEIREIRA GONCALVES LTDA EPP</t>
  </si>
  <si>
    <t>3914</t>
  </si>
  <si>
    <t>1471</t>
  </si>
  <si>
    <t>RDV MADEIRAS COMERCIO E SERV LTDA ME</t>
  </si>
  <si>
    <t>3810</t>
  </si>
  <si>
    <t>1477</t>
  </si>
  <si>
    <t>V.N. do Imigrante (ES)</t>
  </si>
  <si>
    <t>4168</t>
  </si>
  <si>
    <t>1529</t>
  </si>
  <si>
    <t>MADEINORTE MADEIRAS LTDA</t>
  </si>
  <si>
    <t>4205</t>
  </si>
  <si>
    <t>1530</t>
  </si>
  <si>
    <t>Rio Bananal (ES)</t>
  </si>
  <si>
    <t>VAGNO FRANK ME</t>
  </si>
  <si>
    <t>3904</t>
  </si>
  <si>
    <t>1535</t>
  </si>
  <si>
    <t>Sta. Maria Jetibá (ES)</t>
  </si>
  <si>
    <t>1581</t>
  </si>
  <si>
    <t>VAGNO FRANK ME (EF ESQUADRIA)</t>
  </si>
  <si>
    <t>1582</t>
  </si>
  <si>
    <t>TOTAL</t>
  </si>
  <si>
    <t>BOLDT MADEIRAS LTDA ME</t>
  </si>
  <si>
    <t>2789</t>
  </si>
  <si>
    <t>1107</t>
  </si>
  <si>
    <t>VIALAR MATERIAL DE CONSTRUCAO LTDA EPP</t>
  </si>
  <si>
    <t>2749</t>
  </si>
  <si>
    <t>1108</t>
  </si>
  <si>
    <t>G. Lindemberg (ES)</t>
  </si>
  <si>
    <t>MADEIREIRA PANPER LTDA EPP</t>
  </si>
  <si>
    <t>2815</t>
  </si>
  <si>
    <t>8282</t>
  </si>
  <si>
    <t>30/60/90/120</t>
  </si>
  <si>
    <t>Colatina (ES)</t>
  </si>
  <si>
    <t>2787</t>
  </si>
  <si>
    <t>8283</t>
  </si>
  <si>
    <t>2788</t>
  </si>
  <si>
    <t>1119</t>
  </si>
  <si>
    <t>Ficou faltando mercadoria (vai embarcar depois)</t>
  </si>
  <si>
    <t>MARIA ZENAIDE LOSS SPERANDIO</t>
  </si>
  <si>
    <t>2750</t>
  </si>
  <si>
    <t>1120</t>
  </si>
  <si>
    <t>30/60/90 ou 5%AV</t>
  </si>
  <si>
    <t>MADEIREIRA PEDRA AZUL LTDA EPP</t>
  </si>
  <si>
    <t>2850</t>
  </si>
  <si>
    <t>1151</t>
  </si>
  <si>
    <t>D. Martins (ES)</t>
  </si>
  <si>
    <t>1153</t>
  </si>
  <si>
    <t>1154</t>
  </si>
  <si>
    <t>D.M MATERIAL DE CONSTRUCAO EIRELI ME</t>
  </si>
  <si>
    <t>2929</t>
  </si>
  <si>
    <t>1155</t>
  </si>
  <si>
    <t>COMERCIAL PARTELLI LTDA</t>
  </si>
  <si>
    <t>2899</t>
  </si>
  <si>
    <t>1175</t>
  </si>
  <si>
    <t>Vargem Alta (ES)</t>
  </si>
  <si>
    <t>FERREIRA &amp; NESPOLI MADEIRAS LTDA</t>
  </si>
  <si>
    <t>3043</t>
  </si>
  <si>
    <t>1248</t>
  </si>
  <si>
    <t>Sooretama (ES)</t>
  </si>
  <si>
    <t>A VISTA</t>
  </si>
  <si>
    <t>3125</t>
  </si>
  <si>
    <t>1281</t>
  </si>
  <si>
    <t>3013</t>
  </si>
  <si>
    <t>1295</t>
  </si>
  <si>
    <t>FRANCISCHETTO MAT DE CONST LTDA</t>
  </si>
  <si>
    <t>3014</t>
  </si>
  <si>
    <t>1297</t>
  </si>
  <si>
    <t>Vila Velha (ES)</t>
  </si>
  <si>
    <t>D.M MATERIAL DE CONST (ADEILSON)</t>
  </si>
  <si>
    <t>1339</t>
  </si>
  <si>
    <t>3708</t>
  </si>
  <si>
    <t>1407</t>
  </si>
  <si>
    <t>Pedro Canário (ES)</t>
  </si>
  <si>
    <t>MATERIAL DE CONST E MADEIREIRA DOJO LTDA EPP</t>
  </si>
  <si>
    <t>3706</t>
  </si>
  <si>
    <t>1408</t>
  </si>
  <si>
    <t>Serra (ES)</t>
  </si>
  <si>
    <t>SEBASTIAO GERALDO DORNELLAS - DORNELLAS M D C ME</t>
  </si>
  <si>
    <t>3631</t>
  </si>
  <si>
    <t xml:space="preserve">1409 </t>
  </si>
  <si>
    <t>3707</t>
  </si>
  <si>
    <t>1410</t>
  </si>
  <si>
    <t>1420</t>
  </si>
  <si>
    <t>3733</t>
  </si>
  <si>
    <t>1421 e 248</t>
  </si>
  <si>
    <t>SEBASTIAO GERALDO DORNELLAS - HELENILDA</t>
  </si>
  <si>
    <t>3755</t>
  </si>
  <si>
    <t>1422</t>
  </si>
  <si>
    <t>CASABELA MATERIAIS DE CONSTRUCAO</t>
  </si>
  <si>
    <t>2065</t>
  </si>
  <si>
    <t>613</t>
  </si>
  <si>
    <t>664</t>
  </si>
  <si>
    <t>VILA NOVA MADEIRAS E MAT DE CONST</t>
  </si>
  <si>
    <t>2058</t>
  </si>
  <si>
    <t>614</t>
  </si>
  <si>
    <t>663 / 665</t>
  </si>
  <si>
    <t>2121</t>
  </si>
  <si>
    <t>650</t>
  </si>
  <si>
    <t>692</t>
  </si>
  <si>
    <t>2144</t>
  </si>
  <si>
    <t>649</t>
  </si>
  <si>
    <t>693</t>
  </si>
  <si>
    <t>V. N. Imigrante (ES)</t>
  </si>
  <si>
    <t>J.L. ALTOE COMERCIO DE MADEIRAS E ESQUADRIAS LTDA</t>
  </si>
  <si>
    <t>2142</t>
  </si>
  <si>
    <t>647</t>
  </si>
  <si>
    <t>695</t>
  </si>
  <si>
    <t>PISKE ESQUADRIAS LTDA EPP</t>
  </si>
  <si>
    <t>2147</t>
  </si>
  <si>
    <t>648</t>
  </si>
  <si>
    <t>696</t>
  </si>
  <si>
    <t>Baixo Guandu (ES)</t>
  </si>
  <si>
    <t>2196</t>
  </si>
  <si>
    <t>752</t>
  </si>
  <si>
    <t>762</t>
  </si>
  <si>
    <t>2263</t>
  </si>
  <si>
    <t>754</t>
  </si>
  <si>
    <t>760</t>
  </si>
  <si>
    <t>ARLU MADEIRAS</t>
  </si>
  <si>
    <t>2168</t>
  </si>
  <si>
    <t>755</t>
  </si>
  <si>
    <t>761</t>
  </si>
  <si>
    <t>Sta. Teresa (ES)</t>
  </si>
  <si>
    <t>DOMINGOS SARTOR</t>
  </si>
  <si>
    <t>2295</t>
  </si>
  <si>
    <t>758</t>
  </si>
  <si>
    <t>30 DIAS</t>
  </si>
  <si>
    <t>PRETTI MADEIRAS COM E REPRESENTACAO LTDA EPP</t>
  </si>
  <si>
    <t>2541</t>
  </si>
  <si>
    <t>952</t>
  </si>
  <si>
    <t>963</t>
  </si>
  <si>
    <t>30/45/60 ou 4% AV</t>
  </si>
  <si>
    <t>S. G. da Palha (ES)</t>
  </si>
  <si>
    <t>2542</t>
  </si>
  <si>
    <t>957</t>
  </si>
  <si>
    <t>964</t>
  </si>
  <si>
    <t>2543</t>
  </si>
  <si>
    <t>958</t>
  </si>
  <si>
    <t>959</t>
  </si>
  <si>
    <t>MADEIREIRA GURIRI NORTE LTDA ME</t>
  </si>
  <si>
    <t>2544</t>
  </si>
  <si>
    <t>953</t>
  </si>
  <si>
    <t>960</t>
  </si>
  <si>
    <t>São Mateus (ES)</t>
  </si>
  <si>
    <t>2710</t>
  </si>
  <si>
    <t>1041</t>
  </si>
  <si>
    <t>1040</t>
  </si>
  <si>
    <t>ARMAZEM DO PAIOL LTDA</t>
  </si>
  <si>
    <t>2667</t>
  </si>
  <si>
    <t>1060</t>
  </si>
  <si>
    <t>Guarapari (ES)</t>
  </si>
  <si>
    <t>INDUSTRIA E COM DE MOVEIS TERESENSE EIRELI EPP</t>
  </si>
  <si>
    <t>2717</t>
  </si>
  <si>
    <t>1063</t>
  </si>
  <si>
    <t>1071</t>
  </si>
  <si>
    <t>TERESENSE (CLIENTE)</t>
  </si>
  <si>
    <t>2690</t>
  </si>
  <si>
    <t>1075</t>
  </si>
  <si>
    <t>1072</t>
  </si>
  <si>
    <t>FABRIS MATERIAL DE CONSTRUCAO LTDA EPP</t>
  </si>
  <si>
    <t>2719</t>
  </si>
  <si>
    <t>1079</t>
  </si>
  <si>
    <t>1073</t>
  </si>
  <si>
    <t>2711</t>
  </si>
  <si>
    <t>1083</t>
  </si>
  <si>
    <t>CREUZIMAR RIBEIRO DA SILVA</t>
  </si>
  <si>
    <t>2709</t>
  </si>
  <si>
    <t>1092</t>
  </si>
  <si>
    <t>1084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</si>
</sst>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"/>
    <numFmt numFmtId="60" formatCode="[$R$-416] #,##0.00"/>
  </numFmts>
  <fonts count="15">
    <font>
      <sz val="11"/>
      <color indexed="8"/>
      <name val="Calibri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1"/>
      <color indexed="8"/>
      <name val="Arial"/>
    </font>
    <font>
      <b val="1"/>
      <sz val="16"/>
      <color indexed="8"/>
      <name val="Arial"/>
    </font>
    <font>
      <b val="1"/>
      <sz val="11"/>
      <color indexed="8"/>
      <name val="Calibri"/>
    </font>
    <font>
      <b val="1"/>
      <sz val="14"/>
      <color indexed="8"/>
      <name val="Arial"/>
    </font>
    <font>
      <b val="1"/>
      <sz val="30"/>
      <color indexed="8"/>
      <name val="Arial"/>
    </font>
    <font>
      <b val="1"/>
      <sz val="12"/>
      <color indexed="8"/>
      <name val="Arial"/>
    </font>
    <font>
      <b val="1"/>
      <i val="1"/>
      <sz val="12"/>
      <color indexed="8"/>
      <name val="Arial"/>
    </font>
    <font>
      <b val="1"/>
      <sz val="15"/>
      <color indexed="8"/>
      <name val="Arial"/>
    </font>
    <font>
      <i val="1"/>
      <sz val="12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b val="1"/>
      <sz val="10"/>
      <color indexed="8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5" fillId="4" borderId="1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horizontal="center" vertical="center" wrapText="1"/>
    </xf>
    <xf numFmtId="49" fontId="4" fillId="6" borderId="1" applyNumberFormat="1" applyFont="1" applyFill="1" applyBorder="1" applyAlignment="1" applyProtection="0">
      <alignment horizontal="center" vertical="center" wrapText="1"/>
    </xf>
    <xf numFmtId="49" fontId="4" fillId="7" borderId="1" applyNumberFormat="1" applyFont="1" applyFill="1" applyBorder="1" applyAlignment="1" applyProtection="0">
      <alignment horizontal="center" vertical="center" wrapText="1"/>
    </xf>
    <xf numFmtId="49" fontId="4" fillId="8" borderId="1" applyNumberFormat="1" applyFont="1" applyFill="1" applyBorder="1" applyAlignment="1" applyProtection="0">
      <alignment horizontal="center" vertical="center" wrapText="1"/>
    </xf>
    <xf numFmtId="49" fontId="4" fillId="9" borderId="1" applyNumberFormat="1" applyFont="1" applyFill="1" applyBorder="1" applyAlignment="1" applyProtection="0">
      <alignment horizontal="center" vertical="center" wrapText="1"/>
    </xf>
    <xf numFmtId="49" fontId="4" fillId="10" borderId="1" applyNumberFormat="1" applyFont="1" applyFill="1" applyBorder="1" applyAlignment="1" applyProtection="0">
      <alignment horizontal="center" vertical="center" wrapText="1"/>
    </xf>
    <xf numFmtId="49" fontId="6" fillId="11" borderId="1" applyNumberFormat="1" applyFont="1" applyFill="1" applyBorder="1" applyAlignment="1" applyProtection="0">
      <alignment horizontal="center" vertical="center" wrapText="1"/>
    </xf>
    <xf numFmtId="49" fontId="6" fillId="12" borderId="1" applyNumberFormat="1" applyFont="1" applyFill="1" applyBorder="1" applyAlignment="1" applyProtection="0">
      <alignment horizontal="center" vertical="center" wrapText="1"/>
    </xf>
    <xf numFmtId="49" fontId="6" fillId="13" borderId="1" applyNumberFormat="1" applyFont="1" applyFill="1" applyBorder="1" applyAlignment="1" applyProtection="0">
      <alignment horizontal="center" vertical="center" wrapText="1"/>
    </xf>
    <xf numFmtId="49" fontId="6" fillId="14" borderId="1" applyNumberFormat="1" applyFont="1" applyFill="1" applyBorder="1" applyAlignment="1" applyProtection="0">
      <alignment horizontal="center" vertical="center" wrapText="1"/>
    </xf>
    <xf numFmtId="49" fontId="4" fillId="15" borderId="1" applyNumberFormat="1" applyFont="1" applyFill="1" applyBorder="1" applyAlignment="1" applyProtection="0">
      <alignment horizontal="center" vertical="center" wrapText="1"/>
    </xf>
    <xf numFmtId="49" fontId="7" fillId="15" borderId="1" applyNumberFormat="1" applyFont="1" applyFill="1" applyBorder="1" applyAlignment="1" applyProtection="0">
      <alignment horizontal="center" vertical="center" wrapText="1"/>
    </xf>
    <xf numFmtId="49" fontId="6" fillId="16" borderId="1" applyNumberFormat="1" applyFont="1" applyFill="1" applyBorder="1" applyAlignment="1" applyProtection="0">
      <alignment horizontal="center" vertical="center" wrapText="1"/>
    </xf>
    <xf numFmtId="49" fontId="4" fillId="16" borderId="1" applyNumberFormat="1" applyFont="1" applyFill="1" applyBorder="1" applyAlignment="1" applyProtection="0">
      <alignment horizontal="center" vertical="center" wrapText="1"/>
    </xf>
    <xf numFmtId="49" fontId="6" fillId="17" borderId="1" applyNumberFormat="1" applyFont="1" applyFill="1" applyBorder="1" applyAlignment="1" applyProtection="0">
      <alignment horizontal="center" vertical="center" wrapText="1"/>
    </xf>
    <xf numFmtId="49" fontId="6" fillId="18" borderId="1" applyNumberFormat="1" applyFont="1" applyFill="1" applyBorder="1" applyAlignment="1" applyProtection="0">
      <alignment horizontal="center" vertical="center" wrapText="1"/>
    </xf>
    <xf numFmtId="49" fontId="6" fillId="19" borderId="1" applyNumberFormat="1" applyFont="1" applyFill="1" applyBorder="1" applyAlignment="1" applyProtection="0">
      <alignment horizontal="center" vertical="center" wrapText="1"/>
    </xf>
    <xf numFmtId="49" fontId="6" fillId="20" borderId="1" applyNumberFormat="1" applyFont="1" applyFill="1" applyBorder="1" applyAlignment="1" applyProtection="0">
      <alignment horizontal="center" vertical="center" wrapText="1"/>
    </xf>
    <xf numFmtId="49" fontId="6" fillId="21" borderId="1" applyNumberFormat="1" applyFont="1" applyFill="1" applyBorder="1" applyAlignment="1" applyProtection="0">
      <alignment horizontal="center" vertical="center" wrapText="1"/>
    </xf>
    <xf numFmtId="49" fontId="6" fillId="22" borderId="1" applyNumberFormat="1" applyFont="1" applyFill="1" applyBorder="1" applyAlignment="1" applyProtection="0">
      <alignment horizontal="center" vertical="center" wrapText="1"/>
    </xf>
    <xf numFmtId="49" fontId="6" fillId="23" borderId="1" applyNumberFormat="1" applyFont="1" applyFill="1" applyBorder="1" applyAlignment="1" applyProtection="0">
      <alignment horizontal="center" vertical="center" wrapText="1"/>
    </xf>
    <xf numFmtId="49" fontId="6" fillId="24" borderId="1" applyNumberFormat="1" applyFont="1" applyFill="1" applyBorder="1" applyAlignment="1" applyProtection="0">
      <alignment horizontal="center" vertical="center" wrapText="1"/>
    </xf>
    <xf numFmtId="49" fontId="6" fillId="25" borderId="1" applyNumberFormat="1" applyFont="1" applyFill="1" applyBorder="1" applyAlignment="1" applyProtection="0">
      <alignment horizontal="center" vertical="center" wrapText="1"/>
    </xf>
    <xf numFmtId="49" fontId="6" fillId="26" borderId="1" applyNumberFormat="1" applyFont="1" applyFill="1" applyBorder="1" applyAlignment="1" applyProtection="0">
      <alignment horizontal="center" vertical="center" wrapText="1"/>
    </xf>
    <xf numFmtId="49" fontId="6" fillId="27" borderId="1" applyNumberFormat="1" applyFont="1" applyFill="1" applyBorder="1" applyAlignment="1" applyProtection="0">
      <alignment horizontal="center" vertical="center" wrapText="1"/>
    </xf>
    <xf numFmtId="49" fontId="8" fillId="28" borderId="1" applyNumberFormat="1" applyFont="1" applyFill="1" applyBorder="1" applyAlignment="1" applyProtection="0">
      <alignment horizontal="center" vertical="center" wrapText="1"/>
    </xf>
    <xf numFmtId="49" fontId="9" fillId="28" borderId="1" applyNumberFormat="1" applyFont="1" applyFill="1" applyBorder="1" applyAlignment="1" applyProtection="0">
      <alignment horizontal="center" vertical="center" wrapText="1"/>
    </xf>
    <xf numFmtId="9" fontId="8" fillId="28" borderId="1" applyNumberFormat="1" applyFont="1" applyFill="1" applyBorder="1" applyAlignment="1" applyProtection="0">
      <alignment horizontal="center" vertical="center" wrapText="1"/>
    </xf>
    <xf numFmtId="59" fontId="10" fillId="29" borderId="1" applyNumberFormat="1" applyFont="1" applyFill="1" applyBorder="1" applyAlignment="1" applyProtection="0">
      <alignment horizontal="center" vertical="center" wrapText="1"/>
    </xf>
    <xf numFmtId="49" fontId="8" borderId="1" applyNumberFormat="1" applyFont="1" applyFill="0" applyBorder="1" applyAlignment="1" applyProtection="0">
      <alignment horizontal="center" vertical="center" wrapText="1"/>
    </xf>
    <xf numFmtId="0" fontId="3" fillId="15" borderId="1" applyNumberFormat="0" applyFont="1" applyFill="1" applyBorder="1" applyAlignment="1" applyProtection="0">
      <alignment horizontal="center" vertical="center" wrapText="1"/>
    </xf>
    <xf numFmtId="49" fontId="11" borderId="1" applyNumberFormat="1" applyFont="1" applyFill="0" applyBorder="1" applyAlignment="1" applyProtection="0">
      <alignment horizontal="center" vertical="center" wrapText="1"/>
    </xf>
    <xf numFmtId="49" fontId="12" borderId="1" applyNumberFormat="1" applyFont="1" applyFill="0" applyBorder="1" applyAlignment="1" applyProtection="0">
      <alignment horizontal="center" vertical="center" wrapText="1"/>
    </xf>
    <xf numFmtId="49" fontId="8" fillId="15" borderId="1" applyNumberFormat="1" applyFont="1" applyFill="1" applyBorder="1" applyAlignment="1" applyProtection="0">
      <alignment horizontal="center" vertical="center" wrapText="1"/>
    </xf>
    <xf numFmtId="60" fontId="12" borderId="1" applyNumberFormat="1" applyFont="1" applyFill="0" applyBorder="1" applyAlignment="1" applyProtection="0">
      <alignment horizontal="center" vertical="center" wrapText="1"/>
    </xf>
    <xf numFmtId="60" fontId="8" fillId="29" borderId="1" applyNumberFormat="1" applyFont="1" applyFill="1" applyBorder="1" applyAlignment="1" applyProtection="0">
      <alignment horizontal="center" vertical="center" wrapText="1"/>
    </xf>
    <xf numFmtId="60" fontId="12" fillId="29" borderId="1" applyNumberFormat="1" applyFont="1" applyFill="1" applyBorder="1" applyAlignment="1" applyProtection="0">
      <alignment horizontal="center" vertical="center" wrapText="1"/>
    </xf>
    <xf numFmtId="60" fontId="8" fillId="30" borderId="1" applyNumberFormat="1" applyFont="1" applyFill="1" applyBorder="1" applyAlignment="1" applyProtection="0">
      <alignment horizontal="center" vertical="center" wrapText="1"/>
    </xf>
    <xf numFmtId="59" fontId="13" fillId="29" borderId="1" applyNumberFormat="1" applyFont="1" applyFill="1" applyBorder="1" applyAlignment="1" applyProtection="0">
      <alignment horizontal="center" vertical="center" wrapText="1"/>
    </xf>
    <xf numFmtId="49" fontId="14" fillId="29" borderId="1" applyNumberFormat="1" applyFont="1" applyFill="1" applyBorder="1" applyAlignment="1" applyProtection="0">
      <alignment horizontal="center" vertical="center" wrapText="1"/>
    </xf>
    <xf numFmtId="59" fontId="12" borderId="1" applyNumberFormat="1" applyFont="1" applyFill="0" applyBorder="1" applyAlignment="1" applyProtection="0">
      <alignment horizontal="center" vertical="center" wrapText="1"/>
    </xf>
    <xf numFmtId="0" fontId="12" borderId="1" applyNumberFormat="1" applyFont="1" applyFill="0" applyBorder="1" applyAlignment="1" applyProtection="0">
      <alignment horizontal="center" vertical="center" wrapText="1"/>
    </xf>
    <xf numFmtId="49" fontId="8" fillId="31" borderId="1" applyNumberFormat="1" applyFont="1" applyFill="1" applyBorder="1" applyAlignment="1" applyProtection="0">
      <alignment horizontal="center" vertical="center" wrapText="1"/>
    </xf>
    <xf numFmtId="49" fontId="3" fillId="15" borderId="1" applyNumberFormat="1" applyFont="1" applyFill="1" applyBorder="1" applyAlignment="1" applyProtection="0">
      <alignment horizontal="center" vertical="center" wrapText="1"/>
    </xf>
    <xf numFmtId="49" fontId="8" fillId="32" borderId="1" applyNumberFormat="1" applyFont="1" applyFill="1" applyBorder="1" applyAlignment="1" applyProtection="0">
      <alignment horizontal="center" vertical="center" wrapText="1"/>
    </xf>
    <xf numFmtId="49" fontId="11" fillId="32" borderId="1" applyNumberFormat="1" applyFont="1" applyFill="1" applyBorder="1" applyAlignment="1" applyProtection="0">
      <alignment horizontal="center" vertical="center" wrapText="1"/>
    </xf>
    <xf numFmtId="49" fontId="12" fillId="32" borderId="1" applyNumberFormat="1" applyFont="1" applyFill="1" applyBorder="1" applyAlignment="1" applyProtection="0">
      <alignment horizontal="center" vertical="center" wrapText="1"/>
    </xf>
    <xf numFmtId="60" fontId="12" fillId="32" borderId="1" applyNumberFormat="1" applyFont="1" applyFill="1" applyBorder="1" applyAlignment="1" applyProtection="0">
      <alignment horizontal="center" vertical="center" wrapText="1"/>
    </xf>
    <xf numFmtId="60" fontId="12" fillId="33" borderId="1" applyNumberFormat="1" applyFont="1" applyFill="1" applyBorder="1" applyAlignment="1" applyProtection="0">
      <alignment horizontal="center" vertical="center" wrapText="1"/>
    </xf>
    <xf numFmtId="59" fontId="12" fillId="32" borderId="1" applyNumberFormat="1" applyFont="1" applyFill="1" applyBorder="1" applyAlignment="1" applyProtection="0">
      <alignment horizontal="center" vertical="center" wrapText="1"/>
    </xf>
    <xf numFmtId="0" fontId="12" fillId="32" borderId="1" applyNumberFormat="1" applyFont="1" applyFill="1" applyBorder="1" applyAlignment="1" applyProtection="0">
      <alignment horizontal="center" vertical="center" wrapText="1"/>
    </xf>
    <xf numFmtId="49" fontId="8" fillId="34" borderId="1" applyNumberFormat="1" applyFont="1" applyFill="1" applyBorder="1" applyAlignment="1" applyProtection="0">
      <alignment horizontal="center" vertical="center" wrapText="1"/>
    </xf>
    <xf numFmtId="60" fontId="8" fillId="31" borderId="1" applyNumberFormat="1" applyFont="1" applyFill="1" applyBorder="1" applyAlignment="1" applyProtection="0">
      <alignment horizontal="center" vertical="center" wrapText="1"/>
    </xf>
    <xf numFmtId="49" fontId="8" fillId="33" borderId="1" applyNumberFormat="1" applyFont="1" applyFill="1" applyBorder="1" applyAlignment="1" applyProtection="0">
      <alignment horizontal="center"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49" fontId="4" fillId="35" borderId="1" applyNumberFormat="1" applyFont="1" applyFill="1" applyBorder="1" applyAlignment="1" applyProtection="0">
      <alignment horizontal="center" vertical="center" wrapText="1"/>
    </xf>
    <xf numFmtId="49" fontId="6" fillId="15" borderId="1" applyNumberFormat="1" applyFont="1" applyFill="1" applyBorder="1" applyAlignment="1" applyProtection="0">
      <alignment horizontal="center" vertical="center" wrapText="1"/>
    </xf>
    <xf numFmtId="49" fontId="6" fillId="15" borderId="1" applyNumberFormat="1" applyFont="1" applyFill="1" applyBorder="1" applyAlignment="1" applyProtection="0">
      <alignment horizontal="left" vertical="center" wrapText="1"/>
    </xf>
    <xf numFmtId="0" fontId="0" borderId="1" applyNumberFormat="0" applyFont="1" applyFill="0" applyBorder="1" applyAlignment="1" applyProtection="0">
      <alignment vertical="bottom"/>
    </xf>
    <xf numFmtId="60" fontId="13" fillId="15" borderId="1" applyNumberFormat="1" applyFont="1" applyFill="1" applyBorder="1" applyAlignment="1" applyProtection="0">
      <alignment horizontal="center" vertical="center" wrapText="1"/>
    </xf>
    <xf numFmtId="60" fontId="6" fillId="15" borderId="1" applyNumberFormat="1" applyFont="1" applyFill="1" applyBorder="1" applyAlignment="1" applyProtection="0">
      <alignment horizontal="center" vertical="center" wrapText="1"/>
    </xf>
    <xf numFmtId="60" fontId="6" fillId="36" borderId="1" applyNumberFormat="1" applyFont="1" applyFill="1" applyBorder="1" applyAlignment="1" applyProtection="0">
      <alignment horizontal="center" vertical="center" wrapText="1"/>
    </xf>
    <xf numFmtId="49" fontId="13" fillId="15" borderId="1" applyNumberFormat="1" applyFont="1" applyFill="1" applyBorder="1" applyAlignment="1" applyProtection="0">
      <alignment horizontal="center" vertical="center" wrapText="1"/>
    </xf>
    <xf numFmtId="49" fontId="6" borderId="1" applyNumberFormat="1" applyFont="1" applyFill="0" applyBorder="1" applyAlignment="1" applyProtection="0">
      <alignment horizontal="center" vertical="center" wrapText="1"/>
    </xf>
    <xf numFmtId="0" fontId="5" fillId="37" borderId="1" applyNumberFormat="0" applyFont="1" applyFill="1" applyBorder="1" applyAlignment="1" applyProtection="0">
      <alignment vertical="bottom"/>
    </xf>
    <xf numFmtId="49" fontId="6" fillId="32" borderId="1" applyNumberFormat="1" applyFont="1" applyFill="1" applyBorder="1" applyAlignment="1" applyProtection="0">
      <alignment horizontal="center" vertical="center" wrapText="1"/>
    </xf>
    <xf numFmtId="0" fontId="0" fillId="32" borderId="1" applyNumberFormat="0" applyFont="1" applyFill="1" applyBorder="1" applyAlignment="1" applyProtection="0">
      <alignment vertical="bottom"/>
    </xf>
    <xf numFmtId="0" fontId="6" fillId="32" borderId="1" applyNumberFormat="0" applyFont="1" applyFill="1" applyBorder="1" applyAlignment="1" applyProtection="0">
      <alignment horizontal="center" vertical="center" wrapText="1"/>
    </xf>
    <xf numFmtId="60" fontId="13" fillId="32" borderId="1" applyNumberFormat="1" applyFont="1" applyFill="1" applyBorder="1" applyAlignment="1" applyProtection="0">
      <alignment horizontal="center" vertical="center" wrapText="1"/>
    </xf>
    <xf numFmtId="0" fontId="13" fillId="32" borderId="1" applyNumberFormat="0" applyFont="1" applyFill="1" applyBorder="1" applyAlignment="1" applyProtection="0">
      <alignment horizontal="center" vertical="center" wrapText="1"/>
    </xf>
    <xf numFmtId="49" fontId="13" fillId="32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60" fontId="12" fillId="38" borderId="1" applyNumberFormat="1" applyFont="1" applyFill="1" applyBorder="1" applyAlignment="1" applyProtection="0">
      <alignment horizontal="center" vertical="center" wrapText="1"/>
    </xf>
    <xf numFmtId="60" fontId="8" fillId="32" borderId="1" applyNumberFormat="1" applyFont="1" applyFill="1" applyBorder="1" applyAlignment="1" applyProtection="0">
      <alignment horizontal="center" vertical="center" wrapText="1"/>
    </xf>
    <xf numFmtId="60" fontId="8" borderId="1" applyNumberFormat="1" applyFont="1" applyFill="0" applyBorder="1" applyAlignment="1" applyProtection="0">
      <alignment horizontal="center" vertical="center" wrapText="1"/>
    </xf>
    <xf numFmtId="0" fontId="6" borderId="1" applyNumberFormat="0" applyFont="1" applyFill="0" applyBorder="1" applyAlignment="1" applyProtection="0">
      <alignment horizontal="center" vertical="center" wrapText="1"/>
    </xf>
    <xf numFmtId="60" fontId="13" borderId="1" applyNumberFormat="1" applyFont="1" applyFill="0" applyBorder="1" applyAlignment="1" applyProtection="0">
      <alignment horizontal="center" vertical="center" wrapText="1"/>
    </xf>
    <xf numFmtId="0" fontId="13" borderId="1" applyNumberFormat="0" applyFont="1" applyFill="0" applyBorder="1" applyAlignment="1" applyProtection="0">
      <alignment horizontal="center" vertical="center" wrapText="1"/>
    </xf>
    <xf numFmtId="49" fontId="13" borderId="1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2" fillId="31" borderId="1" applyNumberFormat="1" applyFont="1" applyFill="1" applyBorder="1" applyAlignment="1" applyProtection="0">
      <alignment horizontal="center" vertical="center" wrapText="1"/>
    </xf>
    <xf numFmtId="60" fontId="11" fillId="32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57">
    <dxf>
      <font>
        <b val="1"/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ff000000"/>
      </font>
      <fill>
        <patternFill patternType="solid">
          <fgColor indexed="11"/>
          <bgColor indexed="13"/>
        </patternFill>
      </fill>
    </dxf>
    <dxf>
      <font>
        <b val="1"/>
        <color rgb="ff000000"/>
      </font>
      <fill>
        <patternFill patternType="solid">
          <fgColor indexed="11"/>
          <bgColor indexed="14"/>
        </patternFill>
      </fill>
    </dxf>
    <dxf>
      <font>
        <b val="1"/>
        <color rgb="ff000000"/>
      </font>
      <fill>
        <patternFill patternType="solid">
          <fgColor indexed="11"/>
          <bgColor indexed="15"/>
        </patternFill>
      </fill>
    </dxf>
    <dxf>
      <font>
        <b val="1"/>
        <color rgb="ff000000"/>
      </font>
      <fill>
        <patternFill patternType="solid">
          <fgColor indexed="11"/>
          <bgColor indexed="16"/>
        </patternFill>
      </fill>
    </dxf>
    <dxf>
      <font>
        <b val="1"/>
        <color rgb="ff000000"/>
      </font>
      <fill>
        <patternFill patternType="solid">
          <fgColor indexed="11"/>
          <bgColor indexed="17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b val="1"/>
        <color rgb="00000000"/>
      </font>
      <fill>
        <patternFill patternType="solid">
          <fgColor indexed="11"/>
          <bgColor indexed="19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00000000"/>
      </font>
      <fill>
        <patternFill patternType="solid">
          <fgColor indexed="11"/>
          <bgColor indexed="46"/>
        </patternFill>
      </fill>
    </dxf>
    <dxf>
      <font>
        <color rgb="ff000000"/>
      </font>
      <fill>
        <patternFill patternType="solid">
          <fgColor indexed="11"/>
          <bgColor indexed="17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4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  <dxf>
      <font>
        <b val="1"/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ff000000"/>
      </font>
      <fill>
        <patternFill patternType="solid">
          <fgColor indexed="11"/>
          <bgColor indexed="13"/>
        </patternFill>
      </fill>
    </dxf>
    <dxf>
      <font>
        <b val="1"/>
        <color rgb="ff000000"/>
      </font>
      <fill>
        <patternFill patternType="solid">
          <fgColor indexed="11"/>
          <bgColor indexed="14"/>
        </patternFill>
      </fill>
    </dxf>
    <dxf>
      <font>
        <b val="1"/>
        <color rgb="ff000000"/>
      </font>
      <fill>
        <patternFill patternType="solid">
          <fgColor indexed="11"/>
          <bgColor indexed="15"/>
        </patternFill>
      </fill>
    </dxf>
    <dxf>
      <font>
        <b val="1"/>
        <color rgb="ff000000"/>
      </font>
      <fill>
        <patternFill patternType="solid">
          <fgColor indexed="11"/>
          <bgColor indexed="16"/>
        </patternFill>
      </fill>
    </dxf>
    <dxf>
      <font>
        <b val="1"/>
        <color rgb="ff000000"/>
      </font>
      <fill>
        <patternFill patternType="solid">
          <fgColor indexed="11"/>
          <bgColor indexed="17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b val="1"/>
        <color rgb="00000000"/>
      </font>
      <fill>
        <patternFill patternType="solid">
          <fgColor indexed="11"/>
          <bgColor indexed="19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00000000"/>
      </font>
      <fill>
        <patternFill patternType="solid">
          <fgColor indexed="11"/>
          <bgColor indexed="46"/>
        </patternFill>
      </fill>
    </dxf>
    <dxf>
      <font>
        <color rgb="ff000000"/>
      </font>
      <fill>
        <patternFill patternType="solid">
          <fgColor indexed="11"/>
          <bgColor indexed="17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4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  <dxf>
      <font>
        <b val="1"/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ff000000"/>
      </font>
      <fill>
        <patternFill patternType="solid">
          <fgColor indexed="11"/>
          <bgColor indexed="13"/>
        </patternFill>
      </fill>
    </dxf>
    <dxf>
      <font>
        <b val="1"/>
        <color rgb="ff000000"/>
      </font>
      <fill>
        <patternFill patternType="solid">
          <fgColor indexed="11"/>
          <bgColor indexed="14"/>
        </patternFill>
      </fill>
    </dxf>
    <dxf>
      <font>
        <b val="1"/>
        <color rgb="ff000000"/>
      </font>
      <fill>
        <patternFill patternType="solid">
          <fgColor indexed="11"/>
          <bgColor indexed="15"/>
        </patternFill>
      </fill>
    </dxf>
    <dxf>
      <font>
        <b val="1"/>
        <color rgb="ff000000"/>
      </font>
      <fill>
        <patternFill patternType="solid">
          <fgColor indexed="11"/>
          <bgColor indexed="16"/>
        </patternFill>
      </fill>
    </dxf>
    <dxf>
      <font>
        <b val="1"/>
        <color rgb="ff000000"/>
      </font>
      <fill>
        <patternFill patternType="solid">
          <fgColor indexed="11"/>
          <bgColor indexed="17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b val="1"/>
        <color rgb="00000000"/>
      </font>
      <fill>
        <patternFill patternType="solid">
          <fgColor indexed="11"/>
          <bgColor indexed="19"/>
        </patternFill>
      </fill>
    </dxf>
    <dxf>
      <font>
        <b val="1"/>
        <color rgb="00000000"/>
      </font>
      <fill>
        <patternFill patternType="solid">
          <fgColor indexed="11"/>
          <bgColor indexed="18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b val="1"/>
        <color rgb="00000000"/>
      </font>
      <fill>
        <patternFill patternType="solid">
          <fgColor indexed="11"/>
          <bgColor indexed="46"/>
        </patternFill>
      </fill>
    </dxf>
    <dxf>
      <font>
        <color rgb="ff000000"/>
      </font>
      <fill>
        <patternFill patternType="solid">
          <fgColor indexed="11"/>
          <bgColor indexed="17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4"/>
        </patternFill>
      </fill>
    </dxf>
    <dxf>
      <font>
        <color rgb="ff000000"/>
      </font>
      <fill>
        <patternFill patternType="solid">
          <fgColor indexed="11"/>
          <bgColor indexed="15"/>
        </patternFill>
      </fill>
    </dxf>
    <dxf>
      <font>
        <color rgb="ff000000"/>
      </font>
      <fill>
        <patternFill patternType="solid">
          <fgColor indexed="11"/>
          <bgColor indexed="16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2d2d2"/>
      <rgbColor rgb="ff3f3f3f"/>
      <rgbColor rgb="00000000"/>
      <rgbColor rgb="e588ccff"/>
      <rgbColor rgb="e5afe489"/>
      <rgbColor rgb="e5fffc98"/>
      <rgbColor rgb="e5ffd38a"/>
      <rgbColor rgb="e5ff9781"/>
      <rgbColor rgb="e598efea"/>
      <rgbColor rgb="fff8b4dc"/>
      <rgbColor rgb="ffddd0f1"/>
      <rgbColor rgb="ffd4fca9"/>
      <rgbColor rgb="ffbdc0bf"/>
      <rgbColor rgb="ffa37ed9"/>
      <rgbColor rgb="ffff7c00"/>
      <rgbColor rgb="ff00b81f"/>
      <rgbColor rgb="ff0bc1c1"/>
      <rgbColor rgb="ffee44a7"/>
      <rgbColor rgb="ffffd300"/>
      <rgbColor rgb="ff82b8f7"/>
      <rgbColor rgb="ff00e025"/>
      <rgbColor rgb="fff58fca"/>
      <rgbColor rgb="ff0de7e7"/>
      <rgbColor rgb="ffdddddd"/>
      <rgbColor rgb="fffefffe"/>
      <rgbColor rgb="ffc6b0e8"/>
      <rgbColor rgb="ffd2c0ec"/>
      <rgbColor rgb="ffffab5c"/>
      <rgbColor rgb="ffffc085"/>
      <rgbColor rgb="ffffd5ad"/>
      <rgbColor rgb="ff70ff88"/>
      <rgbColor rgb="ffadffbb"/>
      <rgbColor rgb="ff78f7f7"/>
      <rgbColor rgb="ffffef5c"/>
      <rgbColor rgb="ffd5d5d5"/>
      <rgbColor rgb="fff2f2f2"/>
      <rgbColor rgb="fffcffd0"/>
      <rgbColor rgb="fffcdaed"/>
      <rgbColor rgb="ffb7d6a3"/>
      <rgbColor rgb="fff4f4f4"/>
      <rgbColor rgb="ffffdf7f"/>
      <rgbColor rgb="ffadcdea"/>
      <rgbColor rgb="fffff056"/>
      <rgbColor rgb="fffffda9"/>
      <rgbColor rgb="ffdbdbdb"/>
      <rgbColor rgb="fff6be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S141"/>
  <sheetViews>
    <sheetView workbookViewId="0" showGridLines="0" defaultGridColor="1">
      <pane topLeftCell="D4" xSplit="3" ySplit="3" activePane="bottomRight" state="frozen"/>
    </sheetView>
  </sheetViews>
  <sheetFormatPr defaultColWidth="16.3333" defaultRowHeight="15.4" customHeight="1" outlineLevelRow="0" outlineLevelCol="0"/>
  <cols>
    <col min="1" max="1" width="7.5" style="1" customWidth="1"/>
    <col min="2" max="2" width="14.1094" style="1" customWidth="1"/>
    <col min="3" max="3" width="41.6719" style="1" customWidth="1"/>
    <col min="4" max="4" width="6.67188" style="1" customWidth="1"/>
    <col min="5" max="5" width="11.6094" style="1" customWidth="1"/>
    <col min="6" max="6" width="7.5" style="1" customWidth="1"/>
    <col min="7" max="8" width="10" style="1" customWidth="1"/>
    <col min="9" max="9" width="24.9375" style="1" customWidth="1"/>
    <col min="10" max="10" width="20" style="1" customWidth="1"/>
    <col min="11" max="15" width="16.6719" style="1" customWidth="1"/>
    <col min="16" max="16" width="18.3516" style="1" customWidth="1"/>
    <col min="17" max="24" width="16.6719" style="1" customWidth="1"/>
    <col min="25" max="27" width="18.3516" style="1" customWidth="1"/>
    <col min="28" max="28" width="16.6719" style="1" customWidth="1"/>
    <col min="29" max="31" width="20" style="1" customWidth="1"/>
    <col min="32" max="43" width="16.6719" style="1" customWidth="1"/>
    <col min="44" max="44" width="93.3906" style="1" customWidth="1"/>
    <col min="45" max="45" width="16.6719" style="1" customWidth="1"/>
    <col min="46" max="16384" width="16.3516" style="1" customWidth="1"/>
  </cols>
  <sheetData>
    <row r="1" ht="50" customHeight="1">
      <c r="A1" t="s" s="2">
        <v>0</v>
      </c>
      <c r="B1" t="s" s="3">
        <v>1</v>
      </c>
      <c r="C1" s="4"/>
      <c r="D1" t="s" s="5">
        <v>2</v>
      </c>
      <c r="E1" s="4"/>
      <c r="F1" s="4"/>
      <c r="G1" s="4"/>
      <c r="H1" s="4"/>
      <c r="I1" s="4"/>
      <c r="J1" s="4"/>
      <c r="K1" t="s" s="6">
        <v>3</v>
      </c>
      <c r="L1" s="4"/>
      <c r="M1" s="4"/>
      <c r="N1" s="4"/>
      <c r="O1" s="4"/>
      <c r="P1" s="4"/>
      <c r="Q1" t="s" s="7">
        <v>4</v>
      </c>
      <c r="R1" s="4"/>
      <c r="S1" s="4"/>
      <c r="T1" s="4"/>
      <c r="U1" s="4"/>
      <c r="V1" s="4"/>
      <c r="W1" s="4"/>
      <c r="X1" s="4"/>
      <c r="Y1" t="s" s="8">
        <v>5</v>
      </c>
      <c r="Z1" t="s" s="9">
        <v>6</v>
      </c>
      <c r="AA1" s="4"/>
      <c r="AB1" t="s" s="10">
        <v>7</v>
      </c>
      <c r="AC1" t="s" s="11">
        <v>8</v>
      </c>
      <c r="AD1" s="4"/>
      <c r="AE1" s="4"/>
      <c r="AF1" t="s" s="12">
        <v>9</v>
      </c>
      <c r="AG1" s="4"/>
      <c r="AH1" s="4"/>
      <c r="AI1" s="4"/>
      <c r="AJ1" t="s" s="13">
        <v>6</v>
      </c>
      <c r="AK1" s="4"/>
      <c r="AL1" s="4"/>
      <c r="AM1" s="4"/>
      <c r="AN1" t="s" s="14">
        <v>10</v>
      </c>
      <c r="AO1" s="4"/>
      <c r="AP1" s="4"/>
      <c r="AQ1" s="4"/>
      <c r="AR1" t="s" s="15">
        <v>11</v>
      </c>
      <c r="AS1" t="s" s="16">
        <v>12</v>
      </c>
    </row>
    <row r="2" ht="50" customHeight="1">
      <c r="A2" t="s" s="17">
        <v>13</v>
      </c>
      <c r="B2" t="s" s="18">
        <v>14</v>
      </c>
      <c r="C2" t="s" s="18">
        <v>15</v>
      </c>
      <c r="D2" t="s" s="19">
        <v>16</v>
      </c>
      <c r="E2" s="4"/>
      <c r="F2" s="4"/>
      <c r="G2" t="s" s="20">
        <v>17</v>
      </c>
      <c r="H2" s="4"/>
      <c r="I2" s="4"/>
      <c r="J2" t="s" s="21">
        <v>18</v>
      </c>
      <c r="K2" t="s" s="22">
        <v>19</v>
      </c>
      <c r="L2" s="4"/>
      <c r="M2" s="4"/>
      <c r="N2" t="s" s="23">
        <v>20</v>
      </c>
      <c r="O2" s="4"/>
      <c r="P2" t="s" s="24">
        <v>21</v>
      </c>
      <c r="Q2" t="s" s="12">
        <v>22</v>
      </c>
      <c r="R2" s="4"/>
      <c r="S2" t="s" s="25">
        <v>23</v>
      </c>
      <c r="T2" s="4"/>
      <c r="U2" s="4"/>
      <c r="V2" t="s" s="26">
        <v>24</v>
      </c>
      <c r="W2" s="4"/>
      <c r="X2" s="4"/>
      <c r="Y2" t="s" s="27">
        <v>25</v>
      </c>
      <c r="Z2" t="s" s="13">
        <v>26</v>
      </c>
      <c r="AA2" t="s" s="28">
        <v>27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54.85" customHeight="1">
      <c r="A3" s="4"/>
      <c r="B3" t="s" s="29">
        <v>28</v>
      </c>
      <c r="C3" t="s" s="29">
        <v>29</v>
      </c>
      <c r="D3" t="s" s="30">
        <v>30</v>
      </c>
      <c r="E3" t="s" s="30">
        <v>31</v>
      </c>
      <c r="F3" t="s" s="31">
        <v>32</v>
      </c>
      <c r="G3" t="s" s="30">
        <v>33</v>
      </c>
      <c r="H3" t="s" s="30">
        <v>34</v>
      </c>
      <c r="I3" t="s" s="30">
        <v>35</v>
      </c>
      <c r="J3" t="s" s="30">
        <v>36</v>
      </c>
      <c r="K3" t="s" s="30">
        <v>37</v>
      </c>
      <c r="L3" t="s" s="30">
        <v>38</v>
      </c>
      <c r="M3" t="s" s="30">
        <v>39</v>
      </c>
      <c r="N3" t="s" s="30">
        <v>40</v>
      </c>
      <c r="O3" t="s" s="30">
        <v>41</v>
      </c>
      <c r="P3" t="s" s="30">
        <v>42</v>
      </c>
      <c r="Q3" t="s" s="30">
        <v>43</v>
      </c>
      <c r="R3" t="s" s="30">
        <v>44</v>
      </c>
      <c r="S3" t="s" s="30">
        <v>45</v>
      </c>
      <c r="T3" t="s" s="30">
        <v>46</v>
      </c>
      <c r="U3" t="s" s="30">
        <v>47</v>
      </c>
      <c r="V3" t="s" s="30">
        <v>48</v>
      </c>
      <c r="W3" t="s" s="30">
        <v>49</v>
      </c>
      <c r="X3" t="s" s="30">
        <v>50</v>
      </c>
      <c r="Y3" s="32">
        <v>0.05</v>
      </c>
      <c r="Z3" t="s" s="30">
        <v>51</v>
      </c>
      <c r="AA3" t="s" s="30">
        <v>51</v>
      </c>
      <c r="AB3" t="s" s="30">
        <v>52</v>
      </c>
      <c r="AC3" t="s" s="30">
        <v>53</v>
      </c>
      <c r="AD3" t="s" s="30">
        <v>54</v>
      </c>
      <c r="AE3" t="s" s="30">
        <v>55</v>
      </c>
      <c r="AF3" t="s" s="30">
        <v>56</v>
      </c>
      <c r="AG3" t="s" s="30">
        <v>52</v>
      </c>
      <c r="AH3" t="s" s="30">
        <v>57</v>
      </c>
      <c r="AI3" t="s" s="30">
        <v>58</v>
      </c>
      <c r="AJ3" t="s" s="30">
        <v>59</v>
      </c>
      <c r="AK3" t="s" s="30">
        <v>52</v>
      </c>
      <c r="AL3" t="s" s="30">
        <v>60</v>
      </c>
      <c r="AM3" t="s" s="30">
        <v>58</v>
      </c>
      <c r="AN3" t="s" s="30">
        <v>61</v>
      </c>
      <c r="AO3" t="s" s="30">
        <v>52</v>
      </c>
      <c r="AP3" t="s" s="30">
        <v>57</v>
      </c>
      <c r="AQ3" t="s" s="30">
        <v>58</v>
      </c>
      <c r="AR3" s="4"/>
      <c r="AS3" s="4"/>
    </row>
    <row r="4" ht="54.85" customHeight="1">
      <c r="A4" t="s" s="2">
        <v>0</v>
      </c>
      <c r="B4" s="33"/>
      <c r="C4" s="34"/>
      <c r="D4" s="35"/>
      <c r="E4" s="34"/>
      <c r="F4" s="36"/>
      <c r="G4" s="34"/>
      <c r="H4" s="34"/>
      <c r="I4" t="s" s="37">
        <v>0</v>
      </c>
      <c r="J4" s="38"/>
      <c r="K4" s="39"/>
      <c r="L4" s="39"/>
      <c r="M4" s="39"/>
      <c r="N4" s="39"/>
      <c r="O4" s="39"/>
      <c r="P4" s="40">
        <f>K4-L4-O4+N4</f>
        <v>0</v>
      </c>
      <c r="Q4" s="39"/>
      <c r="R4" s="39"/>
      <c r="S4" s="40">
        <f>L4</f>
        <v>0</v>
      </c>
      <c r="T4" s="39">
        <f>P4+R4-Q4+M4</f>
        <v>0</v>
      </c>
      <c r="U4" s="39">
        <f>T4-V4-W4-X4</f>
        <v>0</v>
      </c>
      <c r="V4" s="41">
        <f>P4*0.03</f>
        <v>0</v>
      </c>
      <c r="W4" s="41">
        <f>P4*0.04</f>
        <v>0</v>
      </c>
      <c r="X4" s="41">
        <f>P4*0.05</f>
        <v>0</v>
      </c>
      <c r="Y4" s="42">
        <f>P4*0.05</f>
        <v>0</v>
      </c>
      <c r="Z4" s="39">
        <f>T4-Y4</f>
        <v>0</v>
      </c>
      <c r="AA4" s="39">
        <f>U4-Y4</f>
        <v>0</v>
      </c>
      <c r="AB4" s="43"/>
      <c r="AC4" t="s" s="37">
        <v>0</v>
      </c>
      <c r="AD4" t="s" s="37">
        <v>0</v>
      </c>
      <c r="AE4" t="s" s="37">
        <v>0</v>
      </c>
      <c r="AF4" t="s" s="44">
        <v>0</v>
      </c>
      <c r="AG4" s="45"/>
      <c r="AH4" s="39"/>
      <c r="AI4" s="41">
        <f>AH4-T4-U4</f>
        <v>0</v>
      </c>
      <c r="AJ4" t="s" s="44">
        <v>0</v>
      </c>
      <c r="AK4" s="45"/>
      <c r="AL4" s="39"/>
      <c r="AM4" s="41">
        <f>AL4-Z4-AA4</f>
        <v>0</v>
      </c>
      <c r="AN4" t="s" s="44">
        <v>0</v>
      </c>
      <c r="AO4" s="45"/>
      <c r="AP4" s="39"/>
      <c r="AQ4" s="41">
        <f>AP4-Y4</f>
        <v>0</v>
      </c>
      <c r="AR4" s="37"/>
      <c r="AS4" s="46">
        <v>0</v>
      </c>
    </row>
    <row r="5" ht="54.85" customHeight="1">
      <c r="A5" t="s" s="2">
        <v>62</v>
      </c>
      <c r="B5" s="33">
        <v>46046</v>
      </c>
      <c r="C5" t="s" s="47">
        <v>63</v>
      </c>
      <c r="D5" t="s" s="48">
        <v>64</v>
      </c>
      <c r="E5" t="s" s="49">
        <v>65</v>
      </c>
      <c r="F5" s="50"/>
      <c r="G5" s="49"/>
      <c r="H5" t="s" s="49">
        <v>66</v>
      </c>
      <c r="I5" t="s" s="51">
        <v>67</v>
      </c>
      <c r="J5" t="s" s="38">
        <v>68</v>
      </c>
      <c r="K5" s="52">
        <v>43755.3</v>
      </c>
      <c r="L5" s="52">
        <v>5111.6</v>
      </c>
      <c r="M5" s="52">
        <v>860</v>
      </c>
      <c r="N5" s="53">
        <v>540.2</v>
      </c>
      <c r="O5" s="53">
        <v>17171.7</v>
      </c>
      <c r="P5" s="40">
        <f>K5-L5-O5+N5</f>
        <v>22012.2</v>
      </c>
      <c r="Q5" s="52"/>
      <c r="R5" s="52"/>
      <c r="S5" s="40">
        <f>L5</f>
        <v>5111.6</v>
      </c>
      <c r="T5" s="52">
        <f>P5+R5-Q5</f>
        <v>22012.2</v>
      </c>
      <c r="U5" s="52">
        <f>T5-V5-W5-X5</f>
        <v>19370.736</v>
      </c>
      <c r="V5" s="41">
        <f>P5*0.03</f>
        <v>660.366</v>
      </c>
      <c r="W5" s="41">
        <f>P5*0.04</f>
        <v>880.4880000000001</v>
      </c>
      <c r="X5" s="41">
        <f>P5*0.05</f>
        <v>1100.61</v>
      </c>
      <c r="Y5" s="42">
        <f>P5*0.05</f>
        <v>1100.61</v>
      </c>
      <c r="Z5" s="52">
        <f>T5-Y5</f>
        <v>20911.59</v>
      </c>
      <c r="AA5" s="52">
        <f>U5-Y5</f>
        <v>18270.126</v>
      </c>
      <c r="AB5" s="43"/>
      <c r="AC5" t="s" s="51">
        <v>0</v>
      </c>
      <c r="AD5" t="s" s="51">
        <v>0</v>
      </c>
      <c r="AE5" t="s" s="51">
        <v>0</v>
      </c>
      <c r="AF5" t="s" s="44">
        <v>0</v>
      </c>
      <c r="AG5" s="54"/>
      <c r="AH5" s="52"/>
      <c r="AI5" s="41">
        <f>AH5-T5-U5</f>
        <v>-41382.936</v>
      </c>
      <c r="AJ5" t="s" s="44">
        <v>0</v>
      </c>
      <c r="AK5" s="54"/>
      <c r="AL5" s="52"/>
      <c r="AM5" s="41">
        <f>AL5-Z5-AA5</f>
        <v>-39181.716</v>
      </c>
      <c r="AN5" t="s" s="44">
        <v>0</v>
      </c>
      <c r="AO5" s="54"/>
      <c r="AP5" s="52"/>
      <c r="AQ5" s="41">
        <f>AP5-Y5</f>
        <v>-1100.61</v>
      </c>
      <c r="AR5" s="51"/>
      <c r="AS5" s="55">
        <v>0</v>
      </c>
    </row>
    <row r="6" ht="54.85" customHeight="1">
      <c r="A6" t="s" s="2">
        <v>0</v>
      </c>
      <c r="B6" s="33">
        <v>46046</v>
      </c>
      <c r="C6" t="s" s="47">
        <v>69</v>
      </c>
      <c r="D6" t="s" s="48">
        <v>64</v>
      </c>
      <c r="E6" t="s" s="34">
        <v>70</v>
      </c>
      <c r="F6" s="36"/>
      <c r="G6" s="34"/>
      <c r="H6" t="s" s="34">
        <v>71</v>
      </c>
      <c r="I6" t="s" s="37">
        <v>67</v>
      </c>
      <c r="J6" t="s" s="38">
        <v>72</v>
      </c>
      <c r="K6" s="39">
        <v>41187.4</v>
      </c>
      <c r="L6" s="39">
        <v>12131.6</v>
      </c>
      <c r="M6" s="39">
        <v>720</v>
      </c>
      <c r="N6" s="39"/>
      <c r="O6" s="39"/>
      <c r="P6" s="40">
        <f>K6-L6-O6+N6</f>
        <v>29055.8</v>
      </c>
      <c r="Q6" s="39"/>
      <c r="R6" s="39"/>
      <c r="S6" s="40">
        <f>L6</f>
        <v>12131.6</v>
      </c>
      <c r="T6" s="39">
        <f>P6+R6-Q6</f>
        <v>29055.8</v>
      </c>
      <c r="U6" s="39">
        <f>T6-V6-W6-X6</f>
        <v>25569.104</v>
      </c>
      <c r="V6" s="41">
        <f>P6*0.03</f>
        <v>871.674</v>
      </c>
      <c r="W6" s="41">
        <f>P6*0.04</f>
        <v>1162.232</v>
      </c>
      <c r="X6" s="41">
        <f>P6*0.05</f>
        <v>1452.79</v>
      </c>
      <c r="Y6" s="42">
        <f>P6*0.05</f>
        <v>1452.79</v>
      </c>
      <c r="Z6" s="39">
        <f>T6-Y6</f>
        <v>27603.01</v>
      </c>
      <c r="AA6" s="39">
        <f>U6-Y6</f>
        <v>24116.314</v>
      </c>
      <c r="AB6" s="43"/>
      <c r="AC6" t="s" s="37">
        <v>0</v>
      </c>
      <c r="AD6" t="s" s="37">
        <v>0</v>
      </c>
      <c r="AE6" t="s" s="37">
        <v>0</v>
      </c>
      <c r="AF6" t="s" s="44">
        <v>0</v>
      </c>
      <c r="AG6" s="45"/>
      <c r="AH6" s="39"/>
      <c r="AI6" s="41">
        <f>AH6-T6-U6</f>
        <v>-54624.904</v>
      </c>
      <c r="AJ6" t="s" s="44">
        <v>0</v>
      </c>
      <c r="AK6" s="45"/>
      <c r="AL6" s="39"/>
      <c r="AM6" s="41">
        <f>AL6-Z6-AA6</f>
        <v>-51719.324</v>
      </c>
      <c r="AN6" t="s" s="44">
        <v>0</v>
      </c>
      <c r="AO6" s="45"/>
      <c r="AP6" s="39"/>
      <c r="AQ6" s="41">
        <f>AP6-Y6</f>
        <v>-1452.79</v>
      </c>
      <c r="AR6" s="37"/>
      <c r="AS6" s="46">
        <v>0</v>
      </c>
    </row>
    <row r="7" ht="54.85" customHeight="1">
      <c r="A7" t="s" s="2">
        <v>0</v>
      </c>
      <c r="B7" s="33">
        <v>46046</v>
      </c>
      <c r="C7" t="s" s="47">
        <v>73</v>
      </c>
      <c r="D7" t="s" s="48">
        <v>64</v>
      </c>
      <c r="E7" t="s" s="49">
        <v>74</v>
      </c>
      <c r="F7" s="50"/>
      <c r="G7" s="49"/>
      <c r="H7" t="s" s="49">
        <v>75</v>
      </c>
      <c r="I7" t="s" s="51">
        <v>76</v>
      </c>
      <c r="J7" t="s" s="38">
        <v>77</v>
      </c>
      <c r="K7" s="52">
        <v>8593.75</v>
      </c>
      <c r="L7" s="52">
        <v>938.6</v>
      </c>
      <c r="M7" s="52">
        <v>115</v>
      </c>
      <c r="N7" s="52"/>
      <c r="O7" s="52"/>
      <c r="P7" s="40">
        <f>K7-L7-O7+N7</f>
        <v>7655.15</v>
      </c>
      <c r="Q7" s="52"/>
      <c r="R7" s="52"/>
      <c r="S7" s="40">
        <f>L7</f>
        <v>938.6</v>
      </c>
      <c r="T7" s="52">
        <f>P7+R7-Q7</f>
        <v>7655.15</v>
      </c>
      <c r="U7" s="52">
        <f>T7-V7-W7-X7</f>
        <v>6736.532</v>
      </c>
      <c r="V7" s="41">
        <f>P7*0.03</f>
        <v>229.6545</v>
      </c>
      <c r="W7" s="41">
        <f>P7*0.04</f>
        <v>306.206</v>
      </c>
      <c r="X7" s="41">
        <f>P7*0.05</f>
        <v>382.7575</v>
      </c>
      <c r="Y7" s="42">
        <f>P7*0.05</f>
        <v>382.7575</v>
      </c>
      <c r="Z7" s="52">
        <f>T7-Y7</f>
        <v>7272.3925</v>
      </c>
      <c r="AA7" s="52">
        <f>U7-Y7</f>
        <v>6353.7745</v>
      </c>
      <c r="AB7" s="43"/>
      <c r="AC7" t="s" s="51">
        <v>0</v>
      </c>
      <c r="AD7" t="s" s="51">
        <v>0</v>
      </c>
      <c r="AE7" t="s" s="51">
        <v>0</v>
      </c>
      <c r="AF7" t="s" s="44">
        <v>0</v>
      </c>
      <c r="AG7" s="54"/>
      <c r="AH7" s="52"/>
      <c r="AI7" s="41">
        <f>AH7-T7-U7</f>
        <v>-14391.682</v>
      </c>
      <c r="AJ7" t="s" s="44">
        <v>0</v>
      </c>
      <c r="AK7" s="54"/>
      <c r="AL7" s="52"/>
      <c r="AM7" s="41">
        <f>AL7-Z7-AA7</f>
        <v>-13626.167</v>
      </c>
      <c r="AN7" t="s" s="44">
        <v>0</v>
      </c>
      <c r="AO7" s="54"/>
      <c r="AP7" s="52"/>
      <c r="AQ7" s="41">
        <f>AP7-Y7</f>
        <v>-382.7575</v>
      </c>
      <c r="AR7" s="51"/>
      <c r="AS7" s="55">
        <v>0</v>
      </c>
    </row>
    <row r="8" ht="54.85" customHeight="1">
      <c r="A8" t="s" s="2">
        <v>0</v>
      </c>
      <c r="B8" s="33">
        <v>46046</v>
      </c>
      <c r="C8" t="s" s="56">
        <v>78</v>
      </c>
      <c r="D8" t="s" s="48">
        <v>64</v>
      </c>
      <c r="E8" t="s" s="34">
        <v>79</v>
      </c>
      <c r="F8" s="36"/>
      <c r="G8" s="34"/>
      <c r="H8" t="s" s="34">
        <v>80</v>
      </c>
      <c r="I8" t="s" s="37">
        <v>81</v>
      </c>
      <c r="J8" t="s" s="38">
        <v>77</v>
      </c>
      <c r="K8" s="39">
        <v>9264</v>
      </c>
      <c r="L8" s="39">
        <v>2259.4</v>
      </c>
      <c r="M8" s="39">
        <v>350</v>
      </c>
      <c r="N8" s="39"/>
      <c r="O8" s="39"/>
      <c r="P8" s="40">
        <f>K8-L8-O8+N8</f>
        <v>7004.6</v>
      </c>
      <c r="Q8" s="39"/>
      <c r="R8" s="39"/>
      <c r="S8" s="40">
        <f>L8</f>
        <v>2259.4</v>
      </c>
      <c r="T8" s="39">
        <f>P8+R8-Q8</f>
        <v>7004.6</v>
      </c>
      <c r="U8" s="57">
        <f>T8-V8-W8-X8</f>
        <v>6794.462</v>
      </c>
      <c r="V8" s="40">
        <f>P8*0.03</f>
        <v>210.138</v>
      </c>
      <c r="W8" s="41"/>
      <c r="X8" s="41"/>
      <c r="Y8" s="42">
        <f>P8*0.05</f>
        <v>350.23</v>
      </c>
      <c r="Z8" s="39">
        <f>T8-Y8</f>
        <v>6654.37</v>
      </c>
      <c r="AA8" s="39">
        <f>U8-Y8</f>
        <v>6444.232</v>
      </c>
      <c r="AB8" s="43"/>
      <c r="AC8" t="s" s="37">
        <v>0</v>
      </c>
      <c r="AD8" t="s" s="37">
        <v>0</v>
      </c>
      <c r="AE8" t="s" s="37">
        <v>0</v>
      </c>
      <c r="AF8" t="s" s="44">
        <v>0</v>
      </c>
      <c r="AG8" s="45"/>
      <c r="AH8" s="39"/>
      <c r="AI8" s="41">
        <f>AH8-T8-U8</f>
        <v>-13799.062</v>
      </c>
      <c r="AJ8" t="s" s="44">
        <v>0</v>
      </c>
      <c r="AK8" s="45"/>
      <c r="AL8" s="39"/>
      <c r="AM8" s="41">
        <f>AL8-Z8-AA8</f>
        <v>-13098.602</v>
      </c>
      <c r="AN8" t="s" s="44">
        <v>0</v>
      </c>
      <c r="AO8" s="45"/>
      <c r="AP8" s="39"/>
      <c r="AQ8" s="41">
        <f>AP8-Y8</f>
        <v>-350.23</v>
      </c>
      <c r="AR8" s="37"/>
      <c r="AS8" s="46">
        <v>0</v>
      </c>
    </row>
    <row r="9" ht="54.85" customHeight="1">
      <c r="A9" t="s" s="2">
        <v>0</v>
      </c>
      <c r="B9" s="33">
        <v>46046</v>
      </c>
      <c r="C9" t="s" s="47">
        <v>82</v>
      </c>
      <c r="D9" t="s" s="48">
        <v>64</v>
      </c>
      <c r="E9" t="s" s="49">
        <v>83</v>
      </c>
      <c r="F9" s="50"/>
      <c r="G9" s="49"/>
      <c r="H9" t="s" s="49">
        <v>84</v>
      </c>
      <c r="I9" t="s" s="51">
        <v>76</v>
      </c>
      <c r="J9" t="s" s="38">
        <v>85</v>
      </c>
      <c r="K9" s="52">
        <v>19239</v>
      </c>
      <c r="L9" s="52">
        <v>5558.8</v>
      </c>
      <c r="M9" s="52">
        <v>840</v>
      </c>
      <c r="N9" s="52"/>
      <c r="O9" s="52"/>
      <c r="P9" s="40">
        <f>K9-L9-O9+N9</f>
        <v>13680.2</v>
      </c>
      <c r="Q9" s="52"/>
      <c r="R9" s="52"/>
      <c r="S9" s="40">
        <f>L9</f>
        <v>5558.8</v>
      </c>
      <c r="T9" s="52">
        <f>P9+R9-Q9</f>
        <v>13680.2</v>
      </c>
      <c r="U9" s="52">
        <f>T9-V9-W9-X9</f>
        <v>12038.576</v>
      </c>
      <c r="V9" s="41">
        <f>P9*0.03</f>
        <v>410.406</v>
      </c>
      <c r="W9" s="41">
        <f>P9*0.04</f>
        <v>547.208</v>
      </c>
      <c r="X9" s="41">
        <f>P9*0.05</f>
        <v>684.01</v>
      </c>
      <c r="Y9" s="42">
        <f>P9*0.05</f>
        <v>684.01</v>
      </c>
      <c r="Z9" s="52">
        <f>T9-Y9</f>
        <v>12996.19</v>
      </c>
      <c r="AA9" s="52">
        <f>U9-Y9</f>
        <v>11354.566</v>
      </c>
      <c r="AB9" s="43"/>
      <c r="AC9" t="s" s="51">
        <v>0</v>
      </c>
      <c r="AD9" t="s" s="51">
        <v>0</v>
      </c>
      <c r="AE9" t="s" s="51">
        <v>0</v>
      </c>
      <c r="AF9" t="s" s="44">
        <v>0</v>
      </c>
      <c r="AG9" s="54"/>
      <c r="AH9" s="52"/>
      <c r="AI9" s="41">
        <f>AH9-T9-U9</f>
        <v>-25718.776</v>
      </c>
      <c r="AJ9" t="s" s="44">
        <v>0</v>
      </c>
      <c r="AK9" s="54"/>
      <c r="AL9" s="52"/>
      <c r="AM9" s="41">
        <f>AL9-Z9-AA9</f>
        <v>-24350.756</v>
      </c>
      <c r="AN9" t="s" s="44">
        <v>0</v>
      </c>
      <c r="AO9" s="54"/>
      <c r="AP9" s="52"/>
      <c r="AQ9" s="41">
        <f>AP9-Y9</f>
        <v>-684.01</v>
      </c>
      <c r="AR9" s="51"/>
      <c r="AS9" s="55">
        <v>0</v>
      </c>
    </row>
    <row r="10" ht="54.85" customHeight="1">
      <c r="A10" t="s" s="2">
        <v>0</v>
      </c>
      <c r="B10" s="33"/>
      <c r="C10" s="34"/>
      <c r="D10" s="35"/>
      <c r="E10" s="34"/>
      <c r="F10" s="36"/>
      <c r="G10" s="34"/>
      <c r="H10" s="34"/>
      <c r="I10" t="s" s="37">
        <v>0</v>
      </c>
      <c r="J10" s="38"/>
      <c r="K10" s="39"/>
      <c r="L10" s="39"/>
      <c r="M10" s="39"/>
      <c r="N10" s="39"/>
      <c r="O10" s="39"/>
      <c r="P10" s="40">
        <f>K10-L10-O10+N10</f>
        <v>0</v>
      </c>
      <c r="Q10" s="39"/>
      <c r="R10" s="39"/>
      <c r="S10" s="40">
        <f>L10</f>
        <v>0</v>
      </c>
      <c r="T10" s="39">
        <f>P10+R10-Q10+M10</f>
        <v>0</v>
      </c>
      <c r="U10" s="39">
        <f>T10-V10-W10-X10</f>
        <v>0</v>
      </c>
      <c r="V10" s="41">
        <f>P10*0.03</f>
        <v>0</v>
      </c>
      <c r="W10" s="41">
        <f>P10*0.04</f>
        <v>0</v>
      </c>
      <c r="X10" s="41">
        <f>P10*0.05</f>
        <v>0</v>
      </c>
      <c r="Y10" s="42">
        <f>P10*0.05</f>
        <v>0</v>
      </c>
      <c r="Z10" s="39">
        <f>T10-Y10</f>
        <v>0</v>
      </c>
      <c r="AA10" s="39">
        <f>U10-Y10</f>
        <v>0</v>
      </c>
      <c r="AB10" s="43"/>
      <c r="AC10" t="s" s="37">
        <v>0</v>
      </c>
      <c r="AD10" t="s" s="37">
        <v>0</v>
      </c>
      <c r="AE10" t="s" s="37">
        <v>0</v>
      </c>
      <c r="AF10" t="s" s="44">
        <v>0</v>
      </c>
      <c r="AG10" s="45"/>
      <c r="AH10" s="39"/>
      <c r="AI10" s="41">
        <f>AH10-T10-U10</f>
        <v>0</v>
      </c>
      <c r="AJ10" t="s" s="44">
        <v>0</v>
      </c>
      <c r="AK10" s="45"/>
      <c r="AL10" s="39"/>
      <c r="AM10" s="41">
        <f>AL10-Z10-AA10</f>
        <v>0</v>
      </c>
      <c r="AN10" t="s" s="44">
        <v>0</v>
      </c>
      <c r="AO10" s="45"/>
      <c r="AP10" s="39"/>
      <c r="AQ10" s="41">
        <f>AP10-Y10</f>
        <v>0</v>
      </c>
      <c r="AR10" s="37"/>
      <c r="AS10" s="46">
        <v>0</v>
      </c>
    </row>
    <row r="11" ht="54.85" customHeight="1">
      <c r="A11" t="s" s="2">
        <v>0</v>
      </c>
      <c r="B11" s="33">
        <v>46065</v>
      </c>
      <c r="C11" t="s" s="47">
        <v>86</v>
      </c>
      <c r="D11" t="s" s="48">
        <v>64</v>
      </c>
      <c r="E11" t="s" s="49">
        <v>87</v>
      </c>
      <c r="F11" s="50"/>
      <c r="G11" s="49"/>
      <c r="H11" t="s" s="49">
        <v>88</v>
      </c>
      <c r="I11" t="s" s="51">
        <v>67</v>
      </c>
      <c r="J11" t="s" s="38">
        <v>72</v>
      </c>
      <c r="K11" s="52">
        <v>43408.2</v>
      </c>
      <c r="L11" s="52">
        <v>11755.1</v>
      </c>
      <c r="M11" s="52">
        <v>1420</v>
      </c>
      <c r="N11" s="52"/>
      <c r="O11" s="52"/>
      <c r="P11" s="40">
        <f>K11-L11-O11+N11</f>
        <v>31653.1</v>
      </c>
      <c r="Q11" s="52"/>
      <c r="R11" s="52"/>
      <c r="S11" s="40">
        <f>L11</f>
        <v>11755.1</v>
      </c>
      <c r="T11" s="52">
        <f>P11+R11-Q11+M11</f>
        <v>33073.1</v>
      </c>
      <c r="U11" s="52">
        <f>T11-V11-W11-X11</f>
        <v>29274.728</v>
      </c>
      <c r="V11" s="41">
        <f>P11*0.03</f>
        <v>949.593</v>
      </c>
      <c r="W11" s="41">
        <f>P11*0.04</f>
        <v>1266.124</v>
      </c>
      <c r="X11" s="41">
        <f>P11*0.05</f>
        <v>1582.655</v>
      </c>
      <c r="Y11" s="42">
        <f>P11*0.05</f>
        <v>1582.655</v>
      </c>
      <c r="Z11" s="52">
        <f>T11-Y11</f>
        <v>31490.445</v>
      </c>
      <c r="AA11" s="52">
        <f>U11-Y11</f>
        <v>27692.073</v>
      </c>
      <c r="AB11" s="43"/>
      <c r="AC11" t="s" s="51">
        <v>0</v>
      </c>
      <c r="AD11" t="s" s="51">
        <v>0</v>
      </c>
      <c r="AE11" t="s" s="51">
        <v>0</v>
      </c>
      <c r="AF11" t="s" s="44">
        <v>0</v>
      </c>
      <c r="AG11" s="54"/>
      <c r="AH11" s="52"/>
      <c r="AI11" s="41">
        <f>AH11-T11-U11</f>
        <v>-62347.828</v>
      </c>
      <c r="AJ11" t="s" s="44">
        <v>0</v>
      </c>
      <c r="AK11" s="54"/>
      <c r="AL11" s="52"/>
      <c r="AM11" s="41">
        <f>AL11-Z11-AA11</f>
        <v>-59182.518</v>
      </c>
      <c r="AN11" t="s" s="44">
        <v>0</v>
      </c>
      <c r="AO11" s="54"/>
      <c r="AP11" s="52"/>
      <c r="AQ11" s="41">
        <f>AP11-Y11</f>
        <v>-1582.655</v>
      </c>
      <c r="AR11" s="51"/>
      <c r="AS11" s="55">
        <v>0</v>
      </c>
    </row>
    <row r="12" ht="54.85" customHeight="1">
      <c r="A12" t="s" s="2">
        <v>0</v>
      </c>
      <c r="B12" s="33">
        <v>46065</v>
      </c>
      <c r="C12" t="s" s="47">
        <v>89</v>
      </c>
      <c r="D12" t="s" s="48">
        <v>64</v>
      </c>
      <c r="E12" t="s" s="34">
        <v>90</v>
      </c>
      <c r="F12" s="36"/>
      <c r="G12" s="34"/>
      <c r="H12" t="s" s="34">
        <v>91</v>
      </c>
      <c r="I12" t="s" s="37">
        <v>67</v>
      </c>
      <c r="J12" t="s" s="38">
        <v>92</v>
      </c>
      <c r="K12" s="39">
        <v>49762.4</v>
      </c>
      <c r="L12" s="39">
        <v>12180</v>
      </c>
      <c r="M12" s="39">
        <v>1350</v>
      </c>
      <c r="N12" s="39"/>
      <c r="O12" s="39"/>
      <c r="P12" s="40">
        <f>K12-L12-O12+N12</f>
        <v>37582.4</v>
      </c>
      <c r="Q12" s="39"/>
      <c r="R12" s="39"/>
      <c r="S12" s="40">
        <f>L12</f>
        <v>12180</v>
      </c>
      <c r="T12" s="39">
        <f>P12+R12-Q12+M12</f>
        <v>38932.4</v>
      </c>
      <c r="U12" s="39">
        <f>T12-V12-W12-X12</f>
        <v>34422.512</v>
      </c>
      <c r="V12" s="41">
        <f>P12*0.03</f>
        <v>1127.472</v>
      </c>
      <c r="W12" s="41">
        <f>P12*0.04</f>
        <v>1503.296</v>
      </c>
      <c r="X12" s="41">
        <f>P12*0.05</f>
        <v>1879.12</v>
      </c>
      <c r="Y12" s="42">
        <f>P12*0.05</f>
        <v>1879.12</v>
      </c>
      <c r="Z12" s="39">
        <f>T12-Y12</f>
        <v>37053.28</v>
      </c>
      <c r="AA12" s="39">
        <f>U12-Y12</f>
        <v>32543.392</v>
      </c>
      <c r="AB12" s="43"/>
      <c r="AC12" t="s" s="37">
        <v>0</v>
      </c>
      <c r="AD12" t="s" s="37">
        <v>0</v>
      </c>
      <c r="AE12" t="s" s="37">
        <v>0</v>
      </c>
      <c r="AF12" t="s" s="44">
        <v>0</v>
      </c>
      <c r="AG12" s="45"/>
      <c r="AH12" s="39"/>
      <c r="AI12" s="41">
        <f>AH12-T12-U12</f>
        <v>-73354.912</v>
      </c>
      <c r="AJ12" t="s" s="44">
        <v>0</v>
      </c>
      <c r="AK12" s="45"/>
      <c r="AL12" s="39"/>
      <c r="AM12" s="41">
        <f>AL12-Z12-AA12</f>
        <v>-69596.672000000006</v>
      </c>
      <c r="AN12" t="s" s="44">
        <v>0</v>
      </c>
      <c r="AO12" s="45"/>
      <c r="AP12" s="39"/>
      <c r="AQ12" s="41">
        <f>AP12-Y12</f>
        <v>-1879.12</v>
      </c>
      <c r="AR12" s="37"/>
      <c r="AS12" s="46">
        <v>0</v>
      </c>
    </row>
    <row r="13" ht="54.85" customHeight="1">
      <c r="A13" t="s" s="2">
        <v>0</v>
      </c>
      <c r="B13" s="33">
        <v>46065</v>
      </c>
      <c r="C13" t="s" s="47">
        <v>69</v>
      </c>
      <c r="D13" t="s" s="48">
        <v>64</v>
      </c>
      <c r="E13" t="s" s="49">
        <v>93</v>
      </c>
      <c r="F13" s="50"/>
      <c r="G13" s="49"/>
      <c r="H13" t="s" s="49">
        <v>94</v>
      </c>
      <c r="I13" t="s" s="51">
        <v>81</v>
      </c>
      <c r="J13" t="s" s="38">
        <v>72</v>
      </c>
      <c r="K13" s="52">
        <v>11600</v>
      </c>
      <c r="L13" s="52">
        <v>1754.9</v>
      </c>
      <c r="M13" s="52">
        <v>185</v>
      </c>
      <c r="N13" s="52"/>
      <c r="O13" s="52"/>
      <c r="P13" s="40">
        <f>K13-L13-O13+N13</f>
        <v>9845.1</v>
      </c>
      <c r="Q13" s="52"/>
      <c r="R13" s="52"/>
      <c r="S13" s="40">
        <f>L13</f>
        <v>1754.9</v>
      </c>
      <c r="T13" s="52">
        <f>P13+R13-Q13+M13</f>
        <v>10030.1</v>
      </c>
      <c r="U13" s="52">
        <f>T13-V13-W13-X13</f>
        <v>8848.688</v>
      </c>
      <c r="V13" s="41">
        <f>P13*0.03</f>
        <v>295.353</v>
      </c>
      <c r="W13" s="41">
        <f>P13*0.04</f>
        <v>393.804</v>
      </c>
      <c r="X13" s="41">
        <f>P13*0.05</f>
        <v>492.255</v>
      </c>
      <c r="Y13" s="42">
        <f>P13*0.05</f>
        <v>492.255</v>
      </c>
      <c r="Z13" s="52">
        <f>T13-Y13</f>
        <v>9537.844999999999</v>
      </c>
      <c r="AA13" s="52">
        <f>U13-Y13</f>
        <v>8356.433000000001</v>
      </c>
      <c r="AB13" s="43"/>
      <c r="AC13" t="s" s="51">
        <v>0</v>
      </c>
      <c r="AD13" t="s" s="51">
        <v>0</v>
      </c>
      <c r="AE13" t="s" s="51">
        <v>0</v>
      </c>
      <c r="AF13" t="s" s="44">
        <v>0</v>
      </c>
      <c r="AG13" s="54"/>
      <c r="AH13" s="52"/>
      <c r="AI13" s="41">
        <f>AH13-T13-U13</f>
        <v>-18878.788</v>
      </c>
      <c r="AJ13" t="s" s="44">
        <v>0</v>
      </c>
      <c r="AK13" s="54"/>
      <c r="AL13" s="52"/>
      <c r="AM13" s="41">
        <f>AL13-Z13-AA13</f>
        <v>-17894.278</v>
      </c>
      <c r="AN13" t="s" s="44">
        <v>0</v>
      </c>
      <c r="AO13" s="54"/>
      <c r="AP13" s="52"/>
      <c r="AQ13" s="41">
        <f>AP13-Y13</f>
        <v>-492.255</v>
      </c>
      <c r="AR13" s="51"/>
      <c r="AS13" s="55">
        <v>0</v>
      </c>
    </row>
    <row r="14" ht="54.85" customHeight="1">
      <c r="A14" t="s" s="2">
        <v>0</v>
      </c>
      <c r="B14" s="33">
        <v>46065</v>
      </c>
      <c r="C14" t="s" s="47">
        <v>95</v>
      </c>
      <c r="D14" t="s" s="48">
        <v>64</v>
      </c>
      <c r="E14" t="s" s="34">
        <v>96</v>
      </c>
      <c r="F14" s="36"/>
      <c r="G14" s="34"/>
      <c r="H14" t="s" s="34">
        <v>97</v>
      </c>
      <c r="I14" t="s" s="37">
        <v>81</v>
      </c>
      <c r="J14" t="s" s="38">
        <v>72</v>
      </c>
      <c r="K14" s="39">
        <v>10100</v>
      </c>
      <c r="L14" s="39">
        <v>1610</v>
      </c>
      <c r="M14" s="39">
        <v>160</v>
      </c>
      <c r="N14" s="39"/>
      <c r="O14" s="39"/>
      <c r="P14" s="40">
        <f>K14-L14-O14+N14</f>
        <v>8490</v>
      </c>
      <c r="Q14" s="39"/>
      <c r="R14" s="39"/>
      <c r="S14" s="40">
        <f>L14</f>
        <v>1610</v>
      </c>
      <c r="T14" s="39">
        <f>P14+R14-Q14+M14</f>
        <v>8650</v>
      </c>
      <c r="U14" s="39">
        <f>T14-V14-W14-X14</f>
        <v>7631.2</v>
      </c>
      <c r="V14" s="41">
        <f>P14*0.03</f>
        <v>254.7</v>
      </c>
      <c r="W14" s="41">
        <f>P14*0.04</f>
        <v>339.6</v>
      </c>
      <c r="X14" s="41">
        <f>P14*0.05</f>
        <v>424.5</v>
      </c>
      <c r="Y14" s="42">
        <f>P14*0.05</f>
        <v>424.5</v>
      </c>
      <c r="Z14" s="39">
        <f>T14-Y14</f>
        <v>8225.5</v>
      </c>
      <c r="AA14" s="39">
        <f>U14-Y14</f>
        <v>7206.7</v>
      </c>
      <c r="AB14" s="43"/>
      <c r="AC14" t="s" s="37">
        <v>0</v>
      </c>
      <c r="AD14" t="s" s="37">
        <v>0</v>
      </c>
      <c r="AE14" t="s" s="37">
        <v>0</v>
      </c>
      <c r="AF14" t="s" s="44">
        <v>0</v>
      </c>
      <c r="AG14" s="45"/>
      <c r="AH14" s="39"/>
      <c r="AI14" s="41">
        <f>AH14-T14-U14</f>
        <v>-16281.2</v>
      </c>
      <c r="AJ14" t="s" s="44">
        <v>0</v>
      </c>
      <c r="AK14" s="45"/>
      <c r="AL14" s="39"/>
      <c r="AM14" s="41">
        <f>AL14-Z14-AA14</f>
        <v>-15432.2</v>
      </c>
      <c r="AN14" t="s" s="44">
        <v>0</v>
      </c>
      <c r="AO14" s="45"/>
      <c r="AP14" s="39"/>
      <c r="AQ14" s="41">
        <f>AP14-Y14</f>
        <v>-424.5</v>
      </c>
      <c r="AR14" s="37"/>
      <c r="AS14" s="46">
        <v>0</v>
      </c>
    </row>
    <row r="15" ht="54.85" customHeight="1">
      <c r="A15" t="s" s="2">
        <v>0</v>
      </c>
      <c r="B15" s="33">
        <v>46073</v>
      </c>
      <c r="C15" t="s" s="47">
        <v>98</v>
      </c>
      <c r="D15" t="s" s="48">
        <v>64</v>
      </c>
      <c r="E15" t="s" s="49">
        <v>99</v>
      </c>
      <c r="F15" s="50"/>
      <c r="G15" s="49"/>
      <c r="H15" t="s" s="49">
        <v>100</v>
      </c>
      <c r="I15" t="s" s="51">
        <v>76</v>
      </c>
      <c r="J15" t="s" s="38">
        <v>101</v>
      </c>
      <c r="K15" s="53">
        <v>31425</v>
      </c>
      <c r="L15" s="52">
        <v>5006.44</v>
      </c>
      <c r="M15" s="52">
        <v>595</v>
      </c>
      <c r="N15" s="52"/>
      <c r="O15" s="53">
        <v>1559</v>
      </c>
      <c r="P15" s="40">
        <f>K15-L15-O15+N15</f>
        <v>24859.56</v>
      </c>
      <c r="Q15" s="52"/>
      <c r="R15" s="52"/>
      <c r="S15" s="40">
        <f>L15</f>
        <v>5006.44</v>
      </c>
      <c r="T15" s="52">
        <f>P15+R15-Q15+M15</f>
        <v>25454.56</v>
      </c>
      <c r="U15" s="52">
        <f>T15-V15-W15-X15</f>
        <v>22471.4128</v>
      </c>
      <c r="V15" s="41">
        <f>P15*0.03</f>
        <v>745.7868</v>
      </c>
      <c r="W15" s="41">
        <f>P15*0.04</f>
        <v>994.3824</v>
      </c>
      <c r="X15" s="41">
        <f>P15*0.05</f>
        <v>1242.978</v>
      </c>
      <c r="Y15" s="42">
        <f>P15*0.05</f>
        <v>1242.978</v>
      </c>
      <c r="Z15" s="52">
        <f>T15-Y15</f>
        <v>24211.582</v>
      </c>
      <c r="AA15" s="52">
        <f>U15-Y15</f>
        <v>21228.4348</v>
      </c>
      <c r="AB15" s="43"/>
      <c r="AC15" t="s" s="51">
        <v>0</v>
      </c>
      <c r="AD15" t="s" s="51">
        <v>0</v>
      </c>
      <c r="AE15" t="s" s="51">
        <v>0</v>
      </c>
      <c r="AF15" t="s" s="44">
        <v>0</v>
      </c>
      <c r="AG15" s="54"/>
      <c r="AH15" s="52"/>
      <c r="AI15" s="41">
        <f>AH15-T15-U15</f>
        <v>-47925.9728</v>
      </c>
      <c r="AJ15" t="s" s="44">
        <v>0</v>
      </c>
      <c r="AK15" s="54"/>
      <c r="AL15" s="52"/>
      <c r="AM15" s="41">
        <f>AL15-Z15-AA15</f>
        <v>-45440.0168</v>
      </c>
      <c r="AN15" t="s" s="44">
        <v>0</v>
      </c>
      <c r="AO15" s="54"/>
      <c r="AP15" s="52"/>
      <c r="AQ15" s="41">
        <f>AP15-Y15</f>
        <v>-1242.978</v>
      </c>
      <c r="AR15" s="51"/>
      <c r="AS15" s="55">
        <v>0</v>
      </c>
    </row>
    <row r="16" ht="54.85" customHeight="1">
      <c r="A16" t="s" s="2">
        <v>0</v>
      </c>
      <c r="B16" s="33"/>
      <c r="C16" s="34"/>
      <c r="D16" s="35"/>
      <c r="E16" s="34"/>
      <c r="F16" s="36"/>
      <c r="G16" s="34"/>
      <c r="H16" s="34"/>
      <c r="I16" t="s" s="37">
        <v>0</v>
      </c>
      <c r="J16" s="38"/>
      <c r="K16" s="39"/>
      <c r="L16" s="39"/>
      <c r="M16" s="39"/>
      <c r="N16" s="39"/>
      <c r="O16" s="39"/>
      <c r="P16" s="40">
        <f>K16-L16-O16+N16</f>
        <v>0</v>
      </c>
      <c r="Q16" s="39"/>
      <c r="R16" s="39"/>
      <c r="S16" s="40">
        <f>L16</f>
        <v>0</v>
      </c>
      <c r="T16" s="39">
        <f>P16+R16-Q16+M16</f>
        <v>0</v>
      </c>
      <c r="U16" s="39">
        <f>T16-V16-W16-X16</f>
        <v>0</v>
      </c>
      <c r="V16" s="41">
        <f>P16*0.03</f>
        <v>0</v>
      </c>
      <c r="W16" s="41">
        <f>P16*0.04</f>
        <v>0</v>
      </c>
      <c r="X16" s="41">
        <f>P16*0.05</f>
        <v>0</v>
      </c>
      <c r="Y16" s="42">
        <f>P16*0.05</f>
        <v>0</v>
      </c>
      <c r="Z16" s="39">
        <f>T16-Y16</f>
        <v>0</v>
      </c>
      <c r="AA16" s="39">
        <f>U16-Y16</f>
        <v>0</v>
      </c>
      <c r="AB16" s="43"/>
      <c r="AC16" t="s" s="37">
        <v>0</v>
      </c>
      <c r="AD16" t="s" s="37">
        <v>0</v>
      </c>
      <c r="AE16" t="s" s="37">
        <v>0</v>
      </c>
      <c r="AF16" t="s" s="44">
        <v>0</v>
      </c>
      <c r="AG16" s="45"/>
      <c r="AH16" s="39"/>
      <c r="AI16" s="41">
        <f>AH16-T16-U16</f>
        <v>0</v>
      </c>
      <c r="AJ16" t="s" s="44">
        <v>0</v>
      </c>
      <c r="AK16" s="45"/>
      <c r="AL16" s="39"/>
      <c r="AM16" s="41">
        <f>AL16-Z16-AA16</f>
        <v>0</v>
      </c>
      <c r="AN16" t="s" s="44">
        <v>0</v>
      </c>
      <c r="AO16" s="45"/>
      <c r="AP16" s="39"/>
      <c r="AQ16" s="41">
        <f>AP16-Y16</f>
        <v>0</v>
      </c>
      <c r="AR16" s="37"/>
      <c r="AS16" s="46">
        <v>0</v>
      </c>
    </row>
    <row r="17" ht="54.85" customHeight="1">
      <c r="A17" t="s" s="2">
        <v>0</v>
      </c>
      <c r="B17" s="33">
        <v>46157</v>
      </c>
      <c r="C17" t="s" s="58">
        <v>63</v>
      </c>
      <c r="D17" t="s" s="48">
        <v>64</v>
      </c>
      <c r="E17" t="s" s="49">
        <v>102</v>
      </c>
      <c r="F17" s="50"/>
      <c r="G17" s="49"/>
      <c r="H17" t="s" s="49">
        <v>103</v>
      </c>
      <c r="I17" t="s" s="51">
        <v>67</v>
      </c>
      <c r="J17" t="s" s="38">
        <v>68</v>
      </c>
      <c r="K17" s="52">
        <v>7592</v>
      </c>
      <c r="L17" s="52">
        <v>1865.62</v>
      </c>
      <c r="M17" s="52">
        <v>225</v>
      </c>
      <c r="N17" s="52"/>
      <c r="O17" s="52"/>
      <c r="P17" s="40">
        <f>K17-L17-O17+N17</f>
        <v>5726.38</v>
      </c>
      <c r="Q17" s="52"/>
      <c r="R17" s="52"/>
      <c r="S17" s="40">
        <f>L17</f>
        <v>1865.62</v>
      </c>
      <c r="T17" s="52">
        <f>P17+R17-Q17+M17</f>
        <v>5951.38</v>
      </c>
      <c r="U17" s="52">
        <f>T17-V17-W17-X17</f>
        <v>5264.2144</v>
      </c>
      <c r="V17" s="41">
        <f>P17*0.03</f>
        <v>171.7914</v>
      </c>
      <c r="W17" s="41">
        <f>P17*0.04</f>
        <v>229.0552</v>
      </c>
      <c r="X17" s="41">
        <f>P17*0.05</f>
        <v>286.319</v>
      </c>
      <c r="Y17" s="42">
        <f>P17*0.05</f>
        <v>286.319</v>
      </c>
      <c r="Z17" s="52">
        <f>T17-Y17</f>
        <v>5665.061</v>
      </c>
      <c r="AA17" s="52">
        <f>U17-Y17</f>
        <v>4977.8954</v>
      </c>
      <c r="AB17" s="43"/>
      <c r="AC17" t="s" s="51">
        <v>0</v>
      </c>
      <c r="AD17" t="s" s="51">
        <v>0</v>
      </c>
      <c r="AE17" t="s" s="51">
        <v>0</v>
      </c>
      <c r="AF17" t="s" s="44">
        <v>0</v>
      </c>
      <c r="AG17" s="54"/>
      <c r="AH17" s="52"/>
      <c r="AI17" s="41">
        <f>AH17-T17-U17</f>
        <v>-11215.5944</v>
      </c>
      <c r="AJ17" t="s" s="44">
        <v>0</v>
      </c>
      <c r="AK17" s="54"/>
      <c r="AL17" s="52"/>
      <c r="AM17" s="41">
        <f>AL17-Z17-AA17</f>
        <v>-10642.9564</v>
      </c>
      <c r="AN17" t="s" s="44">
        <v>0</v>
      </c>
      <c r="AO17" s="54"/>
      <c r="AP17" s="52"/>
      <c r="AQ17" s="41">
        <f>AP17-Y17</f>
        <v>-286.319</v>
      </c>
      <c r="AR17" s="51"/>
      <c r="AS17" s="55">
        <v>0</v>
      </c>
    </row>
    <row r="18" ht="54.85" customHeight="1">
      <c r="A18" t="s" s="2">
        <v>0</v>
      </c>
      <c r="B18" s="33">
        <v>46157</v>
      </c>
      <c r="C18" t="s" s="34">
        <v>104</v>
      </c>
      <c r="D18" t="s" s="48">
        <v>64</v>
      </c>
      <c r="E18" t="s" s="34">
        <v>105</v>
      </c>
      <c r="F18" s="36"/>
      <c r="G18" s="34"/>
      <c r="H18" t="s" s="34">
        <v>106</v>
      </c>
      <c r="I18" t="s" s="37">
        <v>76</v>
      </c>
      <c r="J18" t="s" s="38">
        <v>107</v>
      </c>
      <c r="K18" s="53">
        <v>27624</v>
      </c>
      <c r="L18" s="39">
        <v>8504.620000000001</v>
      </c>
      <c r="M18" s="39">
        <v>930</v>
      </c>
      <c r="N18" s="39"/>
      <c r="O18" s="39"/>
      <c r="P18" s="40">
        <f>K18-L18-O18+N18</f>
        <v>19119.38</v>
      </c>
      <c r="Q18" s="39"/>
      <c r="R18" s="39"/>
      <c r="S18" s="40">
        <f>L18</f>
        <v>8504.620000000001</v>
      </c>
      <c r="T18" s="39">
        <f>P18+R18-Q18+M18</f>
        <v>20049.38</v>
      </c>
      <c r="U18" s="39">
        <f>T18-V18-W18-X18</f>
        <v>17755.0544</v>
      </c>
      <c r="V18" s="41">
        <f>P18*0.03</f>
        <v>573.5814</v>
      </c>
      <c r="W18" s="41">
        <f>P18*0.04</f>
        <v>764.7752</v>
      </c>
      <c r="X18" s="41">
        <f>P18*0.05</f>
        <v>955.9690000000001</v>
      </c>
      <c r="Y18" s="42">
        <f>P18*0.05</f>
        <v>955.9690000000001</v>
      </c>
      <c r="Z18" s="39">
        <f>T18-Y18</f>
        <v>19093.411</v>
      </c>
      <c r="AA18" s="39">
        <f>U18-Y18</f>
        <v>16799.0854</v>
      </c>
      <c r="AB18" s="43"/>
      <c r="AC18" t="s" s="37">
        <v>0</v>
      </c>
      <c r="AD18" t="s" s="37">
        <v>0</v>
      </c>
      <c r="AE18" t="s" s="37">
        <v>0</v>
      </c>
      <c r="AF18" t="s" s="44">
        <v>0</v>
      </c>
      <c r="AG18" s="45"/>
      <c r="AH18" s="39"/>
      <c r="AI18" s="41">
        <f>AH18-T18-U18</f>
        <v>-37804.4344</v>
      </c>
      <c r="AJ18" t="s" s="44">
        <v>0</v>
      </c>
      <c r="AK18" s="45"/>
      <c r="AL18" s="39"/>
      <c r="AM18" s="41">
        <f>AL18-Z18-AA18</f>
        <v>-35892.4964</v>
      </c>
      <c r="AN18" t="s" s="44">
        <v>0</v>
      </c>
      <c r="AO18" s="45"/>
      <c r="AP18" s="39"/>
      <c r="AQ18" s="41">
        <f>AP18-Y18</f>
        <v>-955.9690000000001</v>
      </c>
      <c r="AR18" s="37"/>
      <c r="AS18" s="46">
        <v>0</v>
      </c>
    </row>
    <row r="19" ht="54.85" customHeight="1">
      <c r="A19" t="s" s="2">
        <v>0</v>
      </c>
      <c r="B19" s="33">
        <v>46157</v>
      </c>
      <c r="C19" t="s" s="58">
        <v>108</v>
      </c>
      <c r="D19" t="s" s="48">
        <v>64</v>
      </c>
      <c r="E19" t="s" s="49">
        <v>109</v>
      </c>
      <c r="F19" s="50"/>
      <c r="G19" s="49"/>
      <c r="H19" t="s" s="49">
        <v>110</v>
      </c>
      <c r="I19" t="s" s="51">
        <v>67</v>
      </c>
      <c r="J19" t="s" s="38">
        <v>111</v>
      </c>
      <c r="K19" s="53">
        <v>81007.7</v>
      </c>
      <c r="L19" s="52">
        <v>12626.62</v>
      </c>
      <c r="M19" s="52">
        <v>1375</v>
      </c>
      <c r="N19" s="52"/>
      <c r="O19" s="52"/>
      <c r="P19" s="40">
        <f>K19-L19-O19+N19</f>
        <v>68381.08</v>
      </c>
      <c r="Q19" s="52"/>
      <c r="R19" s="52"/>
      <c r="S19" s="40">
        <f>L19</f>
        <v>12626.62</v>
      </c>
      <c r="T19" s="52">
        <f>P19+R19-Q19+M19</f>
        <v>69756.08</v>
      </c>
      <c r="U19" s="52">
        <f>T19-V19-W19-X19</f>
        <v>61550.3504</v>
      </c>
      <c r="V19" s="41">
        <f>P19*0.03</f>
        <v>2051.4324</v>
      </c>
      <c r="W19" s="41">
        <f>P19*0.04</f>
        <v>2735.2432</v>
      </c>
      <c r="X19" s="41">
        <f>P19*0.05</f>
        <v>3419.054</v>
      </c>
      <c r="Y19" s="42">
        <f>P19*0.05</f>
        <v>3419.054</v>
      </c>
      <c r="Z19" s="52">
        <f>T19-Y19</f>
        <v>66337.026</v>
      </c>
      <c r="AA19" s="52">
        <f>U19-Y19</f>
        <v>58131.2964</v>
      </c>
      <c r="AB19" s="43"/>
      <c r="AC19" t="s" s="51">
        <v>0</v>
      </c>
      <c r="AD19" t="s" s="51">
        <v>0</v>
      </c>
      <c r="AE19" t="s" s="51">
        <v>0</v>
      </c>
      <c r="AF19" t="s" s="44">
        <v>0</v>
      </c>
      <c r="AG19" s="54"/>
      <c r="AH19" s="52"/>
      <c r="AI19" s="41">
        <f>AH19-T19-U19</f>
        <v>-131306.4304</v>
      </c>
      <c r="AJ19" t="s" s="44">
        <v>0</v>
      </c>
      <c r="AK19" s="54"/>
      <c r="AL19" s="52"/>
      <c r="AM19" s="41">
        <f>AL19-Z19-AA19</f>
        <v>-124468.3224</v>
      </c>
      <c r="AN19" t="s" s="44">
        <v>0</v>
      </c>
      <c r="AO19" s="54"/>
      <c r="AP19" s="52"/>
      <c r="AQ19" s="41">
        <f>AP19-Y19</f>
        <v>-3419.054</v>
      </c>
      <c r="AR19" s="51"/>
      <c r="AS19" s="55">
        <v>0</v>
      </c>
    </row>
    <row r="20" ht="54.85" customHeight="1">
      <c r="A20" t="s" s="2">
        <v>0</v>
      </c>
      <c r="B20" s="33"/>
      <c r="C20" s="34"/>
      <c r="D20" s="35"/>
      <c r="E20" s="34"/>
      <c r="F20" s="36"/>
      <c r="G20" s="34"/>
      <c r="H20" s="34"/>
      <c r="I20" t="s" s="37">
        <v>0</v>
      </c>
      <c r="J20" s="38"/>
      <c r="K20" s="39"/>
      <c r="L20" s="39"/>
      <c r="M20" s="39"/>
      <c r="N20" s="39"/>
      <c r="O20" s="39"/>
      <c r="P20" s="40">
        <f>K20-L20-O20+N20</f>
        <v>0</v>
      </c>
      <c r="Q20" s="39"/>
      <c r="R20" s="39"/>
      <c r="S20" s="40">
        <f>L20</f>
        <v>0</v>
      </c>
      <c r="T20" s="39">
        <f>P20+R20-Q20+M20</f>
        <v>0</v>
      </c>
      <c r="U20" s="39">
        <f>T20-V20-W20-X20</f>
        <v>0</v>
      </c>
      <c r="V20" s="41">
        <f>P20*0.03</f>
        <v>0</v>
      </c>
      <c r="W20" s="41">
        <f>P20*0.04</f>
        <v>0</v>
      </c>
      <c r="X20" s="41">
        <f>P20*0.05</f>
        <v>0</v>
      </c>
      <c r="Y20" s="42">
        <f>P20*0.05</f>
        <v>0</v>
      </c>
      <c r="Z20" s="39">
        <f>T20-Y20</f>
        <v>0</v>
      </c>
      <c r="AA20" s="39">
        <f>U20-Y20</f>
        <v>0</v>
      </c>
      <c r="AB20" s="43"/>
      <c r="AC20" t="s" s="37">
        <v>0</v>
      </c>
      <c r="AD20" t="s" s="37">
        <v>0</v>
      </c>
      <c r="AE20" t="s" s="37">
        <v>0</v>
      </c>
      <c r="AF20" t="s" s="44">
        <v>0</v>
      </c>
      <c r="AG20" s="45"/>
      <c r="AH20" s="39"/>
      <c r="AI20" s="41">
        <f>AH20-T20-U20</f>
        <v>0</v>
      </c>
      <c r="AJ20" t="s" s="44">
        <v>0</v>
      </c>
      <c r="AK20" s="45"/>
      <c r="AL20" s="39"/>
      <c r="AM20" s="41">
        <f>AL20-Z20-AA20</f>
        <v>0</v>
      </c>
      <c r="AN20" t="s" s="44">
        <v>0</v>
      </c>
      <c r="AO20" s="45"/>
      <c r="AP20" s="39"/>
      <c r="AQ20" s="41">
        <f>AP20-Y20</f>
        <v>0</v>
      </c>
      <c r="AR20" s="37"/>
      <c r="AS20" s="46">
        <v>0</v>
      </c>
    </row>
    <row r="21" ht="54.85" customHeight="1">
      <c r="A21" t="s" s="2">
        <v>0</v>
      </c>
      <c r="B21" s="33">
        <v>46212</v>
      </c>
      <c r="C21" t="s" s="34">
        <v>63</v>
      </c>
      <c r="D21" t="s" s="48">
        <v>64</v>
      </c>
      <c r="E21" t="s" s="56">
        <v>102</v>
      </c>
      <c r="F21" s="50"/>
      <c r="G21" s="49"/>
      <c r="H21" t="s" s="49">
        <v>112</v>
      </c>
      <c r="I21" t="s" s="51">
        <v>67</v>
      </c>
      <c r="J21" t="s" s="38">
        <v>68</v>
      </c>
      <c r="K21" s="52">
        <v>48596</v>
      </c>
      <c r="L21" s="52">
        <v>8938.85</v>
      </c>
      <c r="M21" s="52">
        <v>960</v>
      </c>
      <c r="N21" s="52"/>
      <c r="O21" s="52"/>
      <c r="P21" s="40">
        <f>K21-L21-O21+N21</f>
        <v>39657.15</v>
      </c>
      <c r="Q21" s="52"/>
      <c r="R21" s="52"/>
      <c r="S21" s="40">
        <f>L21</f>
        <v>8938.85</v>
      </c>
      <c r="T21" s="52">
        <f>P21+R21-Q21+M21</f>
        <v>40617.15</v>
      </c>
      <c r="U21" s="52">
        <f>T21-V21-W21-X21</f>
        <v>35858.292</v>
      </c>
      <c r="V21" s="41">
        <f>P21*0.03</f>
        <v>1189.7145</v>
      </c>
      <c r="W21" s="41">
        <f>P21*0.04</f>
        <v>1586.286</v>
      </c>
      <c r="X21" s="41">
        <f>P21*0.05</f>
        <v>1982.8575</v>
      </c>
      <c r="Y21" s="42">
        <f>P21*0.05</f>
        <v>1982.8575</v>
      </c>
      <c r="Z21" s="52">
        <f>T21-Y21</f>
        <v>38634.2925</v>
      </c>
      <c r="AA21" s="52">
        <f>U21-Y21</f>
        <v>33875.4345</v>
      </c>
      <c r="AB21" s="43"/>
      <c r="AC21" t="s" s="51">
        <v>0</v>
      </c>
      <c r="AD21" t="s" s="51">
        <v>0</v>
      </c>
      <c r="AE21" t="s" s="51">
        <v>0</v>
      </c>
      <c r="AF21" t="s" s="44">
        <v>0</v>
      </c>
      <c r="AG21" s="54"/>
      <c r="AH21" s="52"/>
      <c r="AI21" s="41">
        <f>AH21-T21-U21</f>
        <v>-76475.442</v>
      </c>
      <c r="AJ21" t="s" s="44">
        <v>0</v>
      </c>
      <c r="AK21" s="54"/>
      <c r="AL21" s="52"/>
      <c r="AM21" s="41">
        <f>AL21-Z21-AA21</f>
        <v>-72509.727</v>
      </c>
      <c r="AN21" t="s" s="44">
        <v>0</v>
      </c>
      <c r="AO21" s="54"/>
      <c r="AP21" s="52"/>
      <c r="AQ21" s="41">
        <f>AP21-Y21</f>
        <v>-1982.8575</v>
      </c>
      <c r="AR21" s="51"/>
      <c r="AS21" s="55">
        <v>0</v>
      </c>
    </row>
    <row r="22" ht="54.85" customHeight="1">
      <c r="A22" t="s" s="2">
        <v>0</v>
      </c>
      <c r="B22" s="33">
        <v>46212</v>
      </c>
      <c r="C22" t="s" s="34">
        <v>113</v>
      </c>
      <c r="D22" t="s" s="48">
        <v>64</v>
      </c>
      <c r="E22" t="s" s="56">
        <v>109</v>
      </c>
      <c r="F22" s="36"/>
      <c r="G22" s="34"/>
      <c r="H22" t="s" s="34">
        <v>114</v>
      </c>
      <c r="I22" t="s" s="37">
        <v>67</v>
      </c>
      <c r="J22" t="s" s="38">
        <v>111</v>
      </c>
      <c r="K22" s="39">
        <v>25221.3</v>
      </c>
      <c r="L22" s="39">
        <v>3963.9</v>
      </c>
      <c r="M22" s="39">
        <v>480</v>
      </c>
      <c r="N22" s="39"/>
      <c r="O22" s="39"/>
      <c r="P22" s="40">
        <f>K22-L22-O22+N22</f>
        <v>21257.4</v>
      </c>
      <c r="Q22" s="39"/>
      <c r="R22" s="39"/>
      <c r="S22" s="40">
        <f>L22</f>
        <v>3963.9</v>
      </c>
      <c r="T22" s="39">
        <f>P22+R22-Q22+M22</f>
        <v>21737.4</v>
      </c>
      <c r="U22" s="39">
        <f>T22-V22-W22-X22</f>
        <v>19186.512</v>
      </c>
      <c r="V22" s="41">
        <f>P22*0.03</f>
        <v>637.722</v>
      </c>
      <c r="W22" s="41">
        <f>P22*0.04</f>
        <v>850.296</v>
      </c>
      <c r="X22" s="41">
        <f>P22*0.05</f>
        <v>1062.87</v>
      </c>
      <c r="Y22" s="42">
        <f>P22*0.05</f>
        <v>1062.87</v>
      </c>
      <c r="Z22" s="39">
        <f>T22-Y22</f>
        <v>20674.53</v>
      </c>
      <c r="AA22" s="39">
        <f>U22-Y22</f>
        <v>18123.642</v>
      </c>
      <c r="AB22" s="43"/>
      <c r="AC22" t="s" s="37">
        <v>0</v>
      </c>
      <c r="AD22" t="s" s="37">
        <v>0</v>
      </c>
      <c r="AE22" t="s" s="37">
        <v>0</v>
      </c>
      <c r="AF22" t="s" s="44">
        <v>0</v>
      </c>
      <c r="AG22" s="45"/>
      <c r="AH22" s="39"/>
      <c r="AI22" s="41">
        <f>AH22-T22-U22</f>
        <v>-40923.912</v>
      </c>
      <c r="AJ22" t="s" s="44">
        <v>0</v>
      </c>
      <c r="AK22" s="45"/>
      <c r="AL22" s="39"/>
      <c r="AM22" s="41">
        <f>AL22-Z22-AA22</f>
        <v>-38798.172</v>
      </c>
      <c r="AN22" t="s" s="44">
        <v>0</v>
      </c>
      <c r="AO22" s="45"/>
      <c r="AP22" s="39"/>
      <c r="AQ22" s="41">
        <f>AP22-Y22</f>
        <v>-1062.87</v>
      </c>
      <c r="AR22" s="37"/>
      <c r="AS22" s="46">
        <v>0</v>
      </c>
    </row>
    <row r="23" ht="54.85" customHeight="1">
      <c r="A23" t="s" s="2">
        <v>0</v>
      </c>
      <c r="B23" s="33"/>
      <c r="C23" s="34"/>
      <c r="D23" s="35"/>
      <c r="E23" s="49"/>
      <c r="F23" s="50"/>
      <c r="G23" s="49"/>
      <c r="H23" s="49"/>
      <c r="I23" t="s" s="51">
        <v>0</v>
      </c>
      <c r="J23" s="38"/>
      <c r="K23" s="52"/>
      <c r="L23" s="52"/>
      <c r="M23" s="52"/>
      <c r="N23" s="52"/>
      <c r="O23" s="52"/>
      <c r="P23" s="40">
        <f>K23-L23-O23+N23</f>
        <v>0</v>
      </c>
      <c r="Q23" s="52"/>
      <c r="R23" s="52"/>
      <c r="S23" s="40">
        <f>L23</f>
        <v>0</v>
      </c>
      <c r="T23" s="52">
        <f>P23+R23-Q23+M23</f>
        <v>0</v>
      </c>
      <c r="U23" s="52">
        <f>T23-V23-W23-X23</f>
        <v>0</v>
      </c>
      <c r="V23" s="41">
        <f>P23*0.03</f>
        <v>0</v>
      </c>
      <c r="W23" s="41">
        <f>P23*0.04</f>
        <v>0</v>
      </c>
      <c r="X23" s="41">
        <f>P23*0.05</f>
        <v>0</v>
      </c>
      <c r="Y23" s="42">
        <f>P23*0.05</f>
        <v>0</v>
      </c>
      <c r="Z23" s="52">
        <f>T23-Y23</f>
        <v>0</v>
      </c>
      <c r="AA23" s="52">
        <f>U23-Y23</f>
        <v>0</v>
      </c>
      <c r="AB23" s="43"/>
      <c r="AC23" t="s" s="51">
        <v>0</v>
      </c>
      <c r="AD23" t="s" s="51">
        <v>0</v>
      </c>
      <c r="AE23" t="s" s="51">
        <v>0</v>
      </c>
      <c r="AF23" t="s" s="44">
        <v>0</v>
      </c>
      <c r="AG23" s="54"/>
      <c r="AH23" s="52"/>
      <c r="AI23" s="41">
        <f>AH23-T23-U23</f>
        <v>0</v>
      </c>
      <c r="AJ23" t="s" s="44">
        <v>0</v>
      </c>
      <c r="AK23" s="54"/>
      <c r="AL23" s="52"/>
      <c r="AM23" s="41">
        <f>AL23-Z23-AA23</f>
        <v>0</v>
      </c>
      <c r="AN23" t="s" s="44">
        <v>0</v>
      </c>
      <c r="AO23" s="54"/>
      <c r="AP23" s="52"/>
      <c r="AQ23" s="41">
        <f>AP23-Y23</f>
        <v>0</v>
      </c>
      <c r="AR23" s="51"/>
      <c r="AS23" s="55">
        <v>0</v>
      </c>
    </row>
    <row r="24" ht="54.85" customHeight="1">
      <c r="A24" t="s" s="2">
        <v>0</v>
      </c>
      <c r="B24" s="33"/>
      <c r="C24" s="34"/>
      <c r="D24" s="35"/>
      <c r="E24" s="34"/>
      <c r="F24" s="36"/>
      <c r="G24" s="34"/>
      <c r="H24" s="34"/>
      <c r="I24" t="s" s="37">
        <v>0</v>
      </c>
      <c r="J24" s="38"/>
      <c r="K24" s="39"/>
      <c r="L24" s="39"/>
      <c r="M24" s="39"/>
      <c r="N24" s="39"/>
      <c r="O24" s="39"/>
      <c r="P24" s="40">
        <f>K24-L24-O24+N24</f>
        <v>0</v>
      </c>
      <c r="Q24" s="39"/>
      <c r="R24" s="39"/>
      <c r="S24" s="40">
        <f>L24</f>
        <v>0</v>
      </c>
      <c r="T24" s="39">
        <f>P24+R24-Q24+M24</f>
        <v>0</v>
      </c>
      <c r="U24" s="39">
        <f>T24-V24-W24-X24</f>
        <v>0</v>
      </c>
      <c r="V24" s="41">
        <f>P24*0.03</f>
        <v>0</v>
      </c>
      <c r="W24" s="41">
        <f>P24*0.04</f>
        <v>0</v>
      </c>
      <c r="X24" s="41">
        <f>P24*0.05</f>
        <v>0</v>
      </c>
      <c r="Y24" s="42">
        <f>P24*0.05</f>
        <v>0</v>
      </c>
      <c r="Z24" s="39">
        <f>T24-Y24</f>
        <v>0</v>
      </c>
      <c r="AA24" s="39">
        <f>U24-Y24</f>
        <v>0</v>
      </c>
      <c r="AB24" s="43"/>
      <c r="AC24" t="s" s="37">
        <v>0</v>
      </c>
      <c r="AD24" t="s" s="37">
        <v>0</v>
      </c>
      <c r="AE24" t="s" s="37">
        <v>0</v>
      </c>
      <c r="AF24" t="s" s="44">
        <v>0</v>
      </c>
      <c r="AG24" s="45"/>
      <c r="AH24" s="39"/>
      <c r="AI24" s="41">
        <f>AH24-T24-U24</f>
        <v>0</v>
      </c>
      <c r="AJ24" t="s" s="44">
        <v>0</v>
      </c>
      <c r="AK24" s="45"/>
      <c r="AL24" s="39"/>
      <c r="AM24" s="41">
        <f>AL24-Z24-AA24</f>
        <v>0</v>
      </c>
      <c r="AN24" t="s" s="44">
        <v>0</v>
      </c>
      <c r="AO24" s="45"/>
      <c r="AP24" s="39"/>
      <c r="AQ24" s="41">
        <f>AP24-Y24</f>
        <v>0</v>
      </c>
      <c r="AR24" s="37"/>
      <c r="AS24" s="46">
        <v>0</v>
      </c>
    </row>
    <row r="25" ht="54.85" customHeight="1">
      <c r="A25" t="s" s="2">
        <v>0</v>
      </c>
      <c r="B25" s="33"/>
      <c r="C25" s="34"/>
      <c r="D25" s="35"/>
      <c r="E25" s="49"/>
      <c r="F25" s="50"/>
      <c r="G25" s="49"/>
      <c r="H25" s="49"/>
      <c r="I25" t="s" s="51">
        <v>0</v>
      </c>
      <c r="J25" s="38"/>
      <c r="K25" s="52"/>
      <c r="L25" s="52"/>
      <c r="M25" s="52"/>
      <c r="N25" s="52"/>
      <c r="O25" s="52"/>
      <c r="P25" s="40">
        <f>K25-L25-O25+N25</f>
        <v>0</v>
      </c>
      <c r="Q25" s="52"/>
      <c r="R25" s="52"/>
      <c r="S25" s="40">
        <f>L25</f>
        <v>0</v>
      </c>
      <c r="T25" s="52">
        <f>P25+R25-Q25+M25</f>
        <v>0</v>
      </c>
      <c r="U25" s="52">
        <f>T25-V25-W25-X25</f>
        <v>0</v>
      </c>
      <c r="V25" s="41">
        <f>P25*0.03</f>
        <v>0</v>
      </c>
      <c r="W25" s="41">
        <f>P25*0.04</f>
        <v>0</v>
      </c>
      <c r="X25" s="41">
        <f>P25*0.05</f>
        <v>0</v>
      </c>
      <c r="Y25" s="42">
        <f>P25*0.05</f>
        <v>0</v>
      </c>
      <c r="Z25" s="52">
        <f>T25-Y25</f>
        <v>0</v>
      </c>
      <c r="AA25" s="52">
        <f>U25-Y25</f>
        <v>0</v>
      </c>
      <c r="AB25" s="43"/>
      <c r="AC25" t="s" s="51">
        <v>0</v>
      </c>
      <c r="AD25" t="s" s="51">
        <v>0</v>
      </c>
      <c r="AE25" t="s" s="51">
        <v>0</v>
      </c>
      <c r="AF25" t="s" s="44">
        <v>0</v>
      </c>
      <c r="AG25" s="54"/>
      <c r="AH25" s="52"/>
      <c r="AI25" s="41">
        <f>AH25-T25-U25</f>
        <v>0</v>
      </c>
      <c r="AJ25" t="s" s="44">
        <v>0</v>
      </c>
      <c r="AK25" s="54"/>
      <c r="AL25" s="52"/>
      <c r="AM25" s="41">
        <f>AL25-Z25-AA25</f>
        <v>0</v>
      </c>
      <c r="AN25" t="s" s="44">
        <v>0</v>
      </c>
      <c r="AO25" s="54"/>
      <c r="AP25" s="52"/>
      <c r="AQ25" s="41">
        <f>AP25-Y25</f>
        <v>0</v>
      </c>
      <c r="AR25" s="51"/>
      <c r="AS25" s="55">
        <v>0</v>
      </c>
    </row>
    <row r="26" ht="54.85" customHeight="1">
      <c r="A26" t="s" s="2">
        <v>0</v>
      </c>
      <c r="B26" s="33"/>
      <c r="C26" s="34"/>
      <c r="D26" s="35"/>
      <c r="E26" s="34"/>
      <c r="F26" s="36"/>
      <c r="G26" s="34"/>
      <c r="H26" s="34"/>
      <c r="I26" t="s" s="37">
        <v>0</v>
      </c>
      <c r="J26" s="38"/>
      <c r="K26" s="39"/>
      <c r="L26" s="39"/>
      <c r="M26" s="39"/>
      <c r="N26" s="39"/>
      <c r="O26" s="39"/>
      <c r="P26" s="40">
        <f>K26-L26-O26+N26</f>
        <v>0</v>
      </c>
      <c r="Q26" s="39"/>
      <c r="R26" s="39"/>
      <c r="S26" s="40">
        <f>L26</f>
        <v>0</v>
      </c>
      <c r="T26" s="39">
        <f>P26+R26-Q26+M26</f>
        <v>0</v>
      </c>
      <c r="U26" s="39">
        <f>T26-V26-W26-X26</f>
        <v>0</v>
      </c>
      <c r="V26" s="41">
        <f>P26*0.03</f>
        <v>0</v>
      </c>
      <c r="W26" s="41">
        <f>P26*0.04</f>
        <v>0</v>
      </c>
      <c r="X26" s="41">
        <f>P26*0.05</f>
        <v>0</v>
      </c>
      <c r="Y26" s="42">
        <f>P26*0.05</f>
        <v>0</v>
      </c>
      <c r="Z26" s="39">
        <f>T26-Y26</f>
        <v>0</v>
      </c>
      <c r="AA26" s="39">
        <f>U26-Y26</f>
        <v>0</v>
      </c>
      <c r="AB26" s="43"/>
      <c r="AC26" t="s" s="37">
        <v>0</v>
      </c>
      <c r="AD26" t="s" s="37">
        <v>0</v>
      </c>
      <c r="AE26" t="s" s="37">
        <v>0</v>
      </c>
      <c r="AF26" t="s" s="44">
        <v>0</v>
      </c>
      <c r="AG26" s="45"/>
      <c r="AH26" s="39"/>
      <c r="AI26" s="41">
        <f>AH26-T26-U26</f>
        <v>0</v>
      </c>
      <c r="AJ26" t="s" s="44">
        <v>0</v>
      </c>
      <c r="AK26" s="45"/>
      <c r="AL26" s="39"/>
      <c r="AM26" s="41">
        <f>AL26-Z26-AA26</f>
        <v>0</v>
      </c>
      <c r="AN26" t="s" s="44">
        <v>0</v>
      </c>
      <c r="AO26" s="45"/>
      <c r="AP26" s="39"/>
      <c r="AQ26" s="41">
        <f>AP26-Y26</f>
        <v>0</v>
      </c>
      <c r="AR26" s="37"/>
      <c r="AS26" s="46">
        <v>0</v>
      </c>
    </row>
    <row r="27" ht="54.85" customHeight="1">
      <c r="A27" t="s" s="2">
        <v>0</v>
      </c>
      <c r="B27" s="33"/>
      <c r="C27" s="34"/>
      <c r="D27" s="35"/>
      <c r="E27" s="49"/>
      <c r="F27" s="50"/>
      <c r="G27" s="49"/>
      <c r="H27" s="49"/>
      <c r="I27" t="s" s="51">
        <v>0</v>
      </c>
      <c r="J27" s="38"/>
      <c r="K27" s="52"/>
      <c r="L27" s="52"/>
      <c r="M27" s="52"/>
      <c r="N27" s="52"/>
      <c r="O27" s="52"/>
      <c r="P27" s="40">
        <f>K27-L27-O27+N27</f>
        <v>0</v>
      </c>
      <c r="Q27" s="52"/>
      <c r="R27" s="52"/>
      <c r="S27" s="40">
        <f>L27</f>
        <v>0</v>
      </c>
      <c r="T27" s="52">
        <f>P27+R27-Q27+M27</f>
        <v>0</v>
      </c>
      <c r="U27" s="52">
        <f>T27-V27-W27-X27</f>
        <v>0</v>
      </c>
      <c r="V27" s="41">
        <f>P27*0.03</f>
        <v>0</v>
      </c>
      <c r="W27" s="41">
        <f>P27*0.04</f>
        <v>0</v>
      </c>
      <c r="X27" s="41">
        <f>P27*0.05</f>
        <v>0</v>
      </c>
      <c r="Y27" s="42">
        <f>P27*0.05</f>
        <v>0</v>
      </c>
      <c r="Z27" s="52">
        <f>T27-Y27</f>
        <v>0</v>
      </c>
      <c r="AA27" s="52">
        <f>U27-Y27</f>
        <v>0</v>
      </c>
      <c r="AB27" s="43"/>
      <c r="AC27" t="s" s="51">
        <v>0</v>
      </c>
      <c r="AD27" t="s" s="51">
        <v>0</v>
      </c>
      <c r="AE27" t="s" s="51">
        <v>0</v>
      </c>
      <c r="AF27" t="s" s="44">
        <v>0</v>
      </c>
      <c r="AG27" s="54"/>
      <c r="AH27" s="52"/>
      <c r="AI27" s="41">
        <f>AH27-T27-U27</f>
        <v>0</v>
      </c>
      <c r="AJ27" t="s" s="44">
        <v>0</v>
      </c>
      <c r="AK27" s="54"/>
      <c r="AL27" s="52"/>
      <c r="AM27" s="41">
        <f>AL27-Z27-AA27</f>
        <v>0</v>
      </c>
      <c r="AN27" t="s" s="44">
        <v>0</v>
      </c>
      <c r="AO27" s="54"/>
      <c r="AP27" s="52"/>
      <c r="AQ27" s="41">
        <f>AP27-Y27</f>
        <v>0</v>
      </c>
      <c r="AR27" s="51"/>
      <c r="AS27" s="55">
        <v>0</v>
      </c>
    </row>
    <row r="28" ht="54.85" customHeight="1">
      <c r="A28" t="s" s="2">
        <v>0</v>
      </c>
      <c r="B28" s="33"/>
      <c r="C28" s="34"/>
      <c r="D28" s="35"/>
      <c r="E28" s="34"/>
      <c r="F28" s="36"/>
      <c r="G28" s="34"/>
      <c r="H28" s="34"/>
      <c r="I28" t="s" s="37">
        <v>0</v>
      </c>
      <c r="J28" s="38"/>
      <c r="K28" s="39"/>
      <c r="L28" s="39"/>
      <c r="M28" s="39"/>
      <c r="N28" s="39"/>
      <c r="O28" s="39"/>
      <c r="P28" s="40">
        <f>K28-L28-O28+N28</f>
        <v>0</v>
      </c>
      <c r="Q28" s="39"/>
      <c r="R28" s="39"/>
      <c r="S28" s="40">
        <f>L28</f>
        <v>0</v>
      </c>
      <c r="T28" s="39">
        <f>P28+R28-Q28+M28</f>
        <v>0</v>
      </c>
      <c r="U28" s="39">
        <f>T28-V28-W28-X28</f>
        <v>0</v>
      </c>
      <c r="V28" s="41">
        <f>P28*0.03</f>
        <v>0</v>
      </c>
      <c r="W28" s="41">
        <f>P28*0.04</f>
        <v>0</v>
      </c>
      <c r="X28" s="41">
        <f>P28*0.05</f>
        <v>0</v>
      </c>
      <c r="Y28" s="42">
        <f>P28*0.05</f>
        <v>0</v>
      </c>
      <c r="Z28" s="39">
        <f>T28-Y28</f>
        <v>0</v>
      </c>
      <c r="AA28" s="39">
        <f>U28-Y28</f>
        <v>0</v>
      </c>
      <c r="AB28" s="43"/>
      <c r="AC28" t="s" s="37">
        <v>0</v>
      </c>
      <c r="AD28" t="s" s="37">
        <v>0</v>
      </c>
      <c r="AE28" t="s" s="37">
        <v>0</v>
      </c>
      <c r="AF28" t="s" s="44">
        <v>0</v>
      </c>
      <c r="AG28" s="45"/>
      <c r="AH28" s="39"/>
      <c r="AI28" s="41">
        <f>AH28-T28-U28</f>
        <v>0</v>
      </c>
      <c r="AJ28" t="s" s="44">
        <v>0</v>
      </c>
      <c r="AK28" s="45"/>
      <c r="AL28" s="39"/>
      <c r="AM28" s="41">
        <f>AL28-Z28-AA28</f>
        <v>0</v>
      </c>
      <c r="AN28" t="s" s="44">
        <v>0</v>
      </c>
      <c r="AO28" s="45"/>
      <c r="AP28" s="39"/>
      <c r="AQ28" s="41">
        <f>AP28-Y28</f>
        <v>0</v>
      </c>
      <c r="AR28" s="37"/>
      <c r="AS28" s="46">
        <v>0</v>
      </c>
    </row>
    <row r="29" ht="54.85" customHeight="1">
      <c r="A29" t="s" s="2">
        <v>0</v>
      </c>
      <c r="B29" s="33"/>
      <c r="C29" s="34"/>
      <c r="D29" s="35"/>
      <c r="E29" s="49"/>
      <c r="F29" s="50"/>
      <c r="G29" s="49"/>
      <c r="H29" s="49"/>
      <c r="I29" t="s" s="51">
        <v>0</v>
      </c>
      <c r="J29" s="38"/>
      <c r="K29" s="52"/>
      <c r="L29" s="52"/>
      <c r="M29" s="52"/>
      <c r="N29" s="52"/>
      <c r="O29" s="52"/>
      <c r="P29" s="40">
        <f>K29-L29-O29+N29</f>
        <v>0</v>
      </c>
      <c r="Q29" s="52"/>
      <c r="R29" s="52"/>
      <c r="S29" s="40">
        <f>L29</f>
        <v>0</v>
      </c>
      <c r="T29" s="52">
        <f>P29+R29-Q29+M29</f>
        <v>0</v>
      </c>
      <c r="U29" s="52">
        <f>T29-V29-W29-X29</f>
        <v>0</v>
      </c>
      <c r="V29" s="41">
        <f>P29*0.03</f>
        <v>0</v>
      </c>
      <c r="W29" s="41">
        <f>P29*0.04</f>
        <v>0</v>
      </c>
      <c r="X29" s="41">
        <f>P29*0.05</f>
        <v>0</v>
      </c>
      <c r="Y29" s="42">
        <f>P29*0.05</f>
        <v>0</v>
      </c>
      <c r="Z29" s="52">
        <f>T29-Y29</f>
        <v>0</v>
      </c>
      <c r="AA29" s="52">
        <f>U29-Y29</f>
        <v>0</v>
      </c>
      <c r="AB29" s="43"/>
      <c r="AC29" t="s" s="51">
        <v>0</v>
      </c>
      <c r="AD29" t="s" s="51">
        <v>0</v>
      </c>
      <c r="AE29" t="s" s="51">
        <v>0</v>
      </c>
      <c r="AF29" t="s" s="44">
        <v>0</v>
      </c>
      <c r="AG29" s="54"/>
      <c r="AH29" s="52"/>
      <c r="AI29" s="41">
        <f>AH29-T29-U29</f>
        <v>0</v>
      </c>
      <c r="AJ29" t="s" s="44">
        <v>0</v>
      </c>
      <c r="AK29" s="54"/>
      <c r="AL29" s="52"/>
      <c r="AM29" s="41">
        <f>AL29-Z29-AA29</f>
        <v>0</v>
      </c>
      <c r="AN29" t="s" s="44">
        <v>0</v>
      </c>
      <c r="AO29" s="54"/>
      <c r="AP29" s="52"/>
      <c r="AQ29" s="41">
        <f>AP29-Y29</f>
        <v>0</v>
      </c>
      <c r="AR29" s="51"/>
      <c r="AS29" s="55">
        <v>0</v>
      </c>
    </row>
    <row r="30" ht="54.85" customHeight="1">
      <c r="A30" t="s" s="2">
        <v>0</v>
      </c>
      <c r="B30" s="33"/>
      <c r="C30" s="34"/>
      <c r="D30" s="35"/>
      <c r="E30" s="34"/>
      <c r="F30" s="36"/>
      <c r="G30" s="34"/>
      <c r="H30" s="34"/>
      <c r="I30" t="s" s="37">
        <v>0</v>
      </c>
      <c r="J30" s="38"/>
      <c r="K30" s="39"/>
      <c r="L30" s="39"/>
      <c r="M30" s="39"/>
      <c r="N30" s="39"/>
      <c r="O30" s="39"/>
      <c r="P30" s="40">
        <f>K30-L30-O30+N30</f>
        <v>0</v>
      </c>
      <c r="Q30" s="39"/>
      <c r="R30" s="39"/>
      <c r="S30" s="40">
        <f>L30</f>
        <v>0</v>
      </c>
      <c r="T30" s="39">
        <f>P30+R30-Q30+M30</f>
        <v>0</v>
      </c>
      <c r="U30" s="39">
        <f>T30-V30-W30-X30</f>
        <v>0</v>
      </c>
      <c r="V30" s="41">
        <f>P30*0.03</f>
        <v>0</v>
      </c>
      <c r="W30" s="41">
        <f>P30*0.04</f>
        <v>0</v>
      </c>
      <c r="X30" s="41">
        <f>P30*0.05</f>
        <v>0</v>
      </c>
      <c r="Y30" s="42">
        <f>P30*0.05</f>
        <v>0</v>
      </c>
      <c r="Z30" s="39">
        <f>T30-Y30</f>
        <v>0</v>
      </c>
      <c r="AA30" s="39">
        <f>U30-Y30</f>
        <v>0</v>
      </c>
      <c r="AB30" s="43"/>
      <c r="AC30" t="s" s="37">
        <v>0</v>
      </c>
      <c r="AD30" t="s" s="37">
        <v>0</v>
      </c>
      <c r="AE30" t="s" s="37">
        <v>0</v>
      </c>
      <c r="AF30" t="s" s="44">
        <v>0</v>
      </c>
      <c r="AG30" s="45"/>
      <c r="AH30" s="39"/>
      <c r="AI30" s="41">
        <f>AH30-T30-U30</f>
        <v>0</v>
      </c>
      <c r="AJ30" t="s" s="44">
        <v>0</v>
      </c>
      <c r="AK30" s="45"/>
      <c r="AL30" s="39"/>
      <c r="AM30" s="41">
        <f>AL30-Z30-AA30</f>
        <v>0</v>
      </c>
      <c r="AN30" t="s" s="44">
        <v>0</v>
      </c>
      <c r="AO30" s="45"/>
      <c r="AP30" s="39"/>
      <c r="AQ30" s="41">
        <f>AP30-Y30</f>
        <v>0</v>
      </c>
      <c r="AR30" s="37"/>
      <c r="AS30" s="46">
        <v>0</v>
      </c>
    </row>
    <row r="31" ht="54.85" customHeight="1">
      <c r="A31" t="s" s="2">
        <v>0</v>
      </c>
      <c r="B31" s="33"/>
      <c r="C31" s="34"/>
      <c r="D31" s="35"/>
      <c r="E31" s="49"/>
      <c r="F31" s="50"/>
      <c r="G31" s="49"/>
      <c r="H31" s="49"/>
      <c r="I31" t="s" s="51">
        <v>0</v>
      </c>
      <c r="J31" s="38"/>
      <c r="K31" s="52"/>
      <c r="L31" s="52"/>
      <c r="M31" s="52"/>
      <c r="N31" s="52"/>
      <c r="O31" s="52"/>
      <c r="P31" s="40">
        <f>K31-L31-O31+N31</f>
        <v>0</v>
      </c>
      <c r="Q31" s="52"/>
      <c r="R31" s="52"/>
      <c r="S31" s="40">
        <f>L31</f>
        <v>0</v>
      </c>
      <c r="T31" s="52">
        <f>P31+R31-Q31+M31</f>
        <v>0</v>
      </c>
      <c r="U31" s="52">
        <f>T31-V31-W31-X31</f>
        <v>0</v>
      </c>
      <c r="V31" s="41">
        <f>P31*0.03</f>
        <v>0</v>
      </c>
      <c r="W31" s="41">
        <f>P31*0.04</f>
        <v>0</v>
      </c>
      <c r="X31" s="41">
        <f>P31*0.05</f>
        <v>0</v>
      </c>
      <c r="Y31" s="42">
        <f>P31*0.05</f>
        <v>0</v>
      </c>
      <c r="Z31" s="52">
        <f>T31-Y31</f>
        <v>0</v>
      </c>
      <c r="AA31" s="52">
        <f>U31-Y31</f>
        <v>0</v>
      </c>
      <c r="AB31" s="43"/>
      <c r="AC31" t="s" s="51">
        <v>0</v>
      </c>
      <c r="AD31" t="s" s="51">
        <v>0</v>
      </c>
      <c r="AE31" t="s" s="51">
        <v>0</v>
      </c>
      <c r="AF31" t="s" s="44">
        <v>0</v>
      </c>
      <c r="AG31" s="54"/>
      <c r="AH31" s="52"/>
      <c r="AI31" s="41">
        <f>AH31-T31-U31</f>
        <v>0</v>
      </c>
      <c r="AJ31" t="s" s="44">
        <v>0</v>
      </c>
      <c r="AK31" s="54"/>
      <c r="AL31" s="52"/>
      <c r="AM31" s="41">
        <f>AL31-Z31-AA31</f>
        <v>0</v>
      </c>
      <c r="AN31" t="s" s="44">
        <v>0</v>
      </c>
      <c r="AO31" s="54"/>
      <c r="AP31" s="52"/>
      <c r="AQ31" s="41">
        <f>AP31-Y31</f>
        <v>0</v>
      </c>
      <c r="AR31" s="51"/>
      <c r="AS31" s="55">
        <v>0</v>
      </c>
    </row>
    <row r="32" ht="54.85" customHeight="1">
      <c r="A32" t="s" s="2">
        <v>0</v>
      </c>
      <c r="B32" s="33"/>
      <c r="C32" s="34"/>
      <c r="D32" s="35"/>
      <c r="E32" s="34"/>
      <c r="F32" s="36"/>
      <c r="G32" s="34"/>
      <c r="H32" s="34"/>
      <c r="I32" t="s" s="37">
        <v>0</v>
      </c>
      <c r="J32" s="38"/>
      <c r="K32" s="39"/>
      <c r="L32" s="39"/>
      <c r="M32" s="39"/>
      <c r="N32" s="39"/>
      <c r="O32" s="39"/>
      <c r="P32" s="40">
        <f>K32-L32-O32+N32</f>
        <v>0</v>
      </c>
      <c r="Q32" s="39"/>
      <c r="R32" s="39"/>
      <c r="S32" s="40">
        <f>L32</f>
        <v>0</v>
      </c>
      <c r="T32" s="39">
        <f>P32+R32-Q32+M32</f>
        <v>0</v>
      </c>
      <c r="U32" s="39">
        <f>T32-V32-W32-X32</f>
        <v>0</v>
      </c>
      <c r="V32" s="41">
        <f>P32*0.03</f>
        <v>0</v>
      </c>
      <c r="W32" s="41">
        <f>P32*0.04</f>
        <v>0</v>
      </c>
      <c r="X32" s="41">
        <f>P32*0.05</f>
        <v>0</v>
      </c>
      <c r="Y32" s="42">
        <f>P32*0.05</f>
        <v>0</v>
      </c>
      <c r="Z32" s="39">
        <f>T32-Y32</f>
        <v>0</v>
      </c>
      <c r="AA32" s="39">
        <f>U32-Y32</f>
        <v>0</v>
      </c>
      <c r="AB32" s="43"/>
      <c r="AC32" t="s" s="37">
        <v>0</v>
      </c>
      <c r="AD32" t="s" s="37">
        <v>0</v>
      </c>
      <c r="AE32" t="s" s="37">
        <v>0</v>
      </c>
      <c r="AF32" t="s" s="44">
        <v>0</v>
      </c>
      <c r="AG32" s="45"/>
      <c r="AH32" s="39"/>
      <c r="AI32" s="41">
        <f>AH32-T32-U32</f>
        <v>0</v>
      </c>
      <c r="AJ32" t="s" s="44">
        <v>0</v>
      </c>
      <c r="AK32" s="45"/>
      <c r="AL32" s="39"/>
      <c r="AM32" s="41">
        <f>AL32-Z32-AA32</f>
        <v>0</v>
      </c>
      <c r="AN32" t="s" s="44">
        <v>0</v>
      </c>
      <c r="AO32" s="45"/>
      <c r="AP32" s="39"/>
      <c r="AQ32" s="41">
        <f>AP32-Y32</f>
        <v>0</v>
      </c>
      <c r="AR32" s="37"/>
      <c r="AS32" s="46">
        <v>0</v>
      </c>
    </row>
    <row r="33" ht="54.85" customHeight="1">
      <c r="A33" t="s" s="2">
        <v>0</v>
      </c>
      <c r="B33" s="33"/>
      <c r="C33" s="34"/>
      <c r="D33" s="35"/>
      <c r="E33" s="49"/>
      <c r="F33" s="50"/>
      <c r="G33" s="49"/>
      <c r="H33" s="49"/>
      <c r="I33" t="s" s="51">
        <v>0</v>
      </c>
      <c r="J33" s="38"/>
      <c r="K33" s="52"/>
      <c r="L33" s="52"/>
      <c r="M33" s="52"/>
      <c r="N33" s="52"/>
      <c r="O33" s="52"/>
      <c r="P33" s="40">
        <f>K33-L33-O33+N33</f>
        <v>0</v>
      </c>
      <c r="Q33" s="52"/>
      <c r="R33" s="52"/>
      <c r="S33" s="40">
        <f>L33</f>
        <v>0</v>
      </c>
      <c r="T33" s="52">
        <f>P33+R33-Q33+M33</f>
        <v>0</v>
      </c>
      <c r="U33" s="52">
        <f>T33-V33-W33-X33</f>
        <v>0</v>
      </c>
      <c r="V33" s="41">
        <f>P33*0.03</f>
        <v>0</v>
      </c>
      <c r="W33" s="41">
        <f>P33*0.04</f>
        <v>0</v>
      </c>
      <c r="X33" s="41">
        <f>P33*0.05</f>
        <v>0</v>
      </c>
      <c r="Y33" s="42">
        <f>P33*0.05</f>
        <v>0</v>
      </c>
      <c r="Z33" s="52">
        <f>T33-Y33</f>
        <v>0</v>
      </c>
      <c r="AA33" s="52">
        <f>U33-Y33</f>
        <v>0</v>
      </c>
      <c r="AB33" s="43"/>
      <c r="AC33" t="s" s="51">
        <v>0</v>
      </c>
      <c r="AD33" t="s" s="51">
        <v>0</v>
      </c>
      <c r="AE33" t="s" s="51">
        <v>0</v>
      </c>
      <c r="AF33" t="s" s="44">
        <v>0</v>
      </c>
      <c r="AG33" s="54"/>
      <c r="AH33" s="52"/>
      <c r="AI33" s="41">
        <f>AH33-T33-U33</f>
        <v>0</v>
      </c>
      <c r="AJ33" t="s" s="44">
        <v>0</v>
      </c>
      <c r="AK33" s="54"/>
      <c r="AL33" s="52"/>
      <c r="AM33" s="41">
        <f>AL33-Z33-AA33</f>
        <v>0</v>
      </c>
      <c r="AN33" t="s" s="44">
        <v>0</v>
      </c>
      <c r="AO33" s="54"/>
      <c r="AP33" s="52"/>
      <c r="AQ33" s="41">
        <f>AP33-Y33</f>
        <v>0</v>
      </c>
      <c r="AR33" s="51"/>
      <c r="AS33" s="55">
        <v>0</v>
      </c>
    </row>
    <row r="34" ht="54.85" customHeight="1">
      <c r="A34" t="s" s="2">
        <v>0</v>
      </c>
      <c r="B34" s="33"/>
      <c r="C34" s="34"/>
      <c r="D34" s="35"/>
      <c r="E34" s="34"/>
      <c r="F34" s="36"/>
      <c r="G34" s="34"/>
      <c r="H34" s="34"/>
      <c r="I34" t="s" s="37">
        <v>0</v>
      </c>
      <c r="J34" s="38"/>
      <c r="K34" s="39"/>
      <c r="L34" s="39"/>
      <c r="M34" s="39"/>
      <c r="N34" s="39"/>
      <c r="O34" s="39"/>
      <c r="P34" s="40">
        <f>K34-L34-O34+N34</f>
        <v>0</v>
      </c>
      <c r="Q34" s="39"/>
      <c r="R34" s="39"/>
      <c r="S34" s="40">
        <f>L34</f>
        <v>0</v>
      </c>
      <c r="T34" s="39">
        <f>P34+R34-Q34+M34</f>
        <v>0</v>
      </c>
      <c r="U34" s="39">
        <f>T34-V34-W34-X34</f>
        <v>0</v>
      </c>
      <c r="V34" s="41">
        <f>P34*0.03</f>
        <v>0</v>
      </c>
      <c r="W34" s="41">
        <f>P34*0.04</f>
        <v>0</v>
      </c>
      <c r="X34" s="41">
        <f>P34*0.05</f>
        <v>0</v>
      </c>
      <c r="Y34" s="42">
        <f>P34*0.05</f>
        <v>0</v>
      </c>
      <c r="Z34" s="39">
        <f>T34-Y34</f>
        <v>0</v>
      </c>
      <c r="AA34" s="39">
        <f>U34-Y34</f>
        <v>0</v>
      </c>
      <c r="AB34" s="43"/>
      <c r="AC34" t="s" s="37">
        <v>0</v>
      </c>
      <c r="AD34" t="s" s="37">
        <v>0</v>
      </c>
      <c r="AE34" t="s" s="37">
        <v>0</v>
      </c>
      <c r="AF34" t="s" s="44">
        <v>0</v>
      </c>
      <c r="AG34" s="45"/>
      <c r="AH34" s="39"/>
      <c r="AI34" s="41">
        <f>AH34-T34-U34</f>
        <v>0</v>
      </c>
      <c r="AJ34" t="s" s="44">
        <v>0</v>
      </c>
      <c r="AK34" s="45"/>
      <c r="AL34" s="39"/>
      <c r="AM34" s="41">
        <f>AL34-Z34-AA34</f>
        <v>0</v>
      </c>
      <c r="AN34" t="s" s="44">
        <v>0</v>
      </c>
      <c r="AO34" s="45"/>
      <c r="AP34" s="39"/>
      <c r="AQ34" s="41">
        <f>AP34-Y34</f>
        <v>0</v>
      </c>
      <c r="AR34" s="37"/>
      <c r="AS34" s="46">
        <v>0</v>
      </c>
    </row>
    <row r="35" ht="54.85" customHeight="1">
      <c r="A35" t="s" s="2">
        <v>0</v>
      </c>
      <c r="B35" s="33"/>
      <c r="C35" s="34"/>
      <c r="D35" s="35"/>
      <c r="E35" s="49"/>
      <c r="F35" s="50"/>
      <c r="G35" s="49"/>
      <c r="H35" s="49"/>
      <c r="I35" t="s" s="51">
        <v>0</v>
      </c>
      <c r="J35" s="38"/>
      <c r="K35" s="52"/>
      <c r="L35" s="52"/>
      <c r="M35" s="52"/>
      <c r="N35" s="52"/>
      <c r="O35" s="52"/>
      <c r="P35" s="40">
        <f>K35-L35-O35+N35</f>
        <v>0</v>
      </c>
      <c r="Q35" s="52"/>
      <c r="R35" s="52"/>
      <c r="S35" s="40">
        <f>L35</f>
        <v>0</v>
      </c>
      <c r="T35" s="52">
        <f>P35+R35-Q35+M35</f>
        <v>0</v>
      </c>
      <c r="U35" s="52">
        <f>T35-V35-W35-X35</f>
        <v>0</v>
      </c>
      <c r="V35" s="41">
        <f>P35*0.03</f>
        <v>0</v>
      </c>
      <c r="W35" s="41">
        <f>P35*0.04</f>
        <v>0</v>
      </c>
      <c r="X35" s="41">
        <f>P35*0.05</f>
        <v>0</v>
      </c>
      <c r="Y35" s="42">
        <f>P35*0.05</f>
        <v>0</v>
      </c>
      <c r="Z35" s="52">
        <f>T35-Y35</f>
        <v>0</v>
      </c>
      <c r="AA35" s="52">
        <f>U35-Y35</f>
        <v>0</v>
      </c>
      <c r="AB35" s="43"/>
      <c r="AC35" t="s" s="51">
        <v>0</v>
      </c>
      <c r="AD35" t="s" s="51">
        <v>0</v>
      </c>
      <c r="AE35" t="s" s="51">
        <v>0</v>
      </c>
      <c r="AF35" t="s" s="44">
        <v>0</v>
      </c>
      <c r="AG35" s="54"/>
      <c r="AH35" s="52"/>
      <c r="AI35" s="41">
        <f>AH35-T35-U35</f>
        <v>0</v>
      </c>
      <c r="AJ35" t="s" s="44">
        <v>0</v>
      </c>
      <c r="AK35" s="54"/>
      <c r="AL35" s="52"/>
      <c r="AM35" s="41">
        <f>AL35-Z35-AA35</f>
        <v>0</v>
      </c>
      <c r="AN35" t="s" s="44">
        <v>0</v>
      </c>
      <c r="AO35" s="54"/>
      <c r="AP35" s="52"/>
      <c r="AQ35" s="41">
        <f>AP35-Y35</f>
        <v>0</v>
      </c>
      <c r="AR35" s="51"/>
      <c r="AS35" s="55">
        <v>0</v>
      </c>
    </row>
    <row r="36" ht="54.85" customHeight="1">
      <c r="A36" t="s" s="2">
        <v>0</v>
      </c>
      <c r="B36" s="33"/>
      <c r="C36" s="34"/>
      <c r="D36" s="35"/>
      <c r="E36" s="34"/>
      <c r="F36" s="36"/>
      <c r="G36" s="34"/>
      <c r="H36" s="34"/>
      <c r="I36" t="s" s="37">
        <v>0</v>
      </c>
      <c r="J36" s="38"/>
      <c r="K36" s="39"/>
      <c r="L36" s="39"/>
      <c r="M36" s="39"/>
      <c r="N36" s="39"/>
      <c r="O36" s="39"/>
      <c r="P36" s="40">
        <f>K36-L36-O36+N36</f>
        <v>0</v>
      </c>
      <c r="Q36" s="39"/>
      <c r="R36" s="39"/>
      <c r="S36" s="40">
        <f>L36</f>
        <v>0</v>
      </c>
      <c r="T36" s="39">
        <f>P36+R36-Q36+M36</f>
        <v>0</v>
      </c>
      <c r="U36" s="39">
        <f>T36-V36-W36-X36</f>
        <v>0</v>
      </c>
      <c r="V36" s="41">
        <f>P36*0.03</f>
        <v>0</v>
      </c>
      <c r="W36" s="41">
        <f>P36*0.04</f>
        <v>0</v>
      </c>
      <c r="X36" s="41">
        <f>P36*0.05</f>
        <v>0</v>
      </c>
      <c r="Y36" s="42">
        <f>P36*0.05</f>
        <v>0</v>
      </c>
      <c r="Z36" s="39">
        <f>T36-Y36</f>
        <v>0</v>
      </c>
      <c r="AA36" s="39">
        <f>U36-Y36</f>
        <v>0</v>
      </c>
      <c r="AB36" s="43"/>
      <c r="AC36" t="s" s="37">
        <v>0</v>
      </c>
      <c r="AD36" t="s" s="37">
        <v>0</v>
      </c>
      <c r="AE36" t="s" s="37">
        <v>0</v>
      </c>
      <c r="AF36" t="s" s="44">
        <v>0</v>
      </c>
      <c r="AG36" s="45"/>
      <c r="AH36" s="39"/>
      <c r="AI36" s="41">
        <f>AH36-T36-U36</f>
        <v>0</v>
      </c>
      <c r="AJ36" t="s" s="44">
        <v>0</v>
      </c>
      <c r="AK36" s="45"/>
      <c r="AL36" s="39"/>
      <c r="AM36" s="41">
        <f>AL36-Z36-AA36</f>
        <v>0</v>
      </c>
      <c r="AN36" t="s" s="44">
        <v>0</v>
      </c>
      <c r="AO36" s="45"/>
      <c r="AP36" s="39"/>
      <c r="AQ36" s="41">
        <f>AP36-Y36</f>
        <v>0</v>
      </c>
      <c r="AR36" s="37"/>
      <c r="AS36" s="46">
        <v>0</v>
      </c>
    </row>
    <row r="37" ht="54.85" customHeight="1">
      <c r="A37" t="s" s="2">
        <v>0</v>
      </c>
      <c r="B37" s="33"/>
      <c r="C37" s="34"/>
      <c r="D37" s="35"/>
      <c r="E37" s="49"/>
      <c r="F37" s="50"/>
      <c r="G37" s="49"/>
      <c r="H37" s="49"/>
      <c r="I37" t="s" s="51">
        <v>0</v>
      </c>
      <c r="J37" s="38"/>
      <c r="K37" s="52"/>
      <c r="L37" s="52"/>
      <c r="M37" s="52"/>
      <c r="N37" s="52"/>
      <c r="O37" s="52"/>
      <c r="P37" s="40">
        <f>K37-L37-O37+N37</f>
        <v>0</v>
      </c>
      <c r="Q37" s="52"/>
      <c r="R37" s="52"/>
      <c r="S37" s="40">
        <f>L37</f>
        <v>0</v>
      </c>
      <c r="T37" s="52">
        <f>P37+R37-Q37+M37</f>
        <v>0</v>
      </c>
      <c r="U37" s="52">
        <f>T37-V37-W37-X37</f>
        <v>0</v>
      </c>
      <c r="V37" s="41">
        <f>P37*0.03</f>
        <v>0</v>
      </c>
      <c r="W37" s="41">
        <f>P37*0.04</f>
        <v>0</v>
      </c>
      <c r="X37" s="41">
        <f>P37*0.05</f>
        <v>0</v>
      </c>
      <c r="Y37" s="42">
        <f>P37*0.05</f>
        <v>0</v>
      </c>
      <c r="Z37" s="52">
        <f>T37-Y37</f>
        <v>0</v>
      </c>
      <c r="AA37" s="52">
        <f>U37-Y37</f>
        <v>0</v>
      </c>
      <c r="AB37" s="43"/>
      <c r="AC37" t="s" s="51">
        <v>0</v>
      </c>
      <c r="AD37" t="s" s="51">
        <v>0</v>
      </c>
      <c r="AE37" t="s" s="51">
        <v>0</v>
      </c>
      <c r="AF37" t="s" s="44">
        <v>0</v>
      </c>
      <c r="AG37" s="54"/>
      <c r="AH37" s="52"/>
      <c r="AI37" s="41">
        <f>AH37-T37-U37</f>
        <v>0</v>
      </c>
      <c r="AJ37" t="s" s="44">
        <v>0</v>
      </c>
      <c r="AK37" s="54"/>
      <c r="AL37" s="52"/>
      <c r="AM37" s="41">
        <f>AL37-Z37-AA37</f>
        <v>0</v>
      </c>
      <c r="AN37" t="s" s="44">
        <v>0</v>
      </c>
      <c r="AO37" s="54"/>
      <c r="AP37" s="52"/>
      <c r="AQ37" s="41">
        <f>AP37-Y37</f>
        <v>0</v>
      </c>
      <c r="AR37" s="51"/>
      <c r="AS37" s="55">
        <v>0</v>
      </c>
    </row>
    <row r="38" ht="54.85" customHeight="1">
      <c r="A38" t="s" s="2">
        <v>0</v>
      </c>
      <c r="B38" s="33"/>
      <c r="C38" s="34"/>
      <c r="D38" s="35"/>
      <c r="E38" s="34"/>
      <c r="F38" s="36"/>
      <c r="G38" s="34"/>
      <c r="H38" s="34"/>
      <c r="I38" t="s" s="37">
        <v>0</v>
      </c>
      <c r="J38" s="38"/>
      <c r="K38" s="39"/>
      <c r="L38" s="39"/>
      <c r="M38" s="39"/>
      <c r="N38" s="39"/>
      <c r="O38" s="39"/>
      <c r="P38" s="40">
        <f>K38-L38-O38+N38</f>
        <v>0</v>
      </c>
      <c r="Q38" s="39"/>
      <c r="R38" s="39"/>
      <c r="S38" s="40">
        <f>L38</f>
        <v>0</v>
      </c>
      <c r="T38" s="39">
        <f>P38+R38-Q38+M38</f>
        <v>0</v>
      </c>
      <c r="U38" s="39">
        <f>T38-V38-W38-X38</f>
        <v>0</v>
      </c>
      <c r="V38" s="41">
        <f>P38*0.03</f>
        <v>0</v>
      </c>
      <c r="W38" s="41">
        <f>P38*0.04</f>
        <v>0</v>
      </c>
      <c r="X38" s="41">
        <f>P38*0.05</f>
        <v>0</v>
      </c>
      <c r="Y38" s="42">
        <f>P38*0.05</f>
        <v>0</v>
      </c>
      <c r="Z38" s="39">
        <f>T38-Y38</f>
        <v>0</v>
      </c>
      <c r="AA38" s="39">
        <f>U38-Y38</f>
        <v>0</v>
      </c>
      <c r="AB38" s="43"/>
      <c r="AC38" t="s" s="37">
        <v>0</v>
      </c>
      <c r="AD38" t="s" s="37">
        <v>0</v>
      </c>
      <c r="AE38" t="s" s="37">
        <v>0</v>
      </c>
      <c r="AF38" t="s" s="44">
        <v>0</v>
      </c>
      <c r="AG38" s="45"/>
      <c r="AH38" s="39"/>
      <c r="AI38" s="41">
        <f>AH38-T38-U38</f>
        <v>0</v>
      </c>
      <c r="AJ38" t="s" s="44">
        <v>0</v>
      </c>
      <c r="AK38" s="45"/>
      <c r="AL38" s="39"/>
      <c r="AM38" s="41">
        <f>AL38-Z38-AA38</f>
        <v>0</v>
      </c>
      <c r="AN38" t="s" s="44">
        <v>0</v>
      </c>
      <c r="AO38" s="45"/>
      <c r="AP38" s="39"/>
      <c r="AQ38" s="41">
        <f>AP38-Y38</f>
        <v>0</v>
      </c>
      <c r="AR38" s="37"/>
      <c r="AS38" s="46">
        <v>0</v>
      </c>
    </row>
    <row r="39" ht="54.85" customHeight="1">
      <c r="A39" t="s" s="2">
        <v>0</v>
      </c>
      <c r="B39" s="33"/>
      <c r="C39" s="34"/>
      <c r="D39" s="35"/>
      <c r="E39" s="49"/>
      <c r="F39" s="50"/>
      <c r="G39" s="49"/>
      <c r="H39" s="49"/>
      <c r="I39" t="s" s="51">
        <v>0</v>
      </c>
      <c r="J39" s="38"/>
      <c r="K39" s="52"/>
      <c r="L39" s="52"/>
      <c r="M39" s="52"/>
      <c r="N39" s="52"/>
      <c r="O39" s="52"/>
      <c r="P39" s="40">
        <f>K39-L39-O39+N39</f>
        <v>0</v>
      </c>
      <c r="Q39" s="52"/>
      <c r="R39" s="52"/>
      <c r="S39" s="40">
        <f>L39</f>
        <v>0</v>
      </c>
      <c r="T39" s="52">
        <f>P39+R39-Q39+M39</f>
        <v>0</v>
      </c>
      <c r="U39" s="52">
        <f>T39-V39-W39-X39</f>
        <v>0</v>
      </c>
      <c r="V39" s="41">
        <f>P39*0.03</f>
        <v>0</v>
      </c>
      <c r="W39" s="41">
        <f>P39*0.04</f>
        <v>0</v>
      </c>
      <c r="X39" s="41">
        <f>P39*0.05</f>
        <v>0</v>
      </c>
      <c r="Y39" s="42">
        <f>P39*0.05</f>
        <v>0</v>
      </c>
      <c r="Z39" s="52">
        <f>T39-Y39</f>
        <v>0</v>
      </c>
      <c r="AA39" s="52">
        <f>U39-Y39</f>
        <v>0</v>
      </c>
      <c r="AB39" s="43"/>
      <c r="AC39" t="s" s="51">
        <v>0</v>
      </c>
      <c r="AD39" t="s" s="51">
        <v>0</v>
      </c>
      <c r="AE39" t="s" s="51">
        <v>0</v>
      </c>
      <c r="AF39" t="s" s="44">
        <v>0</v>
      </c>
      <c r="AG39" s="54"/>
      <c r="AH39" s="52"/>
      <c r="AI39" s="41">
        <f>AH39-T39-U39</f>
        <v>0</v>
      </c>
      <c r="AJ39" t="s" s="44">
        <v>0</v>
      </c>
      <c r="AK39" s="54"/>
      <c r="AL39" s="52"/>
      <c r="AM39" s="41">
        <f>AL39-Z39-AA39</f>
        <v>0</v>
      </c>
      <c r="AN39" t="s" s="44">
        <v>0</v>
      </c>
      <c r="AO39" s="54"/>
      <c r="AP39" s="52"/>
      <c r="AQ39" s="41">
        <f>AP39-Y39</f>
        <v>0</v>
      </c>
      <c r="AR39" s="51"/>
      <c r="AS39" s="55">
        <v>0</v>
      </c>
    </row>
    <row r="40" ht="54.85" customHeight="1">
      <c r="A40" t="s" s="2">
        <v>0</v>
      </c>
      <c r="B40" s="33"/>
      <c r="C40" s="34"/>
      <c r="D40" s="35"/>
      <c r="E40" s="34"/>
      <c r="F40" s="36"/>
      <c r="G40" s="34"/>
      <c r="H40" s="34"/>
      <c r="I40" t="s" s="37">
        <v>0</v>
      </c>
      <c r="J40" s="38"/>
      <c r="K40" s="39"/>
      <c r="L40" s="39"/>
      <c r="M40" s="39"/>
      <c r="N40" s="39"/>
      <c r="O40" s="39"/>
      <c r="P40" s="40">
        <f>K40-L40-O40+N40</f>
        <v>0</v>
      </c>
      <c r="Q40" s="39"/>
      <c r="R40" s="39"/>
      <c r="S40" s="40">
        <f>L40</f>
        <v>0</v>
      </c>
      <c r="T40" s="39">
        <f>P40+R40-Q40+M40</f>
        <v>0</v>
      </c>
      <c r="U40" s="39">
        <f>T40-V40-W40-X40</f>
        <v>0</v>
      </c>
      <c r="V40" s="41">
        <f>P40*0.03</f>
        <v>0</v>
      </c>
      <c r="W40" s="41">
        <f>P40*0.04</f>
        <v>0</v>
      </c>
      <c r="X40" s="41">
        <f>P40*0.05</f>
        <v>0</v>
      </c>
      <c r="Y40" s="42">
        <f>P40*0.05</f>
        <v>0</v>
      </c>
      <c r="Z40" s="39">
        <f>T40-Y40</f>
        <v>0</v>
      </c>
      <c r="AA40" s="39">
        <f>U40-Y40</f>
        <v>0</v>
      </c>
      <c r="AB40" s="43"/>
      <c r="AC40" t="s" s="37">
        <v>0</v>
      </c>
      <c r="AD40" t="s" s="37">
        <v>0</v>
      </c>
      <c r="AE40" t="s" s="37">
        <v>0</v>
      </c>
      <c r="AF40" t="s" s="44">
        <v>0</v>
      </c>
      <c r="AG40" s="45"/>
      <c r="AH40" s="39"/>
      <c r="AI40" s="41">
        <f>AH40-T40-U40</f>
        <v>0</v>
      </c>
      <c r="AJ40" t="s" s="44">
        <v>0</v>
      </c>
      <c r="AK40" s="45"/>
      <c r="AL40" s="39"/>
      <c r="AM40" s="41">
        <f>AL40-Z40-AA40</f>
        <v>0</v>
      </c>
      <c r="AN40" t="s" s="44">
        <v>0</v>
      </c>
      <c r="AO40" s="45"/>
      <c r="AP40" s="39"/>
      <c r="AQ40" s="41">
        <f>AP40-Y40</f>
        <v>0</v>
      </c>
      <c r="AR40" s="37"/>
      <c r="AS40" s="46">
        <v>0</v>
      </c>
    </row>
    <row r="41" ht="54.85" customHeight="1">
      <c r="A41" t="s" s="2">
        <v>0</v>
      </c>
      <c r="B41" s="33"/>
      <c r="C41" s="34"/>
      <c r="D41" s="35"/>
      <c r="E41" s="49"/>
      <c r="F41" s="50"/>
      <c r="G41" s="49"/>
      <c r="H41" s="49"/>
      <c r="I41" t="s" s="51">
        <v>0</v>
      </c>
      <c r="J41" s="38"/>
      <c r="K41" s="52"/>
      <c r="L41" s="52"/>
      <c r="M41" s="52"/>
      <c r="N41" s="52"/>
      <c r="O41" s="52"/>
      <c r="P41" s="40">
        <f>K41-L41-O41+N41</f>
        <v>0</v>
      </c>
      <c r="Q41" s="52"/>
      <c r="R41" s="52"/>
      <c r="S41" s="40">
        <f>L41</f>
        <v>0</v>
      </c>
      <c r="T41" s="52">
        <f>P41+R41-Q41+M41</f>
        <v>0</v>
      </c>
      <c r="U41" s="52">
        <f>T41-V41-W41-X41</f>
        <v>0</v>
      </c>
      <c r="V41" s="41">
        <f>P41*0.03</f>
        <v>0</v>
      </c>
      <c r="W41" s="41">
        <f>P41*0.04</f>
        <v>0</v>
      </c>
      <c r="X41" s="41">
        <f>P41*0.05</f>
        <v>0</v>
      </c>
      <c r="Y41" s="42">
        <f>P41*0.05</f>
        <v>0</v>
      </c>
      <c r="Z41" s="52">
        <f>T41-Y41</f>
        <v>0</v>
      </c>
      <c r="AA41" s="52">
        <f>U41-Y41</f>
        <v>0</v>
      </c>
      <c r="AB41" s="43"/>
      <c r="AC41" t="s" s="51">
        <v>0</v>
      </c>
      <c r="AD41" t="s" s="51">
        <v>0</v>
      </c>
      <c r="AE41" t="s" s="51">
        <v>0</v>
      </c>
      <c r="AF41" t="s" s="44">
        <v>0</v>
      </c>
      <c r="AG41" s="54"/>
      <c r="AH41" s="52"/>
      <c r="AI41" s="41">
        <f>AH41-T41-U41</f>
        <v>0</v>
      </c>
      <c r="AJ41" t="s" s="44">
        <v>0</v>
      </c>
      <c r="AK41" s="54"/>
      <c r="AL41" s="52"/>
      <c r="AM41" s="41">
        <f>AL41-Z41-AA41</f>
        <v>0</v>
      </c>
      <c r="AN41" t="s" s="44">
        <v>0</v>
      </c>
      <c r="AO41" s="54"/>
      <c r="AP41" s="52"/>
      <c r="AQ41" s="41">
        <f>AP41-Y41</f>
        <v>0</v>
      </c>
      <c r="AR41" s="51"/>
      <c r="AS41" s="55">
        <v>0</v>
      </c>
    </row>
    <row r="42" ht="54.85" customHeight="1">
      <c r="A42" t="s" s="2">
        <v>0</v>
      </c>
      <c r="B42" s="33"/>
      <c r="C42" s="34"/>
      <c r="D42" s="35"/>
      <c r="E42" s="34"/>
      <c r="F42" s="36"/>
      <c r="G42" s="34"/>
      <c r="H42" s="34"/>
      <c r="I42" t="s" s="37">
        <v>0</v>
      </c>
      <c r="J42" s="38"/>
      <c r="K42" s="39"/>
      <c r="L42" s="39"/>
      <c r="M42" s="39"/>
      <c r="N42" s="39"/>
      <c r="O42" s="39"/>
      <c r="P42" s="40">
        <f>K42-L42-O42+N42</f>
        <v>0</v>
      </c>
      <c r="Q42" s="39"/>
      <c r="R42" s="39"/>
      <c r="S42" s="40">
        <f>L42</f>
        <v>0</v>
      </c>
      <c r="T42" s="39">
        <f>P42+R42-Q42+M42</f>
        <v>0</v>
      </c>
      <c r="U42" s="39">
        <f>T42-V42-W42-X42</f>
        <v>0</v>
      </c>
      <c r="V42" s="41">
        <f>P42*0.03</f>
        <v>0</v>
      </c>
      <c r="W42" s="41">
        <f>P42*0.04</f>
        <v>0</v>
      </c>
      <c r="X42" s="41">
        <f>P42*0.05</f>
        <v>0</v>
      </c>
      <c r="Y42" s="42">
        <f>P42*0.05</f>
        <v>0</v>
      </c>
      <c r="Z42" s="39">
        <f>T42-Y42</f>
        <v>0</v>
      </c>
      <c r="AA42" s="39">
        <f>U42-Y42</f>
        <v>0</v>
      </c>
      <c r="AB42" s="43"/>
      <c r="AC42" t="s" s="37">
        <v>0</v>
      </c>
      <c r="AD42" t="s" s="37">
        <v>0</v>
      </c>
      <c r="AE42" t="s" s="37">
        <v>0</v>
      </c>
      <c r="AF42" t="s" s="44">
        <v>0</v>
      </c>
      <c r="AG42" s="45"/>
      <c r="AH42" s="39"/>
      <c r="AI42" s="41">
        <f>AH42-T42-U42</f>
        <v>0</v>
      </c>
      <c r="AJ42" t="s" s="44">
        <v>0</v>
      </c>
      <c r="AK42" s="45"/>
      <c r="AL42" s="39"/>
      <c r="AM42" s="41">
        <f>AL42-Z42-AA42</f>
        <v>0</v>
      </c>
      <c r="AN42" t="s" s="44">
        <v>0</v>
      </c>
      <c r="AO42" s="45"/>
      <c r="AP42" s="39"/>
      <c r="AQ42" s="41">
        <f>AP42-Y42</f>
        <v>0</v>
      </c>
      <c r="AR42" s="37"/>
      <c r="AS42" s="46">
        <v>0</v>
      </c>
    </row>
    <row r="43" ht="54.85" customHeight="1">
      <c r="A43" t="s" s="2">
        <v>0</v>
      </c>
      <c r="B43" s="33"/>
      <c r="C43" s="34"/>
      <c r="D43" s="35"/>
      <c r="E43" s="49"/>
      <c r="F43" s="50"/>
      <c r="G43" s="49"/>
      <c r="H43" s="49"/>
      <c r="I43" t="s" s="51">
        <v>0</v>
      </c>
      <c r="J43" s="38"/>
      <c r="K43" s="52"/>
      <c r="L43" s="52"/>
      <c r="M43" s="52"/>
      <c r="N43" s="52"/>
      <c r="O43" s="52"/>
      <c r="P43" s="40">
        <f>K43-L43-O43+N43</f>
        <v>0</v>
      </c>
      <c r="Q43" s="52"/>
      <c r="R43" s="52"/>
      <c r="S43" s="40">
        <f>L43</f>
        <v>0</v>
      </c>
      <c r="T43" s="52">
        <f>P43+R43-Q43+M43</f>
        <v>0</v>
      </c>
      <c r="U43" s="52">
        <f>T43-V43-W43-X43</f>
        <v>0</v>
      </c>
      <c r="V43" s="41">
        <f>P43*0.03</f>
        <v>0</v>
      </c>
      <c r="W43" s="41">
        <f>P43*0.04</f>
        <v>0</v>
      </c>
      <c r="X43" s="41">
        <f>P43*0.05</f>
        <v>0</v>
      </c>
      <c r="Y43" s="42">
        <f>P43*0.05</f>
        <v>0</v>
      </c>
      <c r="Z43" s="52">
        <f>T43-Y43</f>
        <v>0</v>
      </c>
      <c r="AA43" s="52">
        <f>U43-Y43</f>
        <v>0</v>
      </c>
      <c r="AB43" s="43"/>
      <c r="AC43" t="s" s="51">
        <v>0</v>
      </c>
      <c r="AD43" t="s" s="51">
        <v>0</v>
      </c>
      <c r="AE43" t="s" s="51">
        <v>0</v>
      </c>
      <c r="AF43" t="s" s="44">
        <v>0</v>
      </c>
      <c r="AG43" s="54"/>
      <c r="AH43" s="52"/>
      <c r="AI43" s="41">
        <f>AH43-T43-U43</f>
        <v>0</v>
      </c>
      <c r="AJ43" t="s" s="44">
        <v>0</v>
      </c>
      <c r="AK43" s="54"/>
      <c r="AL43" s="52"/>
      <c r="AM43" s="41">
        <f>AL43-Z43-AA43</f>
        <v>0</v>
      </c>
      <c r="AN43" t="s" s="44">
        <v>0</v>
      </c>
      <c r="AO43" s="54"/>
      <c r="AP43" s="52"/>
      <c r="AQ43" s="41">
        <f>AP43-Y43</f>
        <v>0</v>
      </c>
      <c r="AR43" s="51"/>
      <c r="AS43" s="55">
        <v>0</v>
      </c>
    </row>
    <row r="44" ht="54.85" customHeight="1">
      <c r="A44" t="s" s="2">
        <v>0</v>
      </c>
      <c r="B44" s="33"/>
      <c r="C44" s="34"/>
      <c r="D44" s="35"/>
      <c r="E44" s="34"/>
      <c r="F44" s="36"/>
      <c r="G44" s="34"/>
      <c r="H44" s="34"/>
      <c r="I44" t="s" s="37">
        <v>0</v>
      </c>
      <c r="J44" s="38"/>
      <c r="K44" s="39"/>
      <c r="L44" s="39"/>
      <c r="M44" s="39"/>
      <c r="N44" s="39"/>
      <c r="O44" s="39"/>
      <c r="P44" s="40">
        <f>K44-L44-O44+N44</f>
        <v>0</v>
      </c>
      <c r="Q44" s="39"/>
      <c r="R44" s="39"/>
      <c r="S44" s="40">
        <f>L44</f>
        <v>0</v>
      </c>
      <c r="T44" s="39">
        <f>P44+R44-Q44+M44</f>
        <v>0</v>
      </c>
      <c r="U44" s="39">
        <f>T44-V44-W44-X44</f>
        <v>0</v>
      </c>
      <c r="V44" s="41">
        <f>P44*0.03</f>
        <v>0</v>
      </c>
      <c r="W44" s="41">
        <f>P44*0.04</f>
        <v>0</v>
      </c>
      <c r="X44" s="41">
        <f>P44*0.05</f>
        <v>0</v>
      </c>
      <c r="Y44" s="42">
        <f>P44*0.05</f>
        <v>0</v>
      </c>
      <c r="Z44" s="39">
        <f>T44-Y44</f>
        <v>0</v>
      </c>
      <c r="AA44" s="39">
        <f>U44-Y44</f>
        <v>0</v>
      </c>
      <c r="AB44" s="43"/>
      <c r="AC44" t="s" s="37">
        <v>0</v>
      </c>
      <c r="AD44" t="s" s="37">
        <v>0</v>
      </c>
      <c r="AE44" t="s" s="37">
        <v>0</v>
      </c>
      <c r="AF44" t="s" s="44">
        <v>0</v>
      </c>
      <c r="AG44" s="45"/>
      <c r="AH44" s="39"/>
      <c r="AI44" s="41">
        <f>AH44-T44-U44</f>
        <v>0</v>
      </c>
      <c r="AJ44" t="s" s="44">
        <v>0</v>
      </c>
      <c r="AK44" s="45"/>
      <c r="AL44" s="39"/>
      <c r="AM44" s="41">
        <f>AL44-Z44-AA44</f>
        <v>0</v>
      </c>
      <c r="AN44" t="s" s="44">
        <v>0</v>
      </c>
      <c r="AO44" s="45"/>
      <c r="AP44" s="39"/>
      <c r="AQ44" s="41">
        <f>AP44-Y44</f>
        <v>0</v>
      </c>
      <c r="AR44" s="37"/>
      <c r="AS44" s="46">
        <v>0</v>
      </c>
    </row>
    <row r="45" ht="54.85" customHeight="1">
      <c r="A45" t="s" s="2">
        <v>0</v>
      </c>
      <c r="B45" s="33"/>
      <c r="C45" s="34"/>
      <c r="D45" s="35"/>
      <c r="E45" s="49"/>
      <c r="F45" s="50"/>
      <c r="G45" s="49"/>
      <c r="H45" s="49"/>
      <c r="I45" t="s" s="51">
        <v>0</v>
      </c>
      <c r="J45" s="38"/>
      <c r="K45" s="52"/>
      <c r="L45" s="52"/>
      <c r="M45" s="52"/>
      <c r="N45" s="52"/>
      <c r="O45" s="52"/>
      <c r="P45" s="40">
        <f>K45-L45-O45+N45</f>
        <v>0</v>
      </c>
      <c r="Q45" s="52"/>
      <c r="R45" s="52"/>
      <c r="S45" s="40">
        <f>L45</f>
        <v>0</v>
      </c>
      <c r="T45" s="52">
        <f>P45+R45-Q45+M45</f>
        <v>0</v>
      </c>
      <c r="U45" s="52">
        <f>T45-V45-W45-X45</f>
        <v>0</v>
      </c>
      <c r="V45" s="41">
        <f>P45*0.03</f>
        <v>0</v>
      </c>
      <c r="W45" s="41">
        <f>P45*0.04</f>
        <v>0</v>
      </c>
      <c r="X45" s="41">
        <f>P45*0.05</f>
        <v>0</v>
      </c>
      <c r="Y45" s="42">
        <f>P45*0.05</f>
        <v>0</v>
      </c>
      <c r="Z45" s="52">
        <f>T45-Y45</f>
        <v>0</v>
      </c>
      <c r="AA45" s="52">
        <f>U45-Y45</f>
        <v>0</v>
      </c>
      <c r="AB45" s="43"/>
      <c r="AC45" t="s" s="51">
        <v>0</v>
      </c>
      <c r="AD45" t="s" s="51">
        <v>0</v>
      </c>
      <c r="AE45" t="s" s="51">
        <v>0</v>
      </c>
      <c r="AF45" t="s" s="44">
        <v>0</v>
      </c>
      <c r="AG45" s="54"/>
      <c r="AH45" s="52"/>
      <c r="AI45" s="41">
        <f>AH45-T45-U45</f>
        <v>0</v>
      </c>
      <c r="AJ45" t="s" s="44">
        <v>0</v>
      </c>
      <c r="AK45" s="54"/>
      <c r="AL45" s="52"/>
      <c r="AM45" s="41">
        <f>AL45-Z45-AA45</f>
        <v>0</v>
      </c>
      <c r="AN45" t="s" s="44">
        <v>0</v>
      </c>
      <c r="AO45" s="54"/>
      <c r="AP45" s="52"/>
      <c r="AQ45" s="41">
        <f>AP45-Y45</f>
        <v>0</v>
      </c>
      <c r="AR45" s="51"/>
      <c r="AS45" s="55">
        <v>0</v>
      </c>
    </row>
    <row r="46" ht="54.85" customHeight="1">
      <c r="A46" t="s" s="2">
        <v>0</v>
      </c>
      <c r="B46" s="33"/>
      <c r="C46" s="34"/>
      <c r="D46" s="35"/>
      <c r="E46" s="34"/>
      <c r="F46" s="36"/>
      <c r="G46" s="34"/>
      <c r="H46" s="34"/>
      <c r="I46" t="s" s="37">
        <v>0</v>
      </c>
      <c r="J46" s="38"/>
      <c r="K46" s="39"/>
      <c r="L46" s="39"/>
      <c r="M46" s="39"/>
      <c r="N46" s="39"/>
      <c r="O46" s="39"/>
      <c r="P46" s="40">
        <f>K46-L46-O46+N46</f>
        <v>0</v>
      </c>
      <c r="Q46" s="39"/>
      <c r="R46" s="39"/>
      <c r="S46" s="40">
        <f>L46</f>
        <v>0</v>
      </c>
      <c r="T46" s="39">
        <f>P46+R46-Q46+M46</f>
        <v>0</v>
      </c>
      <c r="U46" s="39">
        <f>T46-V46-W46-X46</f>
        <v>0</v>
      </c>
      <c r="V46" s="41">
        <f>P46*0.03</f>
        <v>0</v>
      </c>
      <c r="W46" s="41">
        <f>P46*0.04</f>
        <v>0</v>
      </c>
      <c r="X46" s="41">
        <f>P46*0.05</f>
        <v>0</v>
      </c>
      <c r="Y46" s="42">
        <f>P46*0.05</f>
        <v>0</v>
      </c>
      <c r="Z46" s="39">
        <f>T46-Y46</f>
        <v>0</v>
      </c>
      <c r="AA46" s="39">
        <f>U46-Y46</f>
        <v>0</v>
      </c>
      <c r="AB46" s="43"/>
      <c r="AC46" t="s" s="37">
        <v>0</v>
      </c>
      <c r="AD46" t="s" s="37">
        <v>0</v>
      </c>
      <c r="AE46" t="s" s="37">
        <v>0</v>
      </c>
      <c r="AF46" t="s" s="44">
        <v>0</v>
      </c>
      <c r="AG46" s="45"/>
      <c r="AH46" s="39"/>
      <c r="AI46" s="41">
        <f>AH46-T46-U46</f>
        <v>0</v>
      </c>
      <c r="AJ46" t="s" s="44">
        <v>0</v>
      </c>
      <c r="AK46" s="45"/>
      <c r="AL46" s="39"/>
      <c r="AM46" s="41">
        <f>AL46-Z46-AA46</f>
        <v>0</v>
      </c>
      <c r="AN46" t="s" s="44">
        <v>0</v>
      </c>
      <c r="AO46" s="45"/>
      <c r="AP46" s="39"/>
      <c r="AQ46" s="41">
        <f>AP46-Y46</f>
        <v>0</v>
      </c>
      <c r="AR46" s="37"/>
      <c r="AS46" s="46">
        <v>0</v>
      </c>
    </row>
    <row r="47" ht="54.85" customHeight="1">
      <c r="A47" t="s" s="2">
        <v>0</v>
      </c>
      <c r="B47" s="33"/>
      <c r="C47" s="34"/>
      <c r="D47" s="35"/>
      <c r="E47" s="49"/>
      <c r="F47" s="50"/>
      <c r="G47" s="49"/>
      <c r="H47" s="49"/>
      <c r="I47" t="s" s="51">
        <v>0</v>
      </c>
      <c r="J47" s="38"/>
      <c r="K47" s="52"/>
      <c r="L47" s="52"/>
      <c r="M47" s="52"/>
      <c r="N47" s="52"/>
      <c r="O47" s="52"/>
      <c r="P47" s="40">
        <f>K47-L47-O47+N47</f>
        <v>0</v>
      </c>
      <c r="Q47" s="52"/>
      <c r="R47" s="52"/>
      <c r="S47" s="40">
        <f>L47</f>
        <v>0</v>
      </c>
      <c r="T47" s="52">
        <f>P47+R47-Q47+M47</f>
        <v>0</v>
      </c>
      <c r="U47" s="52">
        <f>T47-V47-W47-X47</f>
        <v>0</v>
      </c>
      <c r="V47" s="41">
        <f>P47*0.03</f>
        <v>0</v>
      </c>
      <c r="W47" s="41">
        <f>P47*0.04</f>
        <v>0</v>
      </c>
      <c r="X47" s="41">
        <f>P47*0.05</f>
        <v>0</v>
      </c>
      <c r="Y47" s="42">
        <f>P47*0.05</f>
        <v>0</v>
      </c>
      <c r="Z47" s="52">
        <f>T47-Y47</f>
        <v>0</v>
      </c>
      <c r="AA47" s="52">
        <f>U47-Y47</f>
        <v>0</v>
      </c>
      <c r="AB47" s="43"/>
      <c r="AC47" t="s" s="51">
        <v>0</v>
      </c>
      <c r="AD47" t="s" s="51">
        <v>0</v>
      </c>
      <c r="AE47" t="s" s="51">
        <v>0</v>
      </c>
      <c r="AF47" t="s" s="44">
        <v>0</v>
      </c>
      <c r="AG47" s="54"/>
      <c r="AH47" s="52"/>
      <c r="AI47" s="41">
        <f>AH47-T47-U47</f>
        <v>0</v>
      </c>
      <c r="AJ47" t="s" s="44">
        <v>0</v>
      </c>
      <c r="AK47" s="54"/>
      <c r="AL47" s="52"/>
      <c r="AM47" s="41">
        <f>AL47-Z47-AA47</f>
        <v>0</v>
      </c>
      <c r="AN47" t="s" s="44">
        <v>0</v>
      </c>
      <c r="AO47" s="54"/>
      <c r="AP47" s="52"/>
      <c r="AQ47" s="41">
        <f>AP47-Y47</f>
        <v>0</v>
      </c>
      <c r="AR47" s="51"/>
      <c r="AS47" s="55">
        <v>0</v>
      </c>
    </row>
    <row r="48" ht="54.85" customHeight="1">
      <c r="A48" t="s" s="2">
        <v>0</v>
      </c>
      <c r="B48" s="33"/>
      <c r="C48" s="34"/>
      <c r="D48" s="35"/>
      <c r="E48" s="34"/>
      <c r="F48" s="36"/>
      <c r="G48" s="34"/>
      <c r="H48" s="34"/>
      <c r="I48" t="s" s="37">
        <v>0</v>
      </c>
      <c r="J48" s="38"/>
      <c r="K48" s="39"/>
      <c r="L48" s="39"/>
      <c r="M48" s="39"/>
      <c r="N48" s="39"/>
      <c r="O48" s="39"/>
      <c r="P48" s="40">
        <f>K48-L48-O48+N48</f>
        <v>0</v>
      </c>
      <c r="Q48" s="39"/>
      <c r="R48" s="39"/>
      <c r="S48" s="40">
        <f>L48</f>
        <v>0</v>
      </c>
      <c r="T48" s="39">
        <f>P48+R48-Q48+M48</f>
        <v>0</v>
      </c>
      <c r="U48" s="39">
        <f>T48-V48-W48-X48</f>
        <v>0</v>
      </c>
      <c r="V48" s="41">
        <f>P48*0.03</f>
        <v>0</v>
      </c>
      <c r="W48" s="41">
        <f>P48*0.04</f>
        <v>0</v>
      </c>
      <c r="X48" s="41">
        <f>P48*0.05</f>
        <v>0</v>
      </c>
      <c r="Y48" s="42">
        <f>P48*0.05</f>
        <v>0</v>
      </c>
      <c r="Z48" s="39">
        <f>T48-Y48</f>
        <v>0</v>
      </c>
      <c r="AA48" s="39">
        <f>U48-Y48</f>
        <v>0</v>
      </c>
      <c r="AB48" s="43"/>
      <c r="AC48" t="s" s="37">
        <v>0</v>
      </c>
      <c r="AD48" t="s" s="37">
        <v>0</v>
      </c>
      <c r="AE48" t="s" s="37">
        <v>0</v>
      </c>
      <c r="AF48" t="s" s="44">
        <v>0</v>
      </c>
      <c r="AG48" s="45"/>
      <c r="AH48" s="39"/>
      <c r="AI48" s="41">
        <f>AH48-T48-U48</f>
        <v>0</v>
      </c>
      <c r="AJ48" t="s" s="44">
        <v>0</v>
      </c>
      <c r="AK48" s="45"/>
      <c r="AL48" s="39"/>
      <c r="AM48" s="41">
        <f>AL48-Z48-AA48</f>
        <v>0</v>
      </c>
      <c r="AN48" t="s" s="44">
        <v>0</v>
      </c>
      <c r="AO48" s="45"/>
      <c r="AP48" s="39"/>
      <c r="AQ48" s="41">
        <f>AP48-Y48</f>
        <v>0</v>
      </c>
      <c r="AR48" s="37"/>
      <c r="AS48" s="46">
        <v>0</v>
      </c>
    </row>
    <row r="49" ht="54.85" customHeight="1">
      <c r="A49" t="s" s="2">
        <v>0</v>
      </c>
      <c r="B49" s="33"/>
      <c r="C49" s="34"/>
      <c r="D49" s="35"/>
      <c r="E49" s="49"/>
      <c r="F49" s="50"/>
      <c r="G49" s="49"/>
      <c r="H49" s="49"/>
      <c r="I49" t="s" s="51">
        <v>0</v>
      </c>
      <c r="J49" s="38"/>
      <c r="K49" s="52"/>
      <c r="L49" s="52"/>
      <c r="M49" s="52"/>
      <c r="N49" s="52"/>
      <c r="O49" s="52"/>
      <c r="P49" s="40">
        <f>K49-L49-O49+N49</f>
        <v>0</v>
      </c>
      <c r="Q49" s="52"/>
      <c r="R49" s="52"/>
      <c r="S49" s="40">
        <f>L49</f>
        <v>0</v>
      </c>
      <c r="T49" s="52">
        <f>P49+R49-Q49+M49</f>
        <v>0</v>
      </c>
      <c r="U49" s="52">
        <f>T49-V49-W49-X49</f>
        <v>0</v>
      </c>
      <c r="V49" s="41">
        <f>P49*0.03</f>
        <v>0</v>
      </c>
      <c r="W49" s="41">
        <f>P49*0.04</f>
        <v>0</v>
      </c>
      <c r="X49" s="41">
        <f>P49*0.05</f>
        <v>0</v>
      </c>
      <c r="Y49" s="42">
        <f>P49*0.05</f>
        <v>0</v>
      </c>
      <c r="Z49" s="52">
        <f>T49-Y49</f>
        <v>0</v>
      </c>
      <c r="AA49" s="52">
        <f>U49-Y49</f>
        <v>0</v>
      </c>
      <c r="AB49" s="43"/>
      <c r="AC49" t="s" s="51">
        <v>0</v>
      </c>
      <c r="AD49" t="s" s="51">
        <v>0</v>
      </c>
      <c r="AE49" t="s" s="51">
        <v>0</v>
      </c>
      <c r="AF49" t="s" s="44">
        <v>0</v>
      </c>
      <c r="AG49" s="54"/>
      <c r="AH49" s="52"/>
      <c r="AI49" s="41">
        <f>AH49-T49-U49</f>
        <v>0</v>
      </c>
      <c r="AJ49" t="s" s="44">
        <v>0</v>
      </c>
      <c r="AK49" s="54"/>
      <c r="AL49" s="52"/>
      <c r="AM49" s="41">
        <f>AL49-Z49-AA49</f>
        <v>0</v>
      </c>
      <c r="AN49" t="s" s="44">
        <v>0</v>
      </c>
      <c r="AO49" s="54"/>
      <c r="AP49" s="52"/>
      <c r="AQ49" s="41">
        <f>AP49-Y49</f>
        <v>0</v>
      </c>
      <c r="AR49" s="51"/>
      <c r="AS49" s="55">
        <v>0</v>
      </c>
    </row>
    <row r="50" ht="54.85" customHeight="1">
      <c r="A50" t="s" s="2">
        <v>0</v>
      </c>
      <c r="B50" s="33"/>
      <c r="C50" s="34"/>
      <c r="D50" s="35"/>
      <c r="E50" s="34"/>
      <c r="F50" s="36"/>
      <c r="G50" s="34"/>
      <c r="H50" s="34"/>
      <c r="I50" t="s" s="37">
        <v>0</v>
      </c>
      <c r="J50" s="38"/>
      <c r="K50" s="39"/>
      <c r="L50" s="39"/>
      <c r="M50" s="39"/>
      <c r="N50" s="39"/>
      <c r="O50" s="39"/>
      <c r="P50" s="40">
        <f>K50-L50-O50+N50</f>
        <v>0</v>
      </c>
      <c r="Q50" s="39"/>
      <c r="R50" s="39"/>
      <c r="S50" s="40">
        <f>L50</f>
        <v>0</v>
      </c>
      <c r="T50" s="39">
        <f>P50+R50-Q50+M50</f>
        <v>0</v>
      </c>
      <c r="U50" s="39">
        <f>T50-V50-W50-X50</f>
        <v>0</v>
      </c>
      <c r="V50" s="41">
        <f>P50*0.03</f>
        <v>0</v>
      </c>
      <c r="W50" s="41">
        <f>P50*0.04</f>
        <v>0</v>
      </c>
      <c r="X50" s="41">
        <f>P50*0.05</f>
        <v>0</v>
      </c>
      <c r="Y50" s="42">
        <f>P50*0.05</f>
        <v>0</v>
      </c>
      <c r="Z50" s="39">
        <f>T50-Y50</f>
        <v>0</v>
      </c>
      <c r="AA50" s="39">
        <f>U50-Y50</f>
        <v>0</v>
      </c>
      <c r="AB50" s="43"/>
      <c r="AC50" t="s" s="37">
        <v>0</v>
      </c>
      <c r="AD50" t="s" s="37">
        <v>0</v>
      </c>
      <c r="AE50" t="s" s="37">
        <v>0</v>
      </c>
      <c r="AF50" t="s" s="44">
        <v>0</v>
      </c>
      <c r="AG50" s="45"/>
      <c r="AH50" s="39"/>
      <c r="AI50" s="41">
        <f>AH50-T50-U50</f>
        <v>0</v>
      </c>
      <c r="AJ50" t="s" s="44">
        <v>0</v>
      </c>
      <c r="AK50" s="45"/>
      <c r="AL50" s="39"/>
      <c r="AM50" s="41">
        <f>AL50-Z50-AA50</f>
        <v>0</v>
      </c>
      <c r="AN50" t="s" s="44">
        <v>0</v>
      </c>
      <c r="AO50" s="45"/>
      <c r="AP50" s="39"/>
      <c r="AQ50" s="41">
        <f>AP50-Y50</f>
        <v>0</v>
      </c>
      <c r="AR50" s="37"/>
      <c r="AS50" s="46">
        <v>0</v>
      </c>
    </row>
    <row r="51" ht="54.85" customHeight="1">
      <c r="A51" t="s" s="2">
        <v>0</v>
      </c>
      <c r="B51" s="33"/>
      <c r="C51" s="34"/>
      <c r="D51" s="35"/>
      <c r="E51" s="49"/>
      <c r="F51" s="50"/>
      <c r="G51" s="49"/>
      <c r="H51" s="49"/>
      <c r="I51" t="s" s="51">
        <v>0</v>
      </c>
      <c r="J51" s="38"/>
      <c r="K51" s="52"/>
      <c r="L51" s="52"/>
      <c r="M51" s="52"/>
      <c r="N51" s="52"/>
      <c r="O51" s="52"/>
      <c r="P51" s="40">
        <f>K51-L51-O51+N51</f>
        <v>0</v>
      </c>
      <c r="Q51" s="52"/>
      <c r="R51" s="52"/>
      <c r="S51" s="40">
        <f>L51</f>
        <v>0</v>
      </c>
      <c r="T51" s="52">
        <f>P51+R51-Q51+M51</f>
        <v>0</v>
      </c>
      <c r="U51" s="52">
        <f>T51-V51-W51-X51</f>
        <v>0</v>
      </c>
      <c r="V51" s="41">
        <f>P51*0.03</f>
        <v>0</v>
      </c>
      <c r="W51" s="41">
        <f>P51*0.04</f>
        <v>0</v>
      </c>
      <c r="X51" s="41">
        <f>P51*0.05</f>
        <v>0</v>
      </c>
      <c r="Y51" s="42">
        <f>P51*0.05</f>
        <v>0</v>
      </c>
      <c r="Z51" s="52">
        <f>T51-Y51</f>
        <v>0</v>
      </c>
      <c r="AA51" s="52">
        <f>U51-Y51</f>
        <v>0</v>
      </c>
      <c r="AB51" s="43"/>
      <c r="AC51" t="s" s="51">
        <v>0</v>
      </c>
      <c r="AD51" t="s" s="51">
        <v>0</v>
      </c>
      <c r="AE51" t="s" s="51">
        <v>0</v>
      </c>
      <c r="AF51" t="s" s="44">
        <v>0</v>
      </c>
      <c r="AG51" s="54"/>
      <c r="AH51" s="52"/>
      <c r="AI51" s="41">
        <f>AH51-T51-U51</f>
        <v>0</v>
      </c>
      <c r="AJ51" t="s" s="44">
        <v>0</v>
      </c>
      <c r="AK51" s="54"/>
      <c r="AL51" s="52"/>
      <c r="AM51" s="41">
        <f>AL51-Z51-AA51</f>
        <v>0</v>
      </c>
      <c r="AN51" t="s" s="44">
        <v>0</v>
      </c>
      <c r="AO51" s="54"/>
      <c r="AP51" s="52"/>
      <c r="AQ51" s="41">
        <f>AP51-Y51</f>
        <v>0</v>
      </c>
      <c r="AR51" s="51"/>
      <c r="AS51" s="55">
        <v>0</v>
      </c>
    </row>
    <row r="52" ht="54.85" customHeight="1">
      <c r="A52" t="s" s="2">
        <v>0</v>
      </c>
      <c r="B52" s="33"/>
      <c r="C52" s="34"/>
      <c r="D52" s="35"/>
      <c r="E52" s="34"/>
      <c r="F52" s="36"/>
      <c r="G52" s="34"/>
      <c r="H52" s="34"/>
      <c r="I52" t="s" s="37">
        <v>0</v>
      </c>
      <c r="J52" s="38"/>
      <c r="K52" s="39"/>
      <c r="L52" s="39"/>
      <c r="M52" s="39"/>
      <c r="N52" s="39"/>
      <c r="O52" s="39"/>
      <c r="P52" s="40">
        <f>K52-L52-O52+N52</f>
        <v>0</v>
      </c>
      <c r="Q52" s="39"/>
      <c r="R52" s="39"/>
      <c r="S52" s="40">
        <f>L52</f>
        <v>0</v>
      </c>
      <c r="T52" s="39">
        <f>P52+R52-Q52+M52</f>
        <v>0</v>
      </c>
      <c r="U52" s="39">
        <f>T52-V52-W52-X52</f>
        <v>0</v>
      </c>
      <c r="V52" s="41">
        <f>P52*0.03</f>
        <v>0</v>
      </c>
      <c r="W52" s="41">
        <f>P52*0.04</f>
        <v>0</v>
      </c>
      <c r="X52" s="41">
        <f>P52*0.05</f>
        <v>0</v>
      </c>
      <c r="Y52" s="42">
        <f>P52*0.05</f>
        <v>0</v>
      </c>
      <c r="Z52" s="39">
        <f>T52-Y52</f>
        <v>0</v>
      </c>
      <c r="AA52" s="39">
        <f>U52-Y52</f>
        <v>0</v>
      </c>
      <c r="AB52" s="43"/>
      <c r="AC52" t="s" s="37">
        <v>0</v>
      </c>
      <c r="AD52" t="s" s="37">
        <v>0</v>
      </c>
      <c r="AE52" t="s" s="37">
        <v>0</v>
      </c>
      <c r="AF52" t="s" s="44">
        <v>0</v>
      </c>
      <c r="AG52" s="45"/>
      <c r="AH52" s="39"/>
      <c r="AI52" s="41">
        <f>AH52-T52-U52</f>
        <v>0</v>
      </c>
      <c r="AJ52" t="s" s="44">
        <v>0</v>
      </c>
      <c r="AK52" s="45"/>
      <c r="AL52" s="39"/>
      <c r="AM52" s="41">
        <f>AL52-Z52-AA52</f>
        <v>0</v>
      </c>
      <c r="AN52" t="s" s="44">
        <v>0</v>
      </c>
      <c r="AO52" s="45"/>
      <c r="AP52" s="39"/>
      <c r="AQ52" s="41">
        <f>AP52-Y52</f>
        <v>0</v>
      </c>
      <c r="AR52" s="37"/>
      <c r="AS52" s="46">
        <v>0</v>
      </c>
    </row>
    <row r="53" ht="54.85" customHeight="1">
      <c r="A53" t="s" s="2">
        <v>0</v>
      </c>
      <c r="B53" s="33"/>
      <c r="C53" s="34"/>
      <c r="D53" s="35"/>
      <c r="E53" s="49"/>
      <c r="F53" s="50"/>
      <c r="G53" s="49"/>
      <c r="H53" s="49"/>
      <c r="I53" t="s" s="51">
        <v>0</v>
      </c>
      <c r="J53" s="38"/>
      <c r="K53" s="52"/>
      <c r="L53" s="52"/>
      <c r="M53" s="52"/>
      <c r="N53" s="52"/>
      <c r="O53" s="52"/>
      <c r="P53" s="40">
        <f>K53-L53-O53+N53</f>
        <v>0</v>
      </c>
      <c r="Q53" s="52"/>
      <c r="R53" s="52"/>
      <c r="S53" s="40">
        <f>L53</f>
        <v>0</v>
      </c>
      <c r="T53" s="52">
        <f>P53+R53-Q53+M53</f>
        <v>0</v>
      </c>
      <c r="U53" s="52">
        <f>T53-V53-W53-X53</f>
        <v>0</v>
      </c>
      <c r="V53" s="41">
        <f>P53*0.03</f>
        <v>0</v>
      </c>
      <c r="W53" s="41">
        <f>P53*0.04</f>
        <v>0</v>
      </c>
      <c r="X53" s="41">
        <f>P53*0.05</f>
        <v>0</v>
      </c>
      <c r="Y53" s="42">
        <f>P53*0.05</f>
        <v>0</v>
      </c>
      <c r="Z53" s="52">
        <f>T53-Y53</f>
        <v>0</v>
      </c>
      <c r="AA53" s="52">
        <f>U53-Y53</f>
        <v>0</v>
      </c>
      <c r="AB53" s="43"/>
      <c r="AC53" t="s" s="51">
        <v>0</v>
      </c>
      <c r="AD53" t="s" s="51">
        <v>0</v>
      </c>
      <c r="AE53" t="s" s="51">
        <v>0</v>
      </c>
      <c r="AF53" t="s" s="44">
        <v>0</v>
      </c>
      <c r="AG53" s="54"/>
      <c r="AH53" s="52"/>
      <c r="AI53" s="41">
        <f>AH53-T53-U53</f>
        <v>0</v>
      </c>
      <c r="AJ53" t="s" s="44">
        <v>0</v>
      </c>
      <c r="AK53" s="54"/>
      <c r="AL53" s="52"/>
      <c r="AM53" s="41">
        <f>AL53-Z53-AA53</f>
        <v>0</v>
      </c>
      <c r="AN53" t="s" s="44">
        <v>0</v>
      </c>
      <c r="AO53" s="54"/>
      <c r="AP53" s="52"/>
      <c r="AQ53" s="41">
        <f>AP53-Y53</f>
        <v>0</v>
      </c>
      <c r="AR53" s="51"/>
      <c r="AS53" s="55">
        <v>0</v>
      </c>
    </row>
    <row r="54" ht="54.85" customHeight="1">
      <c r="A54" t="s" s="2">
        <v>0</v>
      </c>
      <c r="B54" s="33"/>
      <c r="C54" s="34"/>
      <c r="D54" s="35"/>
      <c r="E54" s="34"/>
      <c r="F54" s="36"/>
      <c r="G54" s="34"/>
      <c r="H54" s="34"/>
      <c r="I54" t="s" s="37">
        <v>0</v>
      </c>
      <c r="J54" s="38"/>
      <c r="K54" s="39"/>
      <c r="L54" s="39"/>
      <c r="M54" s="39"/>
      <c r="N54" s="39"/>
      <c r="O54" s="39"/>
      <c r="P54" s="40">
        <f>K54-L54-O54+N54</f>
        <v>0</v>
      </c>
      <c r="Q54" s="39"/>
      <c r="R54" s="39"/>
      <c r="S54" s="40">
        <f>L54</f>
        <v>0</v>
      </c>
      <c r="T54" s="39">
        <f>P54+R54-Q54+M54</f>
        <v>0</v>
      </c>
      <c r="U54" s="39">
        <f>T54-V54-W54-X54</f>
        <v>0</v>
      </c>
      <c r="V54" s="41">
        <f>P54*0.03</f>
        <v>0</v>
      </c>
      <c r="W54" s="41">
        <f>P54*0.04</f>
        <v>0</v>
      </c>
      <c r="X54" s="41">
        <f>P54*0.05</f>
        <v>0</v>
      </c>
      <c r="Y54" s="42">
        <f>P54*0.05</f>
        <v>0</v>
      </c>
      <c r="Z54" s="39">
        <f>T54-Y54</f>
        <v>0</v>
      </c>
      <c r="AA54" s="39">
        <f>U54-Y54</f>
        <v>0</v>
      </c>
      <c r="AB54" s="43"/>
      <c r="AC54" t="s" s="37">
        <v>0</v>
      </c>
      <c r="AD54" t="s" s="37">
        <v>0</v>
      </c>
      <c r="AE54" t="s" s="37">
        <v>0</v>
      </c>
      <c r="AF54" t="s" s="44">
        <v>0</v>
      </c>
      <c r="AG54" s="45"/>
      <c r="AH54" s="39"/>
      <c r="AI54" s="41">
        <f>AH54-T54-U54</f>
        <v>0</v>
      </c>
      <c r="AJ54" t="s" s="44">
        <v>0</v>
      </c>
      <c r="AK54" s="45"/>
      <c r="AL54" s="39"/>
      <c r="AM54" s="41">
        <f>AL54-Z54-AA54</f>
        <v>0</v>
      </c>
      <c r="AN54" t="s" s="44">
        <v>0</v>
      </c>
      <c r="AO54" s="45"/>
      <c r="AP54" s="39"/>
      <c r="AQ54" s="41">
        <f>AP54-Y54</f>
        <v>0</v>
      </c>
      <c r="AR54" s="37"/>
      <c r="AS54" s="46">
        <v>0</v>
      </c>
    </row>
    <row r="55" ht="54.85" customHeight="1">
      <c r="A55" t="s" s="2">
        <v>0</v>
      </c>
      <c r="B55" s="33"/>
      <c r="C55" s="34"/>
      <c r="D55" s="35"/>
      <c r="E55" s="49"/>
      <c r="F55" s="50"/>
      <c r="G55" s="49"/>
      <c r="H55" s="49"/>
      <c r="I55" t="s" s="51">
        <v>0</v>
      </c>
      <c r="J55" s="38"/>
      <c r="K55" s="52"/>
      <c r="L55" s="52"/>
      <c r="M55" s="52"/>
      <c r="N55" s="52"/>
      <c r="O55" s="52"/>
      <c r="P55" s="40">
        <f>K55-L55-O55+N55</f>
        <v>0</v>
      </c>
      <c r="Q55" s="52"/>
      <c r="R55" s="52"/>
      <c r="S55" s="40">
        <f>L55</f>
        <v>0</v>
      </c>
      <c r="T55" s="52">
        <f>P55+R55-Q55+M55</f>
        <v>0</v>
      </c>
      <c r="U55" s="52">
        <f>T55-V55-W55-X55</f>
        <v>0</v>
      </c>
      <c r="V55" s="41">
        <f>P55*0.03</f>
        <v>0</v>
      </c>
      <c r="W55" s="41">
        <f>P55*0.04</f>
        <v>0</v>
      </c>
      <c r="X55" s="41">
        <f>P55*0.05</f>
        <v>0</v>
      </c>
      <c r="Y55" s="42">
        <f>P55*0.05</f>
        <v>0</v>
      </c>
      <c r="Z55" s="52">
        <f>T55-Y55</f>
        <v>0</v>
      </c>
      <c r="AA55" s="52">
        <f>U55-Y55</f>
        <v>0</v>
      </c>
      <c r="AB55" s="43"/>
      <c r="AC55" t="s" s="51">
        <v>0</v>
      </c>
      <c r="AD55" t="s" s="51">
        <v>0</v>
      </c>
      <c r="AE55" t="s" s="51">
        <v>0</v>
      </c>
      <c r="AF55" t="s" s="44">
        <v>0</v>
      </c>
      <c r="AG55" s="54"/>
      <c r="AH55" s="52"/>
      <c r="AI55" s="41">
        <f>AH55-T55-U55</f>
        <v>0</v>
      </c>
      <c r="AJ55" t="s" s="44">
        <v>0</v>
      </c>
      <c r="AK55" s="54"/>
      <c r="AL55" s="52"/>
      <c r="AM55" s="41">
        <f>AL55-Z55-AA55</f>
        <v>0</v>
      </c>
      <c r="AN55" t="s" s="44">
        <v>0</v>
      </c>
      <c r="AO55" s="54"/>
      <c r="AP55" s="52"/>
      <c r="AQ55" s="41">
        <f>AP55-Y55</f>
        <v>0</v>
      </c>
      <c r="AR55" s="51"/>
      <c r="AS55" s="55">
        <v>0</v>
      </c>
    </row>
    <row r="56" ht="54.85" customHeight="1">
      <c r="A56" t="s" s="2">
        <v>0</v>
      </c>
      <c r="B56" s="33"/>
      <c r="C56" s="34"/>
      <c r="D56" s="35"/>
      <c r="E56" s="34"/>
      <c r="F56" s="36"/>
      <c r="G56" s="34"/>
      <c r="H56" s="34"/>
      <c r="I56" t="s" s="37">
        <v>0</v>
      </c>
      <c r="J56" s="38"/>
      <c r="K56" s="39"/>
      <c r="L56" s="39"/>
      <c r="M56" s="39"/>
      <c r="N56" s="39"/>
      <c r="O56" s="39"/>
      <c r="P56" s="40">
        <f>K56-L56-O56+N56</f>
        <v>0</v>
      </c>
      <c r="Q56" s="39"/>
      <c r="R56" s="39"/>
      <c r="S56" s="40">
        <f>L56</f>
        <v>0</v>
      </c>
      <c r="T56" s="39">
        <f>P56+R56-Q56+M56</f>
        <v>0</v>
      </c>
      <c r="U56" s="39">
        <f>T56-V56-W56-X56</f>
        <v>0</v>
      </c>
      <c r="V56" s="41">
        <f>P56*0.03</f>
        <v>0</v>
      </c>
      <c r="W56" s="41">
        <f>P56*0.04</f>
        <v>0</v>
      </c>
      <c r="X56" s="41">
        <f>P56*0.05</f>
        <v>0</v>
      </c>
      <c r="Y56" s="42">
        <f>P56*0.05</f>
        <v>0</v>
      </c>
      <c r="Z56" s="39">
        <f>T56-Y56</f>
        <v>0</v>
      </c>
      <c r="AA56" s="39">
        <f>U56-Y56</f>
        <v>0</v>
      </c>
      <c r="AB56" s="43"/>
      <c r="AC56" t="s" s="37">
        <v>0</v>
      </c>
      <c r="AD56" t="s" s="37">
        <v>0</v>
      </c>
      <c r="AE56" t="s" s="37">
        <v>0</v>
      </c>
      <c r="AF56" t="s" s="44">
        <v>0</v>
      </c>
      <c r="AG56" s="45"/>
      <c r="AH56" s="39"/>
      <c r="AI56" s="41">
        <f>AH56-T56-U56</f>
        <v>0</v>
      </c>
      <c r="AJ56" t="s" s="44">
        <v>0</v>
      </c>
      <c r="AK56" s="45"/>
      <c r="AL56" s="39"/>
      <c r="AM56" s="41">
        <f>AL56-Z56-AA56</f>
        <v>0</v>
      </c>
      <c r="AN56" t="s" s="44">
        <v>0</v>
      </c>
      <c r="AO56" s="45"/>
      <c r="AP56" s="39"/>
      <c r="AQ56" s="41">
        <f>AP56-Y56</f>
        <v>0</v>
      </c>
      <c r="AR56" s="37"/>
      <c r="AS56" s="46">
        <v>0</v>
      </c>
    </row>
    <row r="57" ht="54.85" customHeight="1">
      <c r="A57" t="s" s="2">
        <v>0</v>
      </c>
      <c r="B57" s="33"/>
      <c r="C57" s="34"/>
      <c r="D57" s="35"/>
      <c r="E57" s="49"/>
      <c r="F57" s="50"/>
      <c r="G57" s="49"/>
      <c r="H57" s="49"/>
      <c r="I57" t="s" s="51">
        <v>0</v>
      </c>
      <c r="J57" s="38"/>
      <c r="K57" s="52"/>
      <c r="L57" s="52"/>
      <c r="M57" s="52"/>
      <c r="N57" s="52"/>
      <c r="O57" s="52"/>
      <c r="P57" s="40">
        <f>K57-L57-O57+N57</f>
        <v>0</v>
      </c>
      <c r="Q57" s="52"/>
      <c r="R57" s="52"/>
      <c r="S57" s="40">
        <f>L57</f>
        <v>0</v>
      </c>
      <c r="T57" s="52">
        <f>P57+R57-Q57+M57</f>
        <v>0</v>
      </c>
      <c r="U57" s="52">
        <f>T57-V57-W57-X57</f>
        <v>0</v>
      </c>
      <c r="V57" s="41">
        <f>P57*0.03</f>
        <v>0</v>
      </c>
      <c r="W57" s="41">
        <f>P57*0.04</f>
        <v>0</v>
      </c>
      <c r="X57" s="41">
        <f>P57*0.05</f>
        <v>0</v>
      </c>
      <c r="Y57" s="42">
        <f>P57*0.05</f>
        <v>0</v>
      </c>
      <c r="Z57" s="52">
        <f>T57-Y57</f>
        <v>0</v>
      </c>
      <c r="AA57" s="52">
        <f>U57-Y57</f>
        <v>0</v>
      </c>
      <c r="AB57" s="43"/>
      <c r="AC57" t="s" s="51">
        <v>0</v>
      </c>
      <c r="AD57" t="s" s="51">
        <v>0</v>
      </c>
      <c r="AE57" t="s" s="51">
        <v>0</v>
      </c>
      <c r="AF57" t="s" s="44">
        <v>0</v>
      </c>
      <c r="AG57" s="54"/>
      <c r="AH57" s="52"/>
      <c r="AI57" s="41">
        <f>AH57-T57-U57</f>
        <v>0</v>
      </c>
      <c r="AJ57" t="s" s="44">
        <v>0</v>
      </c>
      <c r="AK57" s="54"/>
      <c r="AL57" s="52"/>
      <c r="AM57" s="41">
        <f>AL57-Z57-AA57</f>
        <v>0</v>
      </c>
      <c r="AN57" t="s" s="44">
        <v>0</v>
      </c>
      <c r="AO57" s="54"/>
      <c r="AP57" s="52"/>
      <c r="AQ57" s="41">
        <f>AP57-Y57</f>
        <v>0</v>
      </c>
      <c r="AR57" s="51"/>
      <c r="AS57" s="55">
        <v>0</v>
      </c>
    </row>
    <row r="58" ht="54.85" customHeight="1">
      <c r="A58" t="s" s="2">
        <v>0</v>
      </c>
      <c r="B58" s="33"/>
      <c r="C58" s="34"/>
      <c r="D58" s="35"/>
      <c r="E58" s="34"/>
      <c r="F58" s="36"/>
      <c r="G58" s="34"/>
      <c r="H58" s="34"/>
      <c r="I58" t="s" s="37">
        <v>0</v>
      </c>
      <c r="J58" s="38"/>
      <c r="K58" s="39"/>
      <c r="L58" s="39"/>
      <c r="M58" s="39"/>
      <c r="N58" s="39"/>
      <c r="O58" s="39"/>
      <c r="P58" s="40">
        <f>K58-L58-O58+N58</f>
        <v>0</v>
      </c>
      <c r="Q58" s="39"/>
      <c r="R58" s="39"/>
      <c r="S58" s="40">
        <f>L58</f>
        <v>0</v>
      </c>
      <c r="T58" s="39">
        <f>P58+R58-Q58+M58</f>
        <v>0</v>
      </c>
      <c r="U58" s="39">
        <f>T58-V58-W58-X58</f>
        <v>0</v>
      </c>
      <c r="V58" s="41">
        <f>P58*0.03</f>
        <v>0</v>
      </c>
      <c r="W58" s="41">
        <f>P58*0.04</f>
        <v>0</v>
      </c>
      <c r="X58" s="41">
        <f>P58*0.05</f>
        <v>0</v>
      </c>
      <c r="Y58" s="42">
        <f>P58*0.05</f>
        <v>0</v>
      </c>
      <c r="Z58" s="39">
        <f>T58-Y58</f>
        <v>0</v>
      </c>
      <c r="AA58" s="39">
        <f>U58-Y58</f>
        <v>0</v>
      </c>
      <c r="AB58" s="43"/>
      <c r="AC58" t="s" s="37">
        <v>0</v>
      </c>
      <c r="AD58" t="s" s="37">
        <v>0</v>
      </c>
      <c r="AE58" t="s" s="37">
        <v>0</v>
      </c>
      <c r="AF58" t="s" s="44">
        <v>0</v>
      </c>
      <c r="AG58" s="45"/>
      <c r="AH58" s="39"/>
      <c r="AI58" s="41">
        <f>AH58-T58-U58</f>
        <v>0</v>
      </c>
      <c r="AJ58" t="s" s="44">
        <v>0</v>
      </c>
      <c r="AK58" s="45"/>
      <c r="AL58" s="39"/>
      <c r="AM58" s="41">
        <f>AL58-Z58-AA58</f>
        <v>0</v>
      </c>
      <c r="AN58" t="s" s="44">
        <v>0</v>
      </c>
      <c r="AO58" s="45"/>
      <c r="AP58" s="39"/>
      <c r="AQ58" s="41">
        <f>AP58-Y58</f>
        <v>0</v>
      </c>
      <c r="AR58" s="37"/>
      <c r="AS58" s="46">
        <v>0</v>
      </c>
    </row>
    <row r="59" ht="54.85" customHeight="1">
      <c r="A59" t="s" s="2">
        <v>0</v>
      </c>
      <c r="B59" s="33"/>
      <c r="C59" s="34"/>
      <c r="D59" s="35"/>
      <c r="E59" s="49"/>
      <c r="F59" s="50"/>
      <c r="G59" s="49"/>
      <c r="H59" s="49"/>
      <c r="I59" t="s" s="51">
        <v>0</v>
      </c>
      <c r="J59" s="38"/>
      <c r="K59" s="52"/>
      <c r="L59" s="52"/>
      <c r="M59" s="52"/>
      <c r="N59" s="52"/>
      <c r="O59" s="52"/>
      <c r="P59" s="40">
        <f>K59-L59-O59+N59</f>
        <v>0</v>
      </c>
      <c r="Q59" s="52"/>
      <c r="R59" s="52"/>
      <c r="S59" s="40">
        <f>L59</f>
        <v>0</v>
      </c>
      <c r="T59" s="52">
        <f>P59+R59-Q59+M59</f>
        <v>0</v>
      </c>
      <c r="U59" s="52">
        <f>T59-V59-W59-X59</f>
        <v>0</v>
      </c>
      <c r="V59" s="41">
        <f>P59*0.03</f>
        <v>0</v>
      </c>
      <c r="W59" s="41">
        <f>P59*0.04</f>
        <v>0</v>
      </c>
      <c r="X59" s="41">
        <f>P59*0.05</f>
        <v>0</v>
      </c>
      <c r="Y59" s="42">
        <f>P59*0.05</f>
        <v>0</v>
      </c>
      <c r="Z59" s="52">
        <f>T59-Y59</f>
        <v>0</v>
      </c>
      <c r="AA59" s="52">
        <f>U59-Y59</f>
        <v>0</v>
      </c>
      <c r="AB59" s="43"/>
      <c r="AC59" t="s" s="51">
        <v>0</v>
      </c>
      <c r="AD59" t="s" s="51">
        <v>0</v>
      </c>
      <c r="AE59" t="s" s="51">
        <v>0</v>
      </c>
      <c r="AF59" t="s" s="44">
        <v>0</v>
      </c>
      <c r="AG59" s="54"/>
      <c r="AH59" s="52"/>
      <c r="AI59" s="41">
        <f>AH59-T59-U59</f>
        <v>0</v>
      </c>
      <c r="AJ59" t="s" s="44">
        <v>0</v>
      </c>
      <c r="AK59" s="54"/>
      <c r="AL59" s="52"/>
      <c r="AM59" s="41">
        <f>AL59-Z59-AA59</f>
        <v>0</v>
      </c>
      <c r="AN59" t="s" s="44">
        <v>0</v>
      </c>
      <c r="AO59" s="54"/>
      <c r="AP59" s="52"/>
      <c r="AQ59" s="41">
        <f>AP59-Y59</f>
        <v>0</v>
      </c>
      <c r="AR59" s="51"/>
      <c r="AS59" s="55">
        <v>0</v>
      </c>
    </row>
    <row r="60" ht="54.85" customHeight="1">
      <c r="A60" t="s" s="2">
        <v>0</v>
      </c>
      <c r="B60" s="33"/>
      <c r="C60" s="34"/>
      <c r="D60" s="35"/>
      <c r="E60" s="34"/>
      <c r="F60" s="36"/>
      <c r="G60" s="34"/>
      <c r="H60" s="34"/>
      <c r="I60" t="s" s="37">
        <v>0</v>
      </c>
      <c r="J60" s="38"/>
      <c r="K60" s="39"/>
      <c r="L60" s="39"/>
      <c r="M60" s="39"/>
      <c r="N60" s="39"/>
      <c r="O60" s="39"/>
      <c r="P60" s="40">
        <f>K60-L60-O60+N60</f>
        <v>0</v>
      </c>
      <c r="Q60" s="39"/>
      <c r="R60" s="39"/>
      <c r="S60" s="40">
        <f>L60</f>
        <v>0</v>
      </c>
      <c r="T60" s="39">
        <f>P60+R60-Q60+M60</f>
        <v>0</v>
      </c>
      <c r="U60" s="39">
        <f>T60-V60-W60-X60</f>
        <v>0</v>
      </c>
      <c r="V60" s="41">
        <f>P60*0.03</f>
        <v>0</v>
      </c>
      <c r="W60" s="41">
        <f>P60*0.04</f>
        <v>0</v>
      </c>
      <c r="X60" s="41">
        <f>P60*0.05</f>
        <v>0</v>
      </c>
      <c r="Y60" s="42">
        <f>P60*0.05</f>
        <v>0</v>
      </c>
      <c r="Z60" s="39">
        <f>T60-Y60</f>
        <v>0</v>
      </c>
      <c r="AA60" s="39">
        <f>U60-Y60</f>
        <v>0</v>
      </c>
      <c r="AB60" s="43"/>
      <c r="AC60" t="s" s="37">
        <v>0</v>
      </c>
      <c r="AD60" t="s" s="37">
        <v>0</v>
      </c>
      <c r="AE60" t="s" s="37">
        <v>0</v>
      </c>
      <c r="AF60" t="s" s="44">
        <v>0</v>
      </c>
      <c r="AG60" s="45"/>
      <c r="AH60" s="39"/>
      <c r="AI60" s="41">
        <f>AH60-T60-U60</f>
        <v>0</v>
      </c>
      <c r="AJ60" t="s" s="44">
        <v>0</v>
      </c>
      <c r="AK60" s="45"/>
      <c r="AL60" s="39"/>
      <c r="AM60" s="41">
        <f>AL60-Z60-AA60</f>
        <v>0</v>
      </c>
      <c r="AN60" t="s" s="44">
        <v>0</v>
      </c>
      <c r="AO60" s="45"/>
      <c r="AP60" s="39"/>
      <c r="AQ60" s="41">
        <f>AP60-Y60</f>
        <v>0</v>
      </c>
      <c r="AR60" s="37"/>
      <c r="AS60" s="46">
        <v>0</v>
      </c>
    </row>
    <row r="61" ht="54.85" customHeight="1">
      <c r="A61" t="s" s="2">
        <v>0</v>
      </c>
      <c r="B61" s="33"/>
      <c r="C61" s="34"/>
      <c r="D61" s="35"/>
      <c r="E61" s="49"/>
      <c r="F61" s="50"/>
      <c r="G61" s="49"/>
      <c r="H61" s="49"/>
      <c r="I61" t="s" s="51">
        <v>0</v>
      </c>
      <c r="J61" s="38"/>
      <c r="K61" s="52"/>
      <c r="L61" s="52"/>
      <c r="M61" s="52"/>
      <c r="N61" s="52"/>
      <c r="O61" s="52"/>
      <c r="P61" s="40">
        <f>K61-L61-O61+N61</f>
        <v>0</v>
      </c>
      <c r="Q61" s="52"/>
      <c r="R61" s="52"/>
      <c r="S61" s="40">
        <f>L61</f>
        <v>0</v>
      </c>
      <c r="T61" s="52">
        <f>P61+R61-Q61+M61</f>
        <v>0</v>
      </c>
      <c r="U61" s="52">
        <f>T61-V61-W61-X61</f>
        <v>0</v>
      </c>
      <c r="V61" s="41">
        <f>P61*0.03</f>
        <v>0</v>
      </c>
      <c r="W61" s="41">
        <f>P61*0.04</f>
        <v>0</v>
      </c>
      <c r="X61" s="41">
        <f>P61*0.05</f>
        <v>0</v>
      </c>
      <c r="Y61" s="42">
        <f>P61*0.05</f>
        <v>0</v>
      </c>
      <c r="Z61" s="52">
        <f>T61-Y61</f>
        <v>0</v>
      </c>
      <c r="AA61" s="52">
        <f>U61-Y61</f>
        <v>0</v>
      </c>
      <c r="AB61" s="43"/>
      <c r="AC61" t="s" s="51">
        <v>0</v>
      </c>
      <c r="AD61" t="s" s="51">
        <v>0</v>
      </c>
      <c r="AE61" t="s" s="51">
        <v>0</v>
      </c>
      <c r="AF61" t="s" s="44">
        <v>0</v>
      </c>
      <c r="AG61" s="54"/>
      <c r="AH61" s="52"/>
      <c r="AI61" s="41">
        <f>AH61-T61-U61</f>
        <v>0</v>
      </c>
      <c r="AJ61" t="s" s="44">
        <v>0</v>
      </c>
      <c r="AK61" s="54"/>
      <c r="AL61" s="52"/>
      <c r="AM61" s="41">
        <f>AL61-Z61-AA61</f>
        <v>0</v>
      </c>
      <c r="AN61" t="s" s="44">
        <v>0</v>
      </c>
      <c r="AO61" s="54"/>
      <c r="AP61" s="52"/>
      <c r="AQ61" s="41">
        <f>AP61-Y61</f>
        <v>0</v>
      </c>
      <c r="AR61" s="51"/>
      <c r="AS61" s="55">
        <v>0</v>
      </c>
    </row>
    <row r="62" ht="54.85" customHeight="1">
      <c r="A62" t="s" s="2">
        <v>0</v>
      </c>
      <c r="B62" s="33"/>
      <c r="C62" s="34"/>
      <c r="D62" s="35"/>
      <c r="E62" s="34"/>
      <c r="F62" s="36"/>
      <c r="G62" s="34"/>
      <c r="H62" s="34"/>
      <c r="I62" t="s" s="37">
        <v>0</v>
      </c>
      <c r="J62" s="38"/>
      <c r="K62" s="39"/>
      <c r="L62" s="39"/>
      <c r="M62" s="39"/>
      <c r="N62" s="39"/>
      <c r="O62" s="39"/>
      <c r="P62" s="40">
        <f>K62-L62-O62+N62</f>
        <v>0</v>
      </c>
      <c r="Q62" s="39"/>
      <c r="R62" s="39"/>
      <c r="S62" s="40">
        <f>L62</f>
        <v>0</v>
      </c>
      <c r="T62" s="39">
        <f>P62+R62-Q62+M62</f>
        <v>0</v>
      </c>
      <c r="U62" s="39">
        <f>T62-V62-W62-X62</f>
        <v>0</v>
      </c>
      <c r="V62" s="41">
        <f>P62*0.03</f>
        <v>0</v>
      </c>
      <c r="W62" s="41">
        <f>P62*0.04</f>
        <v>0</v>
      </c>
      <c r="X62" s="41">
        <f>P62*0.05</f>
        <v>0</v>
      </c>
      <c r="Y62" s="42">
        <f>P62*0.05</f>
        <v>0</v>
      </c>
      <c r="Z62" s="39">
        <f>T62-Y62</f>
        <v>0</v>
      </c>
      <c r="AA62" s="39">
        <f>U62-Y62</f>
        <v>0</v>
      </c>
      <c r="AB62" s="43"/>
      <c r="AC62" t="s" s="37">
        <v>0</v>
      </c>
      <c r="AD62" t="s" s="37">
        <v>0</v>
      </c>
      <c r="AE62" t="s" s="37">
        <v>0</v>
      </c>
      <c r="AF62" t="s" s="44">
        <v>0</v>
      </c>
      <c r="AG62" s="45"/>
      <c r="AH62" s="39"/>
      <c r="AI62" s="41">
        <f>AH62-T62-U62</f>
        <v>0</v>
      </c>
      <c r="AJ62" t="s" s="44">
        <v>0</v>
      </c>
      <c r="AK62" s="45"/>
      <c r="AL62" s="39"/>
      <c r="AM62" s="41">
        <f>AL62-Z62-AA62</f>
        <v>0</v>
      </c>
      <c r="AN62" t="s" s="44">
        <v>0</v>
      </c>
      <c r="AO62" s="45"/>
      <c r="AP62" s="39"/>
      <c r="AQ62" s="41">
        <f>AP62-Y62</f>
        <v>0</v>
      </c>
      <c r="AR62" s="37"/>
      <c r="AS62" s="46">
        <v>0</v>
      </c>
    </row>
    <row r="63" ht="54.85" customHeight="1">
      <c r="A63" t="s" s="2">
        <v>0</v>
      </c>
      <c r="B63" s="33"/>
      <c r="C63" s="34"/>
      <c r="D63" s="35"/>
      <c r="E63" s="49"/>
      <c r="F63" s="50"/>
      <c r="G63" s="49"/>
      <c r="H63" s="49"/>
      <c r="I63" t="s" s="51">
        <v>0</v>
      </c>
      <c r="J63" s="38"/>
      <c r="K63" s="52"/>
      <c r="L63" s="52"/>
      <c r="M63" s="52"/>
      <c r="N63" s="52"/>
      <c r="O63" s="52"/>
      <c r="P63" s="40">
        <f>K63-L63-O63+N63</f>
        <v>0</v>
      </c>
      <c r="Q63" s="52"/>
      <c r="R63" s="52"/>
      <c r="S63" s="40">
        <f>L63</f>
        <v>0</v>
      </c>
      <c r="T63" s="52">
        <f>P63+R63-Q63+M63</f>
        <v>0</v>
      </c>
      <c r="U63" s="52">
        <f>T63-V63-W63-X63</f>
        <v>0</v>
      </c>
      <c r="V63" s="41">
        <f>P63*0.03</f>
        <v>0</v>
      </c>
      <c r="W63" s="41">
        <f>P63*0.04</f>
        <v>0</v>
      </c>
      <c r="X63" s="41">
        <f>P63*0.05</f>
        <v>0</v>
      </c>
      <c r="Y63" s="42">
        <f>P63*0.05</f>
        <v>0</v>
      </c>
      <c r="Z63" s="52">
        <f>T63-Y63</f>
        <v>0</v>
      </c>
      <c r="AA63" s="52">
        <f>U63-Y63</f>
        <v>0</v>
      </c>
      <c r="AB63" s="43"/>
      <c r="AC63" t="s" s="51">
        <v>0</v>
      </c>
      <c r="AD63" t="s" s="51">
        <v>0</v>
      </c>
      <c r="AE63" t="s" s="51">
        <v>0</v>
      </c>
      <c r="AF63" t="s" s="44">
        <v>0</v>
      </c>
      <c r="AG63" s="54"/>
      <c r="AH63" s="52"/>
      <c r="AI63" s="41">
        <f>AH63-T63-U63</f>
        <v>0</v>
      </c>
      <c r="AJ63" t="s" s="44">
        <v>0</v>
      </c>
      <c r="AK63" s="54"/>
      <c r="AL63" s="52"/>
      <c r="AM63" s="41">
        <f>AL63-Z63-AA63</f>
        <v>0</v>
      </c>
      <c r="AN63" t="s" s="44">
        <v>0</v>
      </c>
      <c r="AO63" s="54"/>
      <c r="AP63" s="52"/>
      <c r="AQ63" s="41">
        <f>AP63-Y63</f>
        <v>0</v>
      </c>
      <c r="AR63" s="51"/>
      <c r="AS63" s="55">
        <v>0</v>
      </c>
    </row>
    <row r="64" ht="54.85" customHeight="1">
      <c r="A64" t="s" s="2">
        <v>0</v>
      </c>
      <c r="B64" s="33"/>
      <c r="C64" s="34"/>
      <c r="D64" s="35"/>
      <c r="E64" s="34"/>
      <c r="F64" s="36"/>
      <c r="G64" s="34"/>
      <c r="H64" s="34"/>
      <c r="I64" t="s" s="37">
        <v>0</v>
      </c>
      <c r="J64" s="38"/>
      <c r="K64" s="39"/>
      <c r="L64" s="39"/>
      <c r="M64" s="39"/>
      <c r="N64" s="39"/>
      <c r="O64" s="39"/>
      <c r="P64" s="40">
        <f>K64-L64-O64+N64</f>
        <v>0</v>
      </c>
      <c r="Q64" s="39"/>
      <c r="R64" s="39"/>
      <c r="S64" s="40">
        <f>L64</f>
        <v>0</v>
      </c>
      <c r="T64" s="39">
        <f>P64+R64-Q64+M64</f>
        <v>0</v>
      </c>
      <c r="U64" s="39">
        <f>T64-V64-W64-X64</f>
        <v>0</v>
      </c>
      <c r="V64" s="41">
        <f>P64*0.03</f>
        <v>0</v>
      </c>
      <c r="W64" s="41">
        <f>P64*0.04</f>
        <v>0</v>
      </c>
      <c r="X64" s="41">
        <f>P64*0.05</f>
        <v>0</v>
      </c>
      <c r="Y64" s="42">
        <f>P64*0.05</f>
        <v>0</v>
      </c>
      <c r="Z64" s="39">
        <f>T64-Y64</f>
        <v>0</v>
      </c>
      <c r="AA64" s="39">
        <f>U64-Y64</f>
        <v>0</v>
      </c>
      <c r="AB64" s="43"/>
      <c r="AC64" t="s" s="37">
        <v>0</v>
      </c>
      <c r="AD64" t="s" s="37">
        <v>0</v>
      </c>
      <c r="AE64" t="s" s="37">
        <v>0</v>
      </c>
      <c r="AF64" t="s" s="44">
        <v>0</v>
      </c>
      <c r="AG64" s="45"/>
      <c r="AH64" s="39"/>
      <c r="AI64" s="41">
        <f>AH64-T64-U64</f>
        <v>0</v>
      </c>
      <c r="AJ64" t="s" s="44">
        <v>0</v>
      </c>
      <c r="AK64" s="45"/>
      <c r="AL64" s="39"/>
      <c r="AM64" s="41">
        <f>AL64-Z64-AA64</f>
        <v>0</v>
      </c>
      <c r="AN64" t="s" s="44">
        <v>0</v>
      </c>
      <c r="AO64" s="45"/>
      <c r="AP64" s="39"/>
      <c r="AQ64" s="41">
        <f>AP64-Y64</f>
        <v>0</v>
      </c>
      <c r="AR64" s="37"/>
      <c r="AS64" s="46">
        <v>0</v>
      </c>
    </row>
    <row r="65" ht="54.85" customHeight="1">
      <c r="A65" t="s" s="2">
        <v>0</v>
      </c>
      <c r="B65" s="33"/>
      <c r="C65" s="34"/>
      <c r="D65" s="35"/>
      <c r="E65" s="49"/>
      <c r="F65" s="50"/>
      <c r="G65" s="49"/>
      <c r="H65" s="49"/>
      <c r="I65" t="s" s="51">
        <v>0</v>
      </c>
      <c r="J65" s="38"/>
      <c r="K65" s="52"/>
      <c r="L65" s="52"/>
      <c r="M65" s="52"/>
      <c r="N65" s="52"/>
      <c r="O65" s="52"/>
      <c r="P65" s="40">
        <f>K65-L65-O65+N65</f>
        <v>0</v>
      </c>
      <c r="Q65" s="52"/>
      <c r="R65" s="52"/>
      <c r="S65" s="40">
        <f>L65</f>
        <v>0</v>
      </c>
      <c r="T65" s="52">
        <f>P65+R65-Q65+M65</f>
        <v>0</v>
      </c>
      <c r="U65" s="52">
        <f>T65-V65-W65-X65</f>
        <v>0</v>
      </c>
      <c r="V65" s="41">
        <f>P65*0.03</f>
        <v>0</v>
      </c>
      <c r="W65" s="41">
        <f>P65*0.04</f>
        <v>0</v>
      </c>
      <c r="X65" s="41">
        <f>P65*0.05</f>
        <v>0</v>
      </c>
      <c r="Y65" s="42">
        <f>P65*0.05</f>
        <v>0</v>
      </c>
      <c r="Z65" s="52">
        <f>T65-Y65</f>
        <v>0</v>
      </c>
      <c r="AA65" s="52">
        <f>U65-Y65</f>
        <v>0</v>
      </c>
      <c r="AB65" s="43"/>
      <c r="AC65" t="s" s="51">
        <v>0</v>
      </c>
      <c r="AD65" t="s" s="51">
        <v>0</v>
      </c>
      <c r="AE65" t="s" s="51">
        <v>0</v>
      </c>
      <c r="AF65" t="s" s="44">
        <v>0</v>
      </c>
      <c r="AG65" s="54"/>
      <c r="AH65" s="52"/>
      <c r="AI65" s="41">
        <f>AH65-T65-U65</f>
        <v>0</v>
      </c>
      <c r="AJ65" t="s" s="44">
        <v>0</v>
      </c>
      <c r="AK65" s="54"/>
      <c r="AL65" s="52"/>
      <c r="AM65" s="41">
        <f>AL65-Z65-AA65</f>
        <v>0</v>
      </c>
      <c r="AN65" t="s" s="44">
        <v>0</v>
      </c>
      <c r="AO65" s="54"/>
      <c r="AP65" s="52"/>
      <c r="AQ65" s="41">
        <f>AP65-Y65</f>
        <v>0</v>
      </c>
      <c r="AR65" s="51"/>
      <c r="AS65" s="55">
        <v>0</v>
      </c>
    </row>
    <row r="66" ht="54.85" customHeight="1">
      <c r="A66" t="s" s="2">
        <v>0</v>
      </c>
      <c r="B66" s="33"/>
      <c r="C66" s="34"/>
      <c r="D66" s="35"/>
      <c r="E66" s="34"/>
      <c r="F66" s="36"/>
      <c r="G66" s="34"/>
      <c r="H66" s="34"/>
      <c r="I66" t="s" s="37">
        <v>0</v>
      </c>
      <c r="J66" s="38"/>
      <c r="K66" s="39"/>
      <c r="L66" s="39"/>
      <c r="M66" s="39"/>
      <c r="N66" s="39"/>
      <c r="O66" s="39"/>
      <c r="P66" s="40">
        <f>K66-L66-O66+N66</f>
        <v>0</v>
      </c>
      <c r="Q66" s="39"/>
      <c r="R66" s="39"/>
      <c r="S66" s="40">
        <f>L66</f>
        <v>0</v>
      </c>
      <c r="T66" s="39">
        <f>P66+R66-Q66+M66</f>
        <v>0</v>
      </c>
      <c r="U66" s="39">
        <f>T66-V66-W66-X66</f>
        <v>0</v>
      </c>
      <c r="V66" s="41">
        <f>P66*0.03</f>
        <v>0</v>
      </c>
      <c r="W66" s="41">
        <f>P66*0.04</f>
        <v>0</v>
      </c>
      <c r="X66" s="41">
        <f>P66*0.05</f>
        <v>0</v>
      </c>
      <c r="Y66" s="42">
        <f>P66*0.05</f>
        <v>0</v>
      </c>
      <c r="Z66" s="39">
        <f>T66-Y66</f>
        <v>0</v>
      </c>
      <c r="AA66" s="39">
        <f>U66-Y66</f>
        <v>0</v>
      </c>
      <c r="AB66" s="43"/>
      <c r="AC66" t="s" s="37">
        <v>0</v>
      </c>
      <c r="AD66" t="s" s="37">
        <v>0</v>
      </c>
      <c r="AE66" t="s" s="37">
        <v>0</v>
      </c>
      <c r="AF66" t="s" s="44">
        <v>0</v>
      </c>
      <c r="AG66" s="45"/>
      <c r="AH66" s="39"/>
      <c r="AI66" s="41">
        <f>AH66-T66-U66</f>
        <v>0</v>
      </c>
      <c r="AJ66" t="s" s="44">
        <v>0</v>
      </c>
      <c r="AK66" s="45"/>
      <c r="AL66" s="39"/>
      <c r="AM66" s="41">
        <f>AL66-Z66-AA66</f>
        <v>0</v>
      </c>
      <c r="AN66" t="s" s="44">
        <v>0</v>
      </c>
      <c r="AO66" s="45"/>
      <c r="AP66" s="39"/>
      <c r="AQ66" s="41">
        <f>AP66-Y66</f>
        <v>0</v>
      </c>
      <c r="AR66" s="37"/>
      <c r="AS66" s="46">
        <v>0</v>
      </c>
    </row>
    <row r="67" ht="54.85" customHeight="1">
      <c r="A67" t="s" s="2">
        <v>0</v>
      </c>
      <c r="B67" s="33"/>
      <c r="C67" s="34"/>
      <c r="D67" s="35"/>
      <c r="E67" s="49"/>
      <c r="F67" s="50"/>
      <c r="G67" s="49"/>
      <c r="H67" s="49"/>
      <c r="I67" t="s" s="51">
        <v>0</v>
      </c>
      <c r="J67" s="38"/>
      <c r="K67" s="52"/>
      <c r="L67" s="52"/>
      <c r="M67" s="52"/>
      <c r="N67" s="52"/>
      <c r="O67" s="52"/>
      <c r="P67" s="40">
        <f>K67-L67-O67+N67</f>
        <v>0</v>
      </c>
      <c r="Q67" s="52"/>
      <c r="R67" s="52"/>
      <c r="S67" s="40">
        <f>L67</f>
        <v>0</v>
      </c>
      <c r="T67" s="52">
        <f>P67+R67-Q67+M67</f>
        <v>0</v>
      </c>
      <c r="U67" s="52">
        <f>T67-V67-W67-X67</f>
        <v>0</v>
      </c>
      <c r="V67" s="41">
        <f>P67*0.03</f>
        <v>0</v>
      </c>
      <c r="W67" s="41">
        <f>P67*0.04</f>
        <v>0</v>
      </c>
      <c r="X67" s="41">
        <f>P67*0.05</f>
        <v>0</v>
      </c>
      <c r="Y67" s="42">
        <f>P67*0.05</f>
        <v>0</v>
      </c>
      <c r="Z67" s="52">
        <f>T67-Y67</f>
        <v>0</v>
      </c>
      <c r="AA67" s="52">
        <f>U67-Y67</f>
        <v>0</v>
      </c>
      <c r="AB67" s="43"/>
      <c r="AC67" t="s" s="51">
        <v>0</v>
      </c>
      <c r="AD67" t="s" s="51">
        <v>0</v>
      </c>
      <c r="AE67" t="s" s="51">
        <v>0</v>
      </c>
      <c r="AF67" t="s" s="44">
        <v>0</v>
      </c>
      <c r="AG67" s="54"/>
      <c r="AH67" s="52"/>
      <c r="AI67" s="41">
        <f>AH67-T67-U67</f>
        <v>0</v>
      </c>
      <c r="AJ67" t="s" s="44">
        <v>0</v>
      </c>
      <c r="AK67" s="54"/>
      <c r="AL67" s="52"/>
      <c r="AM67" s="41">
        <f>AL67-Z67-AA67</f>
        <v>0</v>
      </c>
      <c r="AN67" t="s" s="44">
        <v>0</v>
      </c>
      <c r="AO67" s="54"/>
      <c r="AP67" s="52"/>
      <c r="AQ67" s="41">
        <f>AP67-Y67</f>
        <v>0</v>
      </c>
      <c r="AR67" s="51"/>
      <c r="AS67" s="55">
        <v>0</v>
      </c>
    </row>
    <row r="68" ht="54.85" customHeight="1">
      <c r="A68" t="s" s="2">
        <v>0</v>
      </c>
      <c r="B68" s="33"/>
      <c r="C68" s="34"/>
      <c r="D68" s="35"/>
      <c r="E68" s="34"/>
      <c r="F68" s="36"/>
      <c r="G68" s="34"/>
      <c r="H68" s="34"/>
      <c r="I68" t="s" s="37">
        <v>0</v>
      </c>
      <c r="J68" s="38"/>
      <c r="K68" s="39"/>
      <c r="L68" s="39"/>
      <c r="M68" s="39"/>
      <c r="N68" s="39"/>
      <c r="O68" s="39"/>
      <c r="P68" s="40">
        <f>K68-L68-O68+N68</f>
        <v>0</v>
      </c>
      <c r="Q68" s="39"/>
      <c r="R68" s="39"/>
      <c r="S68" s="40">
        <f>L68</f>
        <v>0</v>
      </c>
      <c r="T68" s="39">
        <f>P68+R68-Q68+M68</f>
        <v>0</v>
      </c>
      <c r="U68" s="39">
        <f>T68-V68-W68-X68</f>
        <v>0</v>
      </c>
      <c r="V68" s="41">
        <f>P68*0.03</f>
        <v>0</v>
      </c>
      <c r="W68" s="41">
        <f>P68*0.04</f>
        <v>0</v>
      </c>
      <c r="X68" s="41">
        <f>P68*0.05</f>
        <v>0</v>
      </c>
      <c r="Y68" s="42">
        <f>P68*0.05</f>
        <v>0</v>
      </c>
      <c r="Z68" s="39">
        <f>T68-Y68</f>
        <v>0</v>
      </c>
      <c r="AA68" s="39">
        <f>U68-Y68</f>
        <v>0</v>
      </c>
      <c r="AB68" s="43"/>
      <c r="AC68" t="s" s="37">
        <v>0</v>
      </c>
      <c r="AD68" t="s" s="37">
        <v>0</v>
      </c>
      <c r="AE68" t="s" s="37">
        <v>0</v>
      </c>
      <c r="AF68" t="s" s="44">
        <v>0</v>
      </c>
      <c r="AG68" s="45"/>
      <c r="AH68" s="39"/>
      <c r="AI68" s="41">
        <f>AH68-T68-U68</f>
        <v>0</v>
      </c>
      <c r="AJ68" t="s" s="44">
        <v>0</v>
      </c>
      <c r="AK68" s="45"/>
      <c r="AL68" s="39"/>
      <c r="AM68" s="41">
        <f>AL68-Z68-AA68</f>
        <v>0</v>
      </c>
      <c r="AN68" t="s" s="44">
        <v>0</v>
      </c>
      <c r="AO68" s="45"/>
      <c r="AP68" s="39"/>
      <c r="AQ68" s="41">
        <f>AP68-Y68</f>
        <v>0</v>
      </c>
      <c r="AR68" s="37"/>
      <c r="AS68" s="46">
        <v>0</v>
      </c>
    </row>
    <row r="69" ht="54.85" customHeight="1">
      <c r="A69" t="s" s="2">
        <v>0</v>
      </c>
      <c r="B69" s="33"/>
      <c r="C69" s="34"/>
      <c r="D69" s="35"/>
      <c r="E69" s="49"/>
      <c r="F69" s="50"/>
      <c r="G69" s="49"/>
      <c r="H69" s="49"/>
      <c r="I69" t="s" s="51">
        <v>0</v>
      </c>
      <c r="J69" s="38"/>
      <c r="K69" s="52"/>
      <c r="L69" s="52"/>
      <c r="M69" s="52"/>
      <c r="N69" s="52"/>
      <c r="O69" s="52"/>
      <c r="P69" s="40">
        <f>K69-L69-O69+N69</f>
        <v>0</v>
      </c>
      <c r="Q69" s="52"/>
      <c r="R69" s="52"/>
      <c r="S69" s="40">
        <f>L69</f>
        <v>0</v>
      </c>
      <c r="T69" s="52">
        <f>P69+R69-Q69+M69</f>
        <v>0</v>
      </c>
      <c r="U69" s="52">
        <f>T69-V69-W69-X69</f>
        <v>0</v>
      </c>
      <c r="V69" s="41">
        <f>P69*0.03</f>
        <v>0</v>
      </c>
      <c r="W69" s="41">
        <f>P69*0.04</f>
        <v>0</v>
      </c>
      <c r="X69" s="41">
        <f>P69*0.05</f>
        <v>0</v>
      </c>
      <c r="Y69" s="42">
        <f>P69*0.05</f>
        <v>0</v>
      </c>
      <c r="Z69" s="52">
        <f>T69-Y69</f>
        <v>0</v>
      </c>
      <c r="AA69" s="52">
        <f>U69-Y69</f>
        <v>0</v>
      </c>
      <c r="AB69" s="43"/>
      <c r="AC69" t="s" s="51">
        <v>0</v>
      </c>
      <c r="AD69" t="s" s="51">
        <v>0</v>
      </c>
      <c r="AE69" t="s" s="51">
        <v>0</v>
      </c>
      <c r="AF69" t="s" s="44">
        <v>0</v>
      </c>
      <c r="AG69" s="54"/>
      <c r="AH69" s="52"/>
      <c r="AI69" s="41">
        <f>AH69-T69-U69</f>
        <v>0</v>
      </c>
      <c r="AJ69" t="s" s="44">
        <v>0</v>
      </c>
      <c r="AK69" s="54"/>
      <c r="AL69" s="52"/>
      <c r="AM69" s="41">
        <f>AL69-Z69-AA69</f>
        <v>0</v>
      </c>
      <c r="AN69" t="s" s="44">
        <v>0</v>
      </c>
      <c r="AO69" s="54"/>
      <c r="AP69" s="52"/>
      <c r="AQ69" s="41">
        <f>AP69-Y69</f>
        <v>0</v>
      </c>
      <c r="AR69" s="51"/>
      <c r="AS69" s="55">
        <v>0</v>
      </c>
    </row>
    <row r="70" ht="54.85" customHeight="1">
      <c r="A70" t="s" s="2">
        <v>0</v>
      </c>
      <c r="B70" s="33"/>
      <c r="C70" s="34"/>
      <c r="D70" s="35"/>
      <c r="E70" s="34"/>
      <c r="F70" s="36"/>
      <c r="G70" s="34"/>
      <c r="H70" s="34"/>
      <c r="I70" t="s" s="37">
        <v>0</v>
      </c>
      <c r="J70" s="38"/>
      <c r="K70" s="39"/>
      <c r="L70" s="39"/>
      <c r="M70" s="39"/>
      <c r="N70" s="39"/>
      <c r="O70" s="39"/>
      <c r="P70" s="40">
        <f>K70-L70-O70+N70</f>
        <v>0</v>
      </c>
      <c r="Q70" s="39"/>
      <c r="R70" s="39"/>
      <c r="S70" s="40">
        <f>L70</f>
        <v>0</v>
      </c>
      <c r="T70" s="39">
        <f>P70+R70-Q70+M70</f>
        <v>0</v>
      </c>
      <c r="U70" s="39">
        <f>T70-V70-W70-X70</f>
        <v>0</v>
      </c>
      <c r="V70" s="41">
        <f>P70*0.03</f>
        <v>0</v>
      </c>
      <c r="W70" s="41">
        <f>P70*0.04</f>
        <v>0</v>
      </c>
      <c r="X70" s="41">
        <f>P70*0.05</f>
        <v>0</v>
      </c>
      <c r="Y70" s="42">
        <f>P70*0.05</f>
        <v>0</v>
      </c>
      <c r="Z70" s="39">
        <f>T70-Y70</f>
        <v>0</v>
      </c>
      <c r="AA70" s="39">
        <f>U70-Y70</f>
        <v>0</v>
      </c>
      <c r="AB70" s="43"/>
      <c r="AC70" t="s" s="37">
        <v>0</v>
      </c>
      <c r="AD70" t="s" s="37">
        <v>0</v>
      </c>
      <c r="AE70" t="s" s="37">
        <v>0</v>
      </c>
      <c r="AF70" t="s" s="44">
        <v>0</v>
      </c>
      <c r="AG70" s="45"/>
      <c r="AH70" s="39"/>
      <c r="AI70" s="41">
        <f>AH70-T70-U70</f>
        <v>0</v>
      </c>
      <c r="AJ70" t="s" s="44">
        <v>0</v>
      </c>
      <c r="AK70" s="45"/>
      <c r="AL70" s="39"/>
      <c r="AM70" s="41">
        <f>AL70-Z70-AA70</f>
        <v>0</v>
      </c>
      <c r="AN70" t="s" s="44">
        <v>0</v>
      </c>
      <c r="AO70" s="45"/>
      <c r="AP70" s="39"/>
      <c r="AQ70" s="41">
        <f>AP70-Y70</f>
        <v>0</v>
      </c>
      <c r="AR70" s="37"/>
      <c r="AS70" s="46">
        <v>0</v>
      </c>
    </row>
    <row r="71" ht="54.85" customHeight="1">
      <c r="A71" t="s" s="2">
        <v>0</v>
      </c>
      <c r="B71" s="33"/>
      <c r="C71" s="34"/>
      <c r="D71" s="35"/>
      <c r="E71" s="49"/>
      <c r="F71" s="50"/>
      <c r="G71" s="49"/>
      <c r="H71" s="49"/>
      <c r="I71" t="s" s="51">
        <v>0</v>
      </c>
      <c r="J71" s="38"/>
      <c r="K71" s="52"/>
      <c r="L71" s="52"/>
      <c r="M71" s="52"/>
      <c r="N71" s="52"/>
      <c r="O71" s="52"/>
      <c r="P71" s="40">
        <f>K71-L71-O71+N71</f>
        <v>0</v>
      </c>
      <c r="Q71" s="52"/>
      <c r="R71" s="52"/>
      <c r="S71" s="40">
        <f>L71</f>
        <v>0</v>
      </c>
      <c r="T71" s="52">
        <f>P71+R71-Q71+M71</f>
        <v>0</v>
      </c>
      <c r="U71" s="52">
        <f>T71-V71-W71-X71</f>
        <v>0</v>
      </c>
      <c r="V71" s="41">
        <f>P71*0.03</f>
        <v>0</v>
      </c>
      <c r="W71" s="41">
        <f>P71*0.04</f>
        <v>0</v>
      </c>
      <c r="X71" s="41">
        <f>P71*0.05</f>
        <v>0</v>
      </c>
      <c r="Y71" s="42">
        <f>P71*0.05</f>
        <v>0</v>
      </c>
      <c r="Z71" s="52">
        <f>T71-Y71</f>
        <v>0</v>
      </c>
      <c r="AA71" s="52">
        <f>U71-Y71</f>
        <v>0</v>
      </c>
      <c r="AB71" s="43"/>
      <c r="AC71" t="s" s="51">
        <v>0</v>
      </c>
      <c r="AD71" t="s" s="51">
        <v>0</v>
      </c>
      <c r="AE71" t="s" s="51">
        <v>0</v>
      </c>
      <c r="AF71" t="s" s="44">
        <v>0</v>
      </c>
      <c r="AG71" s="54"/>
      <c r="AH71" s="52"/>
      <c r="AI71" s="41">
        <f>AH71-T71-U71</f>
        <v>0</v>
      </c>
      <c r="AJ71" t="s" s="44">
        <v>0</v>
      </c>
      <c r="AK71" s="54"/>
      <c r="AL71" s="52"/>
      <c r="AM71" s="41">
        <f>AL71-Z71-AA71</f>
        <v>0</v>
      </c>
      <c r="AN71" t="s" s="44">
        <v>0</v>
      </c>
      <c r="AO71" s="54"/>
      <c r="AP71" s="52"/>
      <c r="AQ71" s="41">
        <f>AP71-Y71</f>
        <v>0</v>
      </c>
      <c r="AR71" s="51"/>
      <c r="AS71" s="55">
        <v>0</v>
      </c>
    </row>
    <row r="72" ht="54.85" customHeight="1">
      <c r="A72" t="s" s="2">
        <v>0</v>
      </c>
      <c r="B72" s="33"/>
      <c r="C72" s="34"/>
      <c r="D72" s="35"/>
      <c r="E72" s="34"/>
      <c r="F72" s="36"/>
      <c r="G72" s="34"/>
      <c r="H72" s="34"/>
      <c r="I72" t="s" s="37">
        <v>0</v>
      </c>
      <c r="J72" s="38"/>
      <c r="K72" s="39"/>
      <c r="L72" s="39"/>
      <c r="M72" s="39"/>
      <c r="N72" s="39"/>
      <c r="O72" s="39"/>
      <c r="P72" s="40">
        <f>K72-L72-O72+N72</f>
        <v>0</v>
      </c>
      <c r="Q72" s="39"/>
      <c r="R72" s="39"/>
      <c r="S72" s="40">
        <f>L72</f>
        <v>0</v>
      </c>
      <c r="T72" s="39">
        <f>P72+R72-Q72+M72</f>
        <v>0</v>
      </c>
      <c r="U72" s="39">
        <f>T72-V72-W72-X72</f>
        <v>0</v>
      </c>
      <c r="V72" s="41">
        <f>P72*0.03</f>
        <v>0</v>
      </c>
      <c r="W72" s="41">
        <f>P72*0.04</f>
        <v>0</v>
      </c>
      <c r="X72" s="41">
        <f>P72*0.05</f>
        <v>0</v>
      </c>
      <c r="Y72" s="42">
        <f>P72*0.05</f>
        <v>0</v>
      </c>
      <c r="Z72" s="39">
        <f>T72-Y72</f>
        <v>0</v>
      </c>
      <c r="AA72" s="39">
        <f>U72-Y72</f>
        <v>0</v>
      </c>
      <c r="AB72" s="43"/>
      <c r="AC72" t="s" s="37">
        <v>0</v>
      </c>
      <c r="AD72" t="s" s="37">
        <v>0</v>
      </c>
      <c r="AE72" t="s" s="37">
        <v>0</v>
      </c>
      <c r="AF72" t="s" s="44">
        <v>0</v>
      </c>
      <c r="AG72" s="45"/>
      <c r="AH72" s="39"/>
      <c r="AI72" s="41">
        <f>AH72-T72-U72</f>
        <v>0</v>
      </c>
      <c r="AJ72" t="s" s="44">
        <v>0</v>
      </c>
      <c r="AK72" s="45"/>
      <c r="AL72" s="39"/>
      <c r="AM72" s="41">
        <f>AL72-Z72-AA72</f>
        <v>0</v>
      </c>
      <c r="AN72" t="s" s="44">
        <v>0</v>
      </c>
      <c r="AO72" s="45"/>
      <c r="AP72" s="39"/>
      <c r="AQ72" s="41">
        <f>AP72-Y72</f>
        <v>0</v>
      </c>
      <c r="AR72" s="37"/>
      <c r="AS72" s="46">
        <v>0</v>
      </c>
    </row>
    <row r="73" ht="54.85" customHeight="1">
      <c r="A73" t="s" s="2">
        <v>0</v>
      </c>
      <c r="B73" s="33"/>
      <c r="C73" s="34"/>
      <c r="D73" s="35"/>
      <c r="E73" s="49"/>
      <c r="F73" s="50"/>
      <c r="G73" s="49"/>
      <c r="H73" s="49"/>
      <c r="I73" t="s" s="51">
        <v>0</v>
      </c>
      <c r="J73" s="38"/>
      <c r="K73" s="52"/>
      <c r="L73" s="52"/>
      <c r="M73" s="52"/>
      <c r="N73" s="52"/>
      <c r="O73" s="52"/>
      <c r="P73" s="40">
        <f>K73-L73-O73+N73</f>
        <v>0</v>
      </c>
      <c r="Q73" s="52"/>
      <c r="R73" s="52"/>
      <c r="S73" s="40">
        <f>L73</f>
        <v>0</v>
      </c>
      <c r="T73" s="52">
        <f>P73+R73-Q73+M73</f>
        <v>0</v>
      </c>
      <c r="U73" s="52">
        <f>T73-V73-W73-X73</f>
        <v>0</v>
      </c>
      <c r="V73" s="41">
        <f>P73*0.03</f>
        <v>0</v>
      </c>
      <c r="W73" s="41">
        <f>P73*0.04</f>
        <v>0</v>
      </c>
      <c r="X73" s="41">
        <f>P73*0.05</f>
        <v>0</v>
      </c>
      <c r="Y73" s="42">
        <f>P73*0.05</f>
        <v>0</v>
      </c>
      <c r="Z73" s="52">
        <f>T73-Y73</f>
        <v>0</v>
      </c>
      <c r="AA73" s="52">
        <f>U73-Y73</f>
        <v>0</v>
      </c>
      <c r="AB73" s="43"/>
      <c r="AC73" t="s" s="51">
        <v>0</v>
      </c>
      <c r="AD73" t="s" s="51">
        <v>0</v>
      </c>
      <c r="AE73" t="s" s="51">
        <v>0</v>
      </c>
      <c r="AF73" t="s" s="44">
        <v>0</v>
      </c>
      <c r="AG73" s="54"/>
      <c r="AH73" s="52"/>
      <c r="AI73" s="41">
        <f>AH73-T73-U73</f>
        <v>0</v>
      </c>
      <c r="AJ73" t="s" s="44">
        <v>0</v>
      </c>
      <c r="AK73" s="54"/>
      <c r="AL73" s="52"/>
      <c r="AM73" s="41">
        <f>AL73-Z73-AA73</f>
        <v>0</v>
      </c>
      <c r="AN73" t="s" s="44">
        <v>0</v>
      </c>
      <c r="AO73" s="54"/>
      <c r="AP73" s="52"/>
      <c r="AQ73" s="41">
        <f>AP73-Y73</f>
        <v>0</v>
      </c>
      <c r="AR73" s="51"/>
      <c r="AS73" s="55">
        <v>0</v>
      </c>
    </row>
    <row r="74" ht="54.85" customHeight="1">
      <c r="A74" t="s" s="2">
        <v>0</v>
      </c>
      <c r="B74" s="33"/>
      <c r="C74" s="34"/>
      <c r="D74" s="35"/>
      <c r="E74" s="34"/>
      <c r="F74" s="36"/>
      <c r="G74" s="34"/>
      <c r="H74" s="34"/>
      <c r="I74" t="s" s="37">
        <v>0</v>
      </c>
      <c r="J74" s="38"/>
      <c r="K74" s="39"/>
      <c r="L74" s="39"/>
      <c r="M74" s="39"/>
      <c r="N74" s="39"/>
      <c r="O74" s="39"/>
      <c r="P74" s="40">
        <f>K74-L74-O74+N74</f>
        <v>0</v>
      </c>
      <c r="Q74" s="39"/>
      <c r="R74" s="39"/>
      <c r="S74" s="40">
        <f>L74</f>
        <v>0</v>
      </c>
      <c r="T74" s="39">
        <f>P74+R74-Q74+M74</f>
        <v>0</v>
      </c>
      <c r="U74" s="39">
        <f>T74-V74-W74-X74</f>
        <v>0</v>
      </c>
      <c r="V74" s="41">
        <f>P74*0.03</f>
        <v>0</v>
      </c>
      <c r="W74" s="41">
        <f>P74*0.04</f>
        <v>0</v>
      </c>
      <c r="X74" s="41">
        <f>P74*0.05</f>
        <v>0</v>
      </c>
      <c r="Y74" s="42">
        <f>P74*0.05</f>
        <v>0</v>
      </c>
      <c r="Z74" s="39">
        <f>T74-Y74</f>
        <v>0</v>
      </c>
      <c r="AA74" s="39">
        <f>U74-Y74</f>
        <v>0</v>
      </c>
      <c r="AB74" s="43"/>
      <c r="AC74" t="s" s="37">
        <v>0</v>
      </c>
      <c r="AD74" t="s" s="37">
        <v>0</v>
      </c>
      <c r="AE74" t="s" s="37">
        <v>0</v>
      </c>
      <c r="AF74" t="s" s="44">
        <v>0</v>
      </c>
      <c r="AG74" s="45"/>
      <c r="AH74" s="39"/>
      <c r="AI74" s="41">
        <f>AH74-T74-U74</f>
        <v>0</v>
      </c>
      <c r="AJ74" t="s" s="44">
        <v>0</v>
      </c>
      <c r="AK74" s="45"/>
      <c r="AL74" s="39"/>
      <c r="AM74" s="41">
        <f>AL74-Z74-AA74</f>
        <v>0</v>
      </c>
      <c r="AN74" t="s" s="44">
        <v>0</v>
      </c>
      <c r="AO74" s="45"/>
      <c r="AP74" s="39"/>
      <c r="AQ74" s="41">
        <f>AP74-Y74</f>
        <v>0</v>
      </c>
      <c r="AR74" s="37"/>
      <c r="AS74" s="46">
        <v>0</v>
      </c>
    </row>
    <row r="75" ht="54.85" customHeight="1">
      <c r="A75" t="s" s="2">
        <v>0</v>
      </c>
      <c r="B75" s="33"/>
      <c r="C75" s="34"/>
      <c r="D75" s="35"/>
      <c r="E75" s="49"/>
      <c r="F75" s="50"/>
      <c r="G75" s="49"/>
      <c r="H75" s="49"/>
      <c r="I75" t="s" s="51">
        <v>0</v>
      </c>
      <c r="J75" s="38"/>
      <c r="K75" s="52"/>
      <c r="L75" s="52"/>
      <c r="M75" s="52"/>
      <c r="N75" s="52"/>
      <c r="O75" s="52"/>
      <c r="P75" s="40">
        <f>K75-L75-O75+N75</f>
        <v>0</v>
      </c>
      <c r="Q75" s="52"/>
      <c r="R75" s="52"/>
      <c r="S75" s="40">
        <f>L75</f>
        <v>0</v>
      </c>
      <c r="T75" s="52">
        <f>P75+R75-Q75+M75</f>
        <v>0</v>
      </c>
      <c r="U75" s="52">
        <f>T75-V75-W75-X75</f>
        <v>0</v>
      </c>
      <c r="V75" s="41">
        <f>P75*0.03</f>
        <v>0</v>
      </c>
      <c r="W75" s="41">
        <f>P75*0.04</f>
        <v>0</v>
      </c>
      <c r="X75" s="41">
        <f>P75*0.05</f>
        <v>0</v>
      </c>
      <c r="Y75" s="42">
        <f>P75*0.05</f>
        <v>0</v>
      </c>
      <c r="Z75" s="52">
        <f>T75-Y75</f>
        <v>0</v>
      </c>
      <c r="AA75" s="52">
        <f>U75-Y75</f>
        <v>0</v>
      </c>
      <c r="AB75" s="43"/>
      <c r="AC75" t="s" s="51">
        <v>0</v>
      </c>
      <c r="AD75" t="s" s="51">
        <v>0</v>
      </c>
      <c r="AE75" t="s" s="51">
        <v>0</v>
      </c>
      <c r="AF75" t="s" s="44">
        <v>0</v>
      </c>
      <c r="AG75" s="54"/>
      <c r="AH75" s="52"/>
      <c r="AI75" s="41">
        <f>AH75-T75-U75</f>
        <v>0</v>
      </c>
      <c r="AJ75" t="s" s="44">
        <v>0</v>
      </c>
      <c r="AK75" s="54"/>
      <c r="AL75" s="52"/>
      <c r="AM75" s="41">
        <f>AL75-Z75-AA75</f>
        <v>0</v>
      </c>
      <c r="AN75" t="s" s="44">
        <v>0</v>
      </c>
      <c r="AO75" s="54"/>
      <c r="AP75" s="52"/>
      <c r="AQ75" s="41">
        <f>AP75-Y75</f>
        <v>0</v>
      </c>
      <c r="AR75" s="51"/>
      <c r="AS75" s="55">
        <v>0</v>
      </c>
    </row>
    <row r="76" ht="54.85" customHeight="1">
      <c r="A76" t="s" s="2">
        <v>0</v>
      </c>
      <c r="B76" s="33"/>
      <c r="C76" s="34"/>
      <c r="D76" s="35"/>
      <c r="E76" s="34"/>
      <c r="F76" s="36"/>
      <c r="G76" s="34"/>
      <c r="H76" s="34"/>
      <c r="I76" t="s" s="37">
        <v>0</v>
      </c>
      <c r="J76" s="38"/>
      <c r="K76" s="39"/>
      <c r="L76" s="39"/>
      <c r="M76" s="39"/>
      <c r="N76" s="39"/>
      <c r="O76" s="39"/>
      <c r="P76" s="40">
        <f>K76-L76-O76+N76</f>
        <v>0</v>
      </c>
      <c r="Q76" s="39"/>
      <c r="R76" s="39"/>
      <c r="S76" s="40">
        <f>L76</f>
        <v>0</v>
      </c>
      <c r="T76" s="39">
        <f>P76+R76-Q76+M76</f>
        <v>0</v>
      </c>
      <c r="U76" s="39">
        <f>T76-V76-W76-X76</f>
        <v>0</v>
      </c>
      <c r="V76" s="41">
        <f>P76*0.03</f>
        <v>0</v>
      </c>
      <c r="W76" s="41">
        <f>P76*0.04</f>
        <v>0</v>
      </c>
      <c r="X76" s="41">
        <f>P76*0.05</f>
        <v>0</v>
      </c>
      <c r="Y76" s="42">
        <f>P76*0.05</f>
        <v>0</v>
      </c>
      <c r="Z76" s="39">
        <f>T76-Y76</f>
        <v>0</v>
      </c>
      <c r="AA76" s="39">
        <f>U76-Y76</f>
        <v>0</v>
      </c>
      <c r="AB76" s="43"/>
      <c r="AC76" t="s" s="37">
        <v>0</v>
      </c>
      <c r="AD76" t="s" s="37">
        <v>0</v>
      </c>
      <c r="AE76" t="s" s="37">
        <v>0</v>
      </c>
      <c r="AF76" t="s" s="44">
        <v>0</v>
      </c>
      <c r="AG76" s="45"/>
      <c r="AH76" s="39"/>
      <c r="AI76" s="41">
        <f>AH76-T76-U76</f>
        <v>0</v>
      </c>
      <c r="AJ76" t="s" s="44">
        <v>0</v>
      </c>
      <c r="AK76" s="45"/>
      <c r="AL76" s="39"/>
      <c r="AM76" s="41">
        <f>AL76-Z76-AA76</f>
        <v>0</v>
      </c>
      <c r="AN76" t="s" s="44">
        <v>0</v>
      </c>
      <c r="AO76" s="45"/>
      <c r="AP76" s="39"/>
      <c r="AQ76" s="41">
        <f>AP76-Y76</f>
        <v>0</v>
      </c>
      <c r="AR76" s="37"/>
      <c r="AS76" s="46">
        <v>0</v>
      </c>
    </row>
    <row r="77" ht="54.85" customHeight="1">
      <c r="A77" t="s" s="2">
        <v>0</v>
      </c>
      <c r="B77" s="33"/>
      <c r="C77" s="34"/>
      <c r="D77" s="35"/>
      <c r="E77" s="49"/>
      <c r="F77" s="50"/>
      <c r="G77" s="49"/>
      <c r="H77" s="49"/>
      <c r="I77" t="s" s="51">
        <v>0</v>
      </c>
      <c r="J77" s="38"/>
      <c r="K77" s="52"/>
      <c r="L77" s="52"/>
      <c r="M77" s="52"/>
      <c r="N77" s="52"/>
      <c r="O77" s="52"/>
      <c r="P77" s="40">
        <f>K77-L77-O77+N77</f>
        <v>0</v>
      </c>
      <c r="Q77" s="52"/>
      <c r="R77" s="52"/>
      <c r="S77" s="40">
        <f>L77</f>
        <v>0</v>
      </c>
      <c r="T77" s="52">
        <f>P77+R77-Q77+M77</f>
        <v>0</v>
      </c>
      <c r="U77" s="52">
        <f>T77-V77-W77-X77</f>
        <v>0</v>
      </c>
      <c r="V77" s="41">
        <f>P77*0.03</f>
        <v>0</v>
      </c>
      <c r="W77" s="41">
        <f>P77*0.04</f>
        <v>0</v>
      </c>
      <c r="X77" s="41">
        <f>P77*0.05</f>
        <v>0</v>
      </c>
      <c r="Y77" s="42">
        <f>P77*0.05</f>
        <v>0</v>
      </c>
      <c r="Z77" s="52">
        <f>T77-Y77</f>
        <v>0</v>
      </c>
      <c r="AA77" s="52">
        <f>U77-Y77</f>
        <v>0</v>
      </c>
      <c r="AB77" s="43"/>
      <c r="AC77" t="s" s="51">
        <v>0</v>
      </c>
      <c r="AD77" t="s" s="51">
        <v>0</v>
      </c>
      <c r="AE77" t="s" s="51">
        <v>0</v>
      </c>
      <c r="AF77" t="s" s="44">
        <v>0</v>
      </c>
      <c r="AG77" s="54"/>
      <c r="AH77" s="52"/>
      <c r="AI77" s="41">
        <f>AH77-T77-U77</f>
        <v>0</v>
      </c>
      <c r="AJ77" t="s" s="44">
        <v>0</v>
      </c>
      <c r="AK77" s="54"/>
      <c r="AL77" s="52"/>
      <c r="AM77" s="41">
        <f>AL77-Z77-AA77</f>
        <v>0</v>
      </c>
      <c r="AN77" t="s" s="44">
        <v>0</v>
      </c>
      <c r="AO77" s="54"/>
      <c r="AP77" s="52"/>
      <c r="AQ77" s="41">
        <f>AP77-Y77</f>
        <v>0</v>
      </c>
      <c r="AR77" s="51"/>
      <c r="AS77" s="55">
        <v>0</v>
      </c>
    </row>
    <row r="78" ht="54.85" customHeight="1">
      <c r="A78" t="s" s="2">
        <v>0</v>
      </c>
      <c r="B78" s="33"/>
      <c r="C78" s="34"/>
      <c r="D78" s="35"/>
      <c r="E78" s="34"/>
      <c r="F78" s="36"/>
      <c r="G78" s="34"/>
      <c r="H78" s="34"/>
      <c r="I78" t="s" s="37">
        <v>0</v>
      </c>
      <c r="J78" s="38"/>
      <c r="K78" s="39"/>
      <c r="L78" s="39"/>
      <c r="M78" s="39"/>
      <c r="N78" s="39"/>
      <c r="O78" s="39"/>
      <c r="P78" s="40">
        <f>K78-L78-O78+N78</f>
        <v>0</v>
      </c>
      <c r="Q78" s="39"/>
      <c r="R78" s="39"/>
      <c r="S78" s="40">
        <f>L78</f>
        <v>0</v>
      </c>
      <c r="T78" s="39">
        <f>P78+R78-Q78+M78</f>
        <v>0</v>
      </c>
      <c r="U78" s="39">
        <f>T78-V78-W78-X78</f>
        <v>0</v>
      </c>
      <c r="V78" s="41">
        <f>P78*0.03</f>
        <v>0</v>
      </c>
      <c r="W78" s="41">
        <f>P78*0.04</f>
        <v>0</v>
      </c>
      <c r="X78" s="41">
        <f>P78*0.05</f>
        <v>0</v>
      </c>
      <c r="Y78" s="42">
        <f>P78*0.05</f>
        <v>0</v>
      </c>
      <c r="Z78" s="39">
        <f>T78-Y78</f>
        <v>0</v>
      </c>
      <c r="AA78" s="39">
        <f>U78-Y78</f>
        <v>0</v>
      </c>
      <c r="AB78" s="43"/>
      <c r="AC78" t="s" s="37">
        <v>0</v>
      </c>
      <c r="AD78" t="s" s="37">
        <v>0</v>
      </c>
      <c r="AE78" t="s" s="37">
        <v>0</v>
      </c>
      <c r="AF78" t="s" s="44">
        <v>0</v>
      </c>
      <c r="AG78" s="45"/>
      <c r="AH78" s="39"/>
      <c r="AI78" s="41">
        <f>AH78-T78-U78</f>
        <v>0</v>
      </c>
      <c r="AJ78" t="s" s="44">
        <v>0</v>
      </c>
      <c r="AK78" s="45"/>
      <c r="AL78" s="39"/>
      <c r="AM78" s="41">
        <f>AL78-Z78-AA78</f>
        <v>0</v>
      </c>
      <c r="AN78" t="s" s="44">
        <v>0</v>
      </c>
      <c r="AO78" s="45"/>
      <c r="AP78" s="39"/>
      <c r="AQ78" s="41">
        <f>AP78-Y78</f>
        <v>0</v>
      </c>
      <c r="AR78" s="37"/>
      <c r="AS78" s="46">
        <v>0</v>
      </c>
    </row>
    <row r="79" ht="54.85" customHeight="1">
      <c r="A79" t="s" s="2">
        <v>0</v>
      </c>
      <c r="B79" s="33"/>
      <c r="C79" s="34"/>
      <c r="D79" s="35"/>
      <c r="E79" s="49"/>
      <c r="F79" s="50"/>
      <c r="G79" s="49"/>
      <c r="H79" s="49"/>
      <c r="I79" t="s" s="51">
        <v>0</v>
      </c>
      <c r="J79" s="38"/>
      <c r="K79" s="52"/>
      <c r="L79" s="52"/>
      <c r="M79" s="52"/>
      <c r="N79" s="52"/>
      <c r="O79" s="52"/>
      <c r="P79" s="40">
        <f>K79-L79-O79+N79</f>
        <v>0</v>
      </c>
      <c r="Q79" s="52"/>
      <c r="R79" s="52"/>
      <c r="S79" s="40">
        <f>L79</f>
        <v>0</v>
      </c>
      <c r="T79" s="52">
        <f>P79+R79-Q79+M79</f>
        <v>0</v>
      </c>
      <c r="U79" s="52">
        <f>T79-V79-W79-X79</f>
        <v>0</v>
      </c>
      <c r="V79" s="41">
        <f>P79*0.03</f>
        <v>0</v>
      </c>
      <c r="W79" s="41">
        <f>P79*0.04</f>
        <v>0</v>
      </c>
      <c r="X79" s="41">
        <f>P79*0.05</f>
        <v>0</v>
      </c>
      <c r="Y79" s="42">
        <f>P79*0.05</f>
        <v>0</v>
      </c>
      <c r="Z79" s="52">
        <f>T79-Y79</f>
        <v>0</v>
      </c>
      <c r="AA79" s="52">
        <f>U79-Y79</f>
        <v>0</v>
      </c>
      <c r="AB79" s="43"/>
      <c r="AC79" t="s" s="51">
        <v>0</v>
      </c>
      <c r="AD79" t="s" s="51">
        <v>0</v>
      </c>
      <c r="AE79" t="s" s="51">
        <v>0</v>
      </c>
      <c r="AF79" t="s" s="44">
        <v>0</v>
      </c>
      <c r="AG79" s="54"/>
      <c r="AH79" s="52"/>
      <c r="AI79" s="41">
        <f>AH79-T79-U79</f>
        <v>0</v>
      </c>
      <c r="AJ79" t="s" s="44">
        <v>0</v>
      </c>
      <c r="AK79" s="54"/>
      <c r="AL79" s="52"/>
      <c r="AM79" s="41">
        <f>AL79-Z79-AA79</f>
        <v>0</v>
      </c>
      <c r="AN79" t="s" s="44">
        <v>0</v>
      </c>
      <c r="AO79" s="54"/>
      <c r="AP79" s="52"/>
      <c r="AQ79" s="41">
        <f>AP79-Y79</f>
        <v>0</v>
      </c>
      <c r="AR79" s="51"/>
      <c r="AS79" s="55">
        <v>0</v>
      </c>
    </row>
    <row r="80" ht="54.85" customHeight="1">
      <c r="A80" t="s" s="2">
        <v>0</v>
      </c>
      <c r="B80" s="33"/>
      <c r="C80" s="34"/>
      <c r="D80" s="35"/>
      <c r="E80" s="34"/>
      <c r="F80" s="36"/>
      <c r="G80" s="34"/>
      <c r="H80" s="34"/>
      <c r="I80" t="s" s="37">
        <v>0</v>
      </c>
      <c r="J80" s="38"/>
      <c r="K80" s="39"/>
      <c r="L80" s="39"/>
      <c r="M80" s="39"/>
      <c r="N80" s="39"/>
      <c r="O80" s="39"/>
      <c r="P80" s="40">
        <f>K80-L80-O80+N80</f>
        <v>0</v>
      </c>
      <c r="Q80" s="39"/>
      <c r="R80" s="39"/>
      <c r="S80" s="40">
        <f>L80</f>
        <v>0</v>
      </c>
      <c r="T80" s="39">
        <f>P80+R80-Q80+M80</f>
        <v>0</v>
      </c>
      <c r="U80" s="39">
        <f>T80-V80-W80-X80</f>
        <v>0</v>
      </c>
      <c r="V80" s="41">
        <f>P80*0.03</f>
        <v>0</v>
      </c>
      <c r="W80" s="41">
        <f>P80*0.04</f>
        <v>0</v>
      </c>
      <c r="X80" s="41">
        <f>P80*0.05</f>
        <v>0</v>
      </c>
      <c r="Y80" s="42">
        <f>P80*0.05</f>
        <v>0</v>
      </c>
      <c r="Z80" s="39">
        <f>T80-Y80</f>
        <v>0</v>
      </c>
      <c r="AA80" s="39">
        <f>U80-Y80</f>
        <v>0</v>
      </c>
      <c r="AB80" s="43"/>
      <c r="AC80" t="s" s="37">
        <v>0</v>
      </c>
      <c r="AD80" t="s" s="37">
        <v>0</v>
      </c>
      <c r="AE80" t="s" s="37">
        <v>0</v>
      </c>
      <c r="AF80" t="s" s="44">
        <v>0</v>
      </c>
      <c r="AG80" s="45"/>
      <c r="AH80" s="39"/>
      <c r="AI80" s="41">
        <f>AH80-T80-U80</f>
        <v>0</v>
      </c>
      <c r="AJ80" t="s" s="44">
        <v>0</v>
      </c>
      <c r="AK80" s="45"/>
      <c r="AL80" s="39"/>
      <c r="AM80" s="41">
        <f>AL80-Z80-AA80</f>
        <v>0</v>
      </c>
      <c r="AN80" t="s" s="44">
        <v>0</v>
      </c>
      <c r="AO80" s="45"/>
      <c r="AP80" s="39"/>
      <c r="AQ80" s="41">
        <f>AP80-Y80</f>
        <v>0</v>
      </c>
      <c r="AR80" s="37"/>
      <c r="AS80" s="46">
        <v>0</v>
      </c>
    </row>
    <row r="81" ht="54.85" customHeight="1">
      <c r="A81" t="s" s="2">
        <v>0</v>
      </c>
      <c r="B81" s="33"/>
      <c r="C81" s="34"/>
      <c r="D81" s="35"/>
      <c r="E81" s="49"/>
      <c r="F81" s="50"/>
      <c r="G81" s="49"/>
      <c r="H81" s="49"/>
      <c r="I81" t="s" s="51">
        <v>0</v>
      </c>
      <c r="J81" s="38"/>
      <c r="K81" s="52"/>
      <c r="L81" s="52"/>
      <c r="M81" s="52"/>
      <c r="N81" s="52"/>
      <c r="O81" s="52"/>
      <c r="P81" s="40">
        <f>K81-L81-O81+N81</f>
        <v>0</v>
      </c>
      <c r="Q81" s="52"/>
      <c r="R81" s="52"/>
      <c r="S81" s="40">
        <f>L81</f>
        <v>0</v>
      </c>
      <c r="T81" s="52">
        <f>P81+R81-Q81+M81</f>
        <v>0</v>
      </c>
      <c r="U81" s="52">
        <f>T81-V81-W81-X81</f>
        <v>0</v>
      </c>
      <c r="V81" s="41">
        <f>P81*0.03</f>
        <v>0</v>
      </c>
      <c r="W81" s="41">
        <f>P81*0.04</f>
        <v>0</v>
      </c>
      <c r="X81" s="41">
        <f>P81*0.05</f>
        <v>0</v>
      </c>
      <c r="Y81" s="42">
        <f>P81*0.05</f>
        <v>0</v>
      </c>
      <c r="Z81" s="52">
        <f>T81-Y81</f>
        <v>0</v>
      </c>
      <c r="AA81" s="52">
        <f>U81-Y81</f>
        <v>0</v>
      </c>
      <c r="AB81" s="43"/>
      <c r="AC81" t="s" s="51">
        <v>0</v>
      </c>
      <c r="AD81" t="s" s="51">
        <v>0</v>
      </c>
      <c r="AE81" t="s" s="51">
        <v>0</v>
      </c>
      <c r="AF81" t="s" s="44">
        <v>0</v>
      </c>
      <c r="AG81" s="54"/>
      <c r="AH81" s="52"/>
      <c r="AI81" s="41">
        <f>AH81-T81-U81</f>
        <v>0</v>
      </c>
      <c r="AJ81" t="s" s="44">
        <v>0</v>
      </c>
      <c r="AK81" s="54"/>
      <c r="AL81" s="52"/>
      <c r="AM81" s="41">
        <f>AL81-Z81-AA81</f>
        <v>0</v>
      </c>
      <c r="AN81" t="s" s="44">
        <v>0</v>
      </c>
      <c r="AO81" s="54"/>
      <c r="AP81" s="52"/>
      <c r="AQ81" s="41">
        <f>AP81-Y81</f>
        <v>0</v>
      </c>
      <c r="AR81" s="51"/>
      <c r="AS81" s="55">
        <v>0</v>
      </c>
    </row>
    <row r="82" ht="54.85" customHeight="1">
      <c r="A82" t="s" s="2">
        <v>0</v>
      </c>
      <c r="B82" s="33"/>
      <c r="C82" s="34"/>
      <c r="D82" s="35"/>
      <c r="E82" s="34"/>
      <c r="F82" s="36"/>
      <c r="G82" s="34"/>
      <c r="H82" s="34"/>
      <c r="I82" t="s" s="37">
        <v>0</v>
      </c>
      <c r="J82" s="38"/>
      <c r="K82" s="39"/>
      <c r="L82" s="39"/>
      <c r="M82" s="39"/>
      <c r="N82" s="39"/>
      <c r="O82" s="39"/>
      <c r="P82" s="40">
        <f>K82-L82-O82+N82</f>
        <v>0</v>
      </c>
      <c r="Q82" s="39"/>
      <c r="R82" s="39"/>
      <c r="S82" s="40">
        <f>L82</f>
        <v>0</v>
      </c>
      <c r="T82" s="39">
        <f>P82+R82-Q82+M82</f>
        <v>0</v>
      </c>
      <c r="U82" s="39">
        <f>T82-V82-W82-X82</f>
        <v>0</v>
      </c>
      <c r="V82" s="41">
        <f>P82*0.03</f>
        <v>0</v>
      </c>
      <c r="W82" s="41">
        <f>P82*0.04</f>
        <v>0</v>
      </c>
      <c r="X82" s="41">
        <f>P82*0.05</f>
        <v>0</v>
      </c>
      <c r="Y82" s="42">
        <f>P82*0.05</f>
        <v>0</v>
      </c>
      <c r="Z82" s="39">
        <f>T82-Y82</f>
        <v>0</v>
      </c>
      <c r="AA82" s="39">
        <f>U82-Y82</f>
        <v>0</v>
      </c>
      <c r="AB82" s="43"/>
      <c r="AC82" t="s" s="37">
        <v>0</v>
      </c>
      <c r="AD82" t="s" s="37">
        <v>0</v>
      </c>
      <c r="AE82" t="s" s="37">
        <v>0</v>
      </c>
      <c r="AF82" t="s" s="44">
        <v>0</v>
      </c>
      <c r="AG82" s="45"/>
      <c r="AH82" s="39"/>
      <c r="AI82" s="41">
        <f>AH82-T82-U82</f>
        <v>0</v>
      </c>
      <c r="AJ82" t="s" s="44">
        <v>0</v>
      </c>
      <c r="AK82" s="45"/>
      <c r="AL82" s="39"/>
      <c r="AM82" s="41">
        <f>AL82-Z82-AA82</f>
        <v>0</v>
      </c>
      <c r="AN82" t="s" s="44">
        <v>0</v>
      </c>
      <c r="AO82" s="45"/>
      <c r="AP82" s="39"/>
      <c r="AQ82" s="41">
        <f>AP82-Y82</f>
        <v>0</v>
      </c>
      <c r="AR82" s="37"/>
      <c r="AS82" s="46">
        <v>0</v>
      </c>
    </row>
    <row r="83" ht="54.85" customHeight="1">
      <c r="A83" t="s" s="2">
        <v>0</v>
      </c>
      <c r="B83" s="33"/>
      <c r="C83" s="34"/>
      <c r="D83" s="35"/>
      <c r="E83" s="49"/>
      <c r="F83" s="50"/>
      <c r="G83" s="49"/>
      <c r="H83" s="49"/>
      <c r="I83" t="s" s="51">
        <v>0</v>
      </c>
      <c r="J83" s="38"/>
      <c r="K83" s="52"/>
      <c r="L83" s="52"/>
      <c r="M83" s="52"/>
      <c r="N83" s="52"/>
      <c r="O83" s="52"/>
      <c r="P83" s="40">
        <f>K83-L83-O83+N83</f>
        <v>0</v>
      </c>
      <c r="Q83" s="52"/>
      <c r="R83" s="52"/>
      <c r="S83" s="40">
        <f>L83</f>
        <v>0</v>
      </c>
      <c r="T83" s="52">
        <f>P83+R83-Q83+M83</f>
        <v>0</v>
      </c>
      <c r="U83" s="52">
        <f>T83-V83-W83-X83</f>
        <v>0</v>
      </c>
      <c r="V83" s="41">
        <f>P83*0.03</f>
        <v>0</v>
      </c>
      <c r="W83" s="41">
        <f>P83*0.04</f>
        <v>0</v>
      </c>
      <c r="X83" s="41">
        <f>P83*0.05</f>
        <v>0</v>
      </c>
      <c r="Y83" s="42">
        <f>P83*0.05</f>
        <v>0</v>
      </c>
      <c r="Z83" s="52">
        <f>T83-Y83</f>
        <v>0</v>
      </c>
      <c r="AA83" s="52">
        <f>U83-Y83</f>
        <v>0</v>
      </c>
      <c r="AB83" s="43"/>
      <c r="AC83" t="s" s="51">
        <v>0</v>
      </c>
      <c r="AD83" t="s" s="51">
        <v>0</v>
      </c>
      <c r="AE83" t="s" s="51">
        <v>0</v>
      </c>
      <c r="AF83" t="s" s="44">
        <v>0</v>
      </c>
      <c r="AG83" s="54"/>
      <c r="AH83" s="52"/>
      <c r="AI83" s="41">
        <f>AH83-T83-U83</f>
        <v>0</v>
      </c>
      <c r="AJ83" t="s" s="44">
        <v>0</v>
      </c>
      <c r="AK83" s="54"/>
      <c r="AL83" s="52"/>
      <c r="AM83" s="41">
        <f>AL83-Z83-AA83</f>
        <v>0</v>
      </c>
      <c r="AN83" t="s" s="44">
        <v>0</v>
      </c>
      <c r="AO83" s="54"/>
      <c r="AP83" s="52"/>
      <c r="AQ83" s="41">
        <f>AP83-Y83</f>
        <v>0</v>
      </c>
      <c r="AR83" s="51"/>
      <c r="AS83" s="55">
        <v>0</v>
      </c>
    </row>
    <row r="84" ht="54.85" customHeight="1">
      <c r="A84" t="s" s="2">
        <v>0</v>
      </c>
      <c r="B84" s="33"/>
      <c r="C84" s="34"/>
      <c r="D84" s="35"/>
      <c r="E84" s="34"/>
      <c r="F84" s="36"/>
      <c r="G84" s="34"/>
      <c r="H84" s="34"/>
      <c r="I84" t="s" s="37">
        <v>0</v>
      </c>
      <c r="J84" s="38"/>
      <c r="K84" s="39"/>
      <c r="L84" s="39"/>
      <c r="M84" s="39"/>
      <c r="N84" s="39"/>
      <c r="O84" s="39"/>
      <c r="P84" s="40">
        <f>K84-L84-O84+N84</f>
        <v>0</v>
      </c>
      <c r="Q84" s="39"/>
      <c r="R84" s="39"/>
      <c r="S84" s="40">
        <f>L84</f>
        <v>0</v>
      </c>
      <c r="T84" s="39">
        <f>P84+R84-Q84+M84</f>
        <v>0</v>
      </c>
      <c r="U84" s="39">
        <f>T84-V84-W84-X84</f>
        <v>0</v>
      </c>
      <c r="V84" s="41">
        <f>P84*0.03</f>
        <v>0</v>
      </c>
      <c r="W84" s="41">
        <f>P84*0.04</f>
        <v>0</v>
      </c>
      <c r="X84" s="41">
        <f>P84*0.05</f>
        <v>0</v>
      </c>
      <c r="Y84" s="42">
        <f>P84*0.05</f>
        <v>0</v>
      </c>
      <c r="Z84" s="39">
        <f>T84-Y84</f>
        <v>0</v>
      </c>
      <c r="AA84" s="39">
        <f>U84-Y84</f>
        <v>0</v>
      </c>
      <c r="AB84" s="43"/>
      <c r="AC84" t="s" s="37">
        <v>0</v>
      </c>
      <c r="AD84" t="s" s="37">
        <v>0</v>
      </c>
      <c r="AE84" t="s" s="37">
        <v>0</v>
      </c>
      <c r="AF84" t="s" s="44">
        <v>0</v>
      </c>
      <c r="AG84" s="45"/>
      <c r="AH84" s="39"/>
      <c r="AI84" s="41">
        <f>AH84-T84-U84</f>
        <v>0</v>
      </c>
      <c r="AJ84" t="s" s="44">
        <v>0</v>
      </c>
      <c r="AK84" s="45"/>
      <c r="AL84" s="39"/>
      <c r="AM84" s="41">
        <f>AL84-Z84-AA84</f>
        <v>0</v>
      </c>
      <c r="AN84" t="s" s="44">
        <v>0</v>
      </c>
      <c r="AO84" s="45"/>
      <c r="AP84" s="39"/>
      <c r="AQ84" s="41">
        <f>AP84-Y84</f>
        <v>0</v>
      </c>
      <c r="AR84" s="37"/>
      <c r="AS84" s="46">
        <v>0</v>
      </c>
    </row>
    <row r="85" ht="54.85" customHeight="1">
      <c r="A85" t="s" s="2">
        <v>0</v>
      </c>
      <c r="B85" s="33"/>
      <c r="C85" s="34"/>
      <c r="D85" s="35"/>
      <c r="E85" s="49"/>
      <c r="F85" s="50"/>
      <c r="G85" s="49"/>
      <c r="H85" s="49"/>
      <c r="I85" t="s" s="51">
        <v>0</v>
      </c>
      <c r="J85" s="38"/>
      <c r="K85" s="52"/>
      <c r="L85" s="52"/>
      <c r="M85" s="52"/>
      <c r="N85" s="52"/>
      <c r="O85" s="52"/>
      <c r="P85" s="40">
        <f>K85-L85-O85+N85</f>
        <v>0</v>
      </c>
      <c r="Q85" s="52"/>
      <c r="R85" s="52"/>
      <c r="S85" s="40">
        <f>L85</f>
        <v>0</v>
      </c>
      <c r="T85" s="52">
        <f>P85+R85-Q85+M85</f>
        <v>0</v>
      </c>
      <c r="U85" s="52">
        <f>T85-V85-W85-X85</f>
        <v>0</v>
      </c>
      <c r="V85" s="41">
        <f>P85*0.03</f>
        <v>0</v>
      </c>
      <c r="W85" s="41">
        <f>P85*0.04</f>
        <v>0</v>
      </c>
      <c r="X85" s="41">
        <f>P85*0.05</f>
        <v>0</v>
      </c>
      <c r="Y85" s="42">
        <f>P85*0.05</f>
        <v>0</v>
      </c>
      <c r="Z85" s="52">
        <f>T85-Y85</f>
        <v>0</v>
      </c>
      <c r="AA85" s="52">
        <f>U85-Y85</f>
        <v>0</v>
      </c>
      <c r="AB85" s="43"/>
      <c r="AC85" t="s" s="51">
        <v>0</v>
      </c>
      <c r="AD85" t="s" s="51">
        <v>0</v>
      </c>
      <c r="AE85" t="s" s="51">
        <v>0</v>
      </c>
      <c r="AF85" t="s" s="44">
        <v>0</v>
      </c>
      <c r="AG85" s="54"/>
      <c r="AH85" s="52"/>
      <c r="AI85" s="41">
        <f>AH85-T85-U85</f>
        <v>0</v>
      </c>
      <c r="AJ85" t="s" s="44">
        <v>0</v>
      </c>
      <c r="AK85" s="54"/>
      <c r="AL85" s="52"/>
      <c r="AM85" s="41">
        <f>AL85-Z85-AA85</f>
        <v>0</v>
      </c>
      <c r="AN85" t="s" s="44">
        <v>0</v>
      </c>
      <c r="AO85" s="54"/>
      <c r="AP85" s="52"/>
      <c r="AQ85" s="41">
        <f>AP85-Y85</f>
        <v>0</v>
      </c>
      <c r="AR85" s="51"/>
      <c r="AS85" s="55">
        <v>0</v>
      </c>
    </row>
    <row r="86" ht="54.85" customHeight="1">
      <c r="A86" t="s" s="2">
        <v>0</v>
      </c>
      <c r="B86" s="33"/>
      <c r="C86" s="34"/>
      <c r="D86" s="35"/>
      <c r="E86" s="34"/>
      <c r="F86" s="36"/>
      <c r="G86" s="34"/>
      <c r="H86" s="34"/>
      <c r="I86" t="s" s="37">
        <v>0</v>
      </c>
      <c r="J86" s="38"/>
      <c r="K86" s="39"/>
      <c r="L86" s="39"/>
      <c r="M86" s="39"/>
      <c r="N86" s="39"/>
      <c r="O86" s="39"/>
      <c r="P86" s="40">
        <f>K86-L86-O86+N86</f>
        <v>0</v>
      </c>
      <c r="Q86" s="39"/>
      <c r="R86" s="39"/>
      <c r="S86" s="40">
        <f>L86</f>
        <v>0</v>
      </c>
      <c r="T86" s="39">
        <f>P86+R86-Q86+M86</f>
        <v>0</v>
      </c>
      <c r="U86" s="39">
        <f>T86-V86-W86-X86</f>
        <v>0</v>
      </c>
      <c r="V86" s="41">
        <f>P86*0.03</f>
        <v>0</v>
      </c>
      <c r="W86" s="41">
        <f>P86*0.04</f>
        <v>0</v>
      </c>
      <c r="X86" s="41">
        <f>P86*0.05</f>
        <v>0</v>
      </c>
      <c r="Y86" s="42">
        <f>P86*0.05</f>
        <v>0</v>
      </c>
      <c r="Z86" s="39">
        <f>T86-Y86</f>
        <v>0</v>
      </c>
      <c r="AA86" s="39">
        <f>U86-Y86</f>
        <v>0</v>
      </c>
      <c r="AB86" s="43"/>
      <c r="AC86" t="s" s="37">
        <v>0</v>
      </c>
      <c r="AD86" t="s" s="37">
        <v>0</v>
      </c>
      <c r="AE86" t="s" s="37">
        <v>0</v>
      </c>
      <c r="AF86" t="s" s="44">
        <v>0</v>
      </c>
      <c r="AG86" s="45"/>
      <c r="AH86" s="39"/>
      <c r="AI86" s="41">
        <f>AH86-T86-U86</f>
        <v>0</v>
      </c>
      <c r="AJ86" t="s" s="44">
        <v>0</v>
      </c>
      <c r="AK86" s="45"/>
      <c r="AL86" s="39"/>
      <c r="AM86" s="41">
        <f>AL86-Z86-AA86</f>
        <v>0</v>
      </c>
      <c r="AN86" t="s" s="44">
        <v>0</v>
      </c>
      <c r="AO86" s="45"/>
      <c r="AP86" s="39"/>
      <c r="AQ86" s="41">
        <f>AP86-Y86</f>
        <v>0</v>
      </c>
      <c r="AR86" s="37"/>
      <c r="AS86" s="46">
        <v>0</v>
      </c>
    </row>
    <row r="87" ht="54.85" customHeight="1">
      <c r="A87" t="s" s="2">
        <v>0</v>
      </c>
      <c r="B87" s="33"/>
      <c r="C87" s="34"/>
      <c r="D87" s="35"/>
      <c r="E87" s="49"/>
      <c r="F87" s="50"/>
      <c r="G87" s="49"/>
      <c r="H87" s="49"/>
      <c r="I87" t="s" s="51">
        <v>0</v>
      </c>
      <c r="J87" s="38"/>
      <c r="K87" s="52"/>
      <c r="L87" s="52"/>
      <c r="M87" s="52"/>
      <c r="N87" s="52"/>
      <c r="O87" s="52"/>
      <c r="P87" s="40">
        <f>K87-L87-O87+N87</f>
        <v>0</v>
      </c>
      <c r="Q87" s="52"/>
      <c r="R87" s="52"/>
      <c r="S87" s="40">
        <f>L87</f>
        <v>0</v>
      </c>
      <c r="T87" s="52">
        <f>P87+R87-Q87+M87</f>
        <v>0</v>
      </c>
      <c r="U87" s="52">
        <f>T87-V87-W87-X87</f>
        <v>0</v>
      </c>
      <c r="V87" s="41">
        <f>P87*0.03</f>
        <v>0</v>
      </c>
      <c r="W87" s="41">
        <f>P87*0.04</f>
        <v>0</v>
      </c>
      <c r="X87" s="41">
        <f>P87*0.05</f>
        <v>0</v>
      </c>
      <c r="Y87" s="42">
        <f>P87*0.05</f>
        <v>0</v>
      </c>
      <c r="Z87" s="52">
        <f>T87-Y87</f>
        <v>0</v>
      </c>
      <c r="AA87" s="52">
        <f>U87-Y87</f>
        <v>0</v>
      </c>
      <c r="AB87" s="43"/>
      <c r="AC87" t="s" s="51">
        <v>0</v>
      </c>
      <c r="AD87" t="s" s="51">
        <v>0</v>
      </c>
      <c r="AE87" t="s" s="51">
        <v>0</v>
      </c>
      <c r="AF87" t="s" s="44">
        <v>0</v>
      </c>
      <c r="AG87" s="54"/>
      <c r="AH87" s="52"/>
      <c r="AI87" s="41">
        <f>AH87-T87-U87</f>
        <v>0</v>
      </c>
      <c r="AJ87" t="s" s="44">
        <v>0</v>
      </c>
      <c r="AK87" s="54"/>
      <c r="AL87" s="52"/>
      <c r="AM87" s="41">
        <f>AL87-Z87-AA87</f>
        <v>0</v>
      </c>
      <c r="AN87" t="s" s="44">
        <v>0</v>
      </c>
      <c r="AO87" s="54"/>
      <c r="AP87" s="52"/>
      <c r="AQ87" s="41">
        <f>AP87-Y87</f>
        <v>0</v>
      </c>
      <c r="AR87" s="51"/>
      <c r="AS87" s="55">
        <v>0</v>
      </c>
    </row>
    <row r="88" ht="54.85" customHeight="1">
      <c r="A88" t="s" s="2">
        <v>0</v>
      </c>
      <c r="B88" s="33"/>
      <c r="C88" s="34"/>
      <c r="D88" s="35"/>
      <c r="E88" s="34"/>
      <c r="F88" s="36"/>
      <c r="G88" s="34"/>
      <c r="H88" s="34"/>
      <c r="I88" t="s" s="37">
        <v>0</v>
      </c>
      <c r="J88" s="38"/>
      <c r="K88" s="39"/>
      <c r="L88" s="39"/>
      <c r="M88" s="39"/>
      <c r="N88" s="39"/>
      <c r="O88" s="39"/>
      <c r="P88" s="40">
        <f>K88-L88-O88+N88</f>
        <v>0</v>
      </c>
      <c r="Q88" s="39"/>
      <c r="R88" s="39"/>
      <c r="S88" s="40">
        <f>L88</f>
        <v>0</v>
      </c>
      <c r="T88" s="39">
        <f>P88+R88-Q88+M88</f>
        <v>0</v>
      </c>
      <c r="U88" s="39">
        <f>T88-V88-W88-X88</f>
        <v>0</v>
      </c>
      <c r="V88" s="41">
        <f>P88*0.03</f>
        <v>0</v>
      </c>
      <c r="W88" s="41">
        <f>P88*0.04</f>
        <v>0</v>
      </c>
      <c r="X88" s="41">
        <f>P88*0.05</f>
        <v>0</v>
      </c>
      <c r="Y88" s="42">
        <f>P88*0.05</f>
        <v>0</v>
      </c>
      <c r="Z88" s="39">
        <f>T88-Y88</f>
        <v>0</v>
      </c>
      <c r="AA88" s="39">
        <f>U88-Y88</f>
        <v>0</v>
      </c>
      <c r="AB88" s="43"/>
      <c r="AC88" t="s" s="37">
        <v>0</v>
      </c>
      <c r="AD88" t="s" s="37">
        <v>0</v>
      </c>
      <c r="AE88" t="s" s="37">
        <v>0</v>
      </c>
      <c r="AF88" t="s" s="44">
        <v>0</v>
      </c>
      <c r="AG88" s="45"/>
      <c r="AH88" s="39"/>
      <c r="AI88" s="41">
        <f>AH88-T88-U88</f>
        <v>0</v>
      </c>
      <c r="AJ88" t="s" s="44">
        <v>0</v>
      </c>
      <c r="AK88" s="45"/>
      <c r="AL88" s="39"/>
      <c r="AM88" s="41">
        <f>AL88-Z88-AA88</f>
        <v>0</v>
      </c>
      <c r="AN88" t="s" s="44">
        <v>0</v>
      </c>
      <c r="AO88" s="45"/>
      <c r="AP88" s="39"/>
      <c r="AQ88" s="41">
        <f>AP88-Y88</f>
        <v>0</v>
      </c>
      <c r="AR88" s="37"/>
      <c r="AS88" s="46">
        <v>0</v>
      </c>
    </row>
    <row r="89" ht="54.85" customHeight="1">
      <c r="A89" t="s" s="2">
        <v>0</v>
      </c>
      <c r="B89" s="33"/>
      <c r="C89" s="34"/>
      <c r="D89" s="35"/>
      <c r="E89" s="49"/>
      <c r="F89" s="50"/>
      <c r="G89" s="49"/>
      <c r="H89" s="49"/>
      <c r="I89" t="s" s="51">
        <v>0</v>
      </c>
      <c r="J89" s="38"/>
      <c r="K89" s="52"/>
      <c r="L89" s="52"/>
      <c r="M89" s="52"/>
      <c r="N89" s="52"/>
      <c r="O89" s="52"/>
      <c r="P89" s="40">
        <f>K89-L89-O89+N89</f>
        <v>0</v>
      </c>
      <c r="Q89" s="52"/>
      <c r="R89" s="52"/>
      <c r="S89" s="40">
        <f>L89</f>
        <v>0</v>
      </c>
      <c r="T89" s="52">
        <f>P89+R89-Q89+M89</f>
        <v>0</v>
      </c>
      <c r="U89" s="52">
        <f>T89-V89-W89-X89</f>
        <v>0</v>
      </c>
      <c r="V89" s="41">
        <f>P89*0.03</f>
        <v>0</v>
      </c>
      <c r="W89" s="41">
        <f>P89*0.04</f>
        <v>0</v>
      </c>
      <c r="X89" s="41">
        <f>P89*0.05</f>
        <v>0</v>
      </c>
      <c r="Y89" s="42">
        <f>P89*0.05</f>
        <v>0</v>
      </c>
      <c r="Z89" s="52">
        <f>T89-Y89</f>
        <v>0</v>
      </c>
      <c r="AA89" s="52">
        <f>U89-Y89</f>
        <v>0</v>
      </c>
      <c r="AB89" s="43"/>
      <c r="AC89" t="s" s="51">
        <v>0</v>
      </c>
      <c r="AD89" t="s" s="51">
        <v>0</v>
      </c>
      <c r="AE89" t="s" s="51">
        <v>0</v>
      </c>
      <c r="AF89" t="s" s="44">
        <v>0</v>
      </c>
      <c r="AG89" s="54"/>
      <c r="AH89" s="52"/>
      <c r="AI89" s="41">
        <f>AH89-T89-U89</f>
        <v>0</v>
      </c>
      <c r="AJ89" t="s" s="44">
        <v>0</v>
      </c>
      <c r="AK89" s="54"/>
      <c r="AL89" s="52"/>
      <c r="AM89" s="41">
        <f>AL89-Z89-AA89</f>
        <v>0</v>
      </c>
      <c r="AN89" t="s" s="44">
        <v>0</v>
      </c>
      <c r="AO89" s="54"/>
      <c r="AP89" s="52"/>
      <c r="AQ89" s="41">
        <f>AP89-Y89</f>
        <v>0</v>
      </c>
      <c r="AR89" s="51"/>
      <c r="AS89" s="55">
        <v>0</v>
      </c>
    </row>
    <row r="90" ht="54.85" customHeight="1">
      <c r="A90" t="s" s="2">
        <v>0</v>
      </c>
      <c r="B90" s="33"/>
      <c r="C90" s="34"/>
      <c r="D90" s="35"/>
      <c r="E90" s="34"/>
      <c r="F90" s="36"/>
      <c r="G90" s="34"/>
      <c r="H90" s="34"/>
      <c r="I90" t="s" s="37">
        <v>0</v>
      </c>
      <c r="J90" s="38"/>
      <c r="K90" s="39"/>
      <c r="L90" s="39"/>
      <c r="M90" s="39"/>
      <c r="N90" s="39"/>
      <c r="O90" s="39"/>
      <c r="P90" s="40">
        <f>K90-L90-O90+N90</f>
        <v>0</v>
      </c>
      <c r="Q90" s="39"/>
      <c r="R90" s="39"/>
      <c r="S90" s="40">
        <f>L90</f>
        <v>0</v>
      </c>
      <c r="T90" s="39">
        <f>P90+R90-Q90+M90</f>
        <v>0</v>
      </c>
      <c r="U90" s="39">
        <f>T90-V90-W90-X90</f>
        <v>0</v>
      </c>
      <c r="V90" s="41">
        <f>P90*0.03</f>
        <v>0</v>
      </c>
      <c r="W90" s="41">
        <f>P90*0.04</f>
        <v>0</v>
      </c>
      <c r="X90" s="41">
        <f>P90*0.05</f>
        <v>0</v>
      </c>
      <c r="Y90" s="42">
        <f>P90*0.05</f>
        <v>0</v>
      </c>
      <c r="Z90" s="39">
        <f>T90-Y90</f>
        <v>0</v>
      </c>
      <c r="AA90" s="39">
        <f>U90-Y90</f>
        <v>0</v>
      </c>
      <c r="AB90" s="43"/>
      <c r="AC90" t="s" s="37">
        <v>0</v>
      </c>
      <c r="AD90" t="s" s="37">
        <v>0</v>
      </c>
      <c r="AE90" t="s" s="37">
        <v>0</v>
      </c>
      <c r="AF90" t="s" s="44">
        <v>0</v>
      </c>
      <c r="AG90" s="45"/>
      <c r="AH90" s="39"/>
      <c r="AI90" s="41">
        <f>AH90-T90-U90</f>
        <v>0</v>
      </c>
      <c r="AJ90" t="s" s="44">
        <v>0</v>
      </c>
      <c r="AK90" s="45"/>
      <c r="AL90" s="39"/>
      <c r="AM90" s="41">
        <f>AL90-Z90-AA90</f>
        <v>0</v>
      </c>
      <c r="AN90" t="s" s="44">
        <v>0</v>
      </c>
      <c r="AO90" s="45"/>
      <c r="AP90" s="39"/>
      <c r="AQ90" s="41">
        <f>AP90-Y90</f>
        <v>0</v>
      </c>
      <c r="AR90" s="37"/>
      <c r="AS90" s="46">
        <v>0</v>
      </c>
    </row>
    <row r="91" ht="54.85" customHeight="1">
      <c r="A91" t="s" s="2">
        <v>0</v>
      </c>
      <c r="B91" s="33"/>
      <c r="C91" s="34"/>
      <c r="D91" s="35"/>
      <c r="E91" s="49"/>
      <c r="F91" s="50"/>
      <c r="G91" s="49"/>
      <c r="H91" s="49"/>
      <c r="I91" t="s" s="51">
        <v>0</v>
      </c>
      <c r="J91" s="38"/>
      <c r="K91" s="52"/>
      <c r="L91" s="52"/>
      <c r="M91" s="52"/>
      <c r="N91" s="52"/>
      <c r="O91" s="52"/>
      <c r="P91" s="40">
        <f>K91-L91-O91+N91</f>
        <v>0</v>
      </c>
      <c r="Q91" s="52"/>
      <c r="R91" s="52"/>
      <c r="S91" s="40">
        <f>L91</f>
        <v>0</v>
      </c>
      <c r="T91" s="52">
        <f>P91+R91-Q91+M91</f>
        <v>0</v>
      </c>
      <c r="U91" s="52">
        <f>T91-V91-W91-X91</f>
        <v>0</v>
      </c>
      <c r="V91" s="41">
        <f>P91*0.03</f>
        <v>0</v>
      </c>
      <c r="W91" s="41">
        <f>P91*0.04</f>
        <v>0</v>
      </c>
      <c r="X91" s="41">
        <f>P91*0.05</f>
        <v>0</v>
      </c>
      <c r="Y91" s="42">
        <f>P91*0.05</f>
        <v>0</v>
      </c>
      <c r="Z91" s="52">
        <f>T91-Y91</f>
        <v>0</v>
      </c>
      <c r="AA91" s="52">
        <f>U91-Y91</f>
        <v>0</v>
      </c>
      <c r="AB91" s="43"/>
      <c r="AC91" t="s" s="51">
        <v>0</v>
      </c>
      <c r="AD91" t="s" s="51">
        <v>0</v>
      </c>
      <c r="AE91" t="s" s="51">
        <v>0</v>
      </c>
      <c r="AF91" t="s" s="44">
        <v>0</v>
      </c>
      <c r="AG91" s="54"/>
      <c r="AH91" s="52"/>
      <c r="AI91" s="41">
        <f>AH91-T91-U91</f>
        <v>0</v>
      </c>
      <c r="AJ91" t="s" s="44">
        <v>0</v>
      </c>
      <c r="AK91" s="54"/>
      <c r="AL91" s="52"/>
      <c r="AM91" s="41">
        <f>AL91-Z91-AA91</f>
        <v>0</v>
      </c>
      <c r="AN91" t="s" s="44">
        <v>0</v>
      </c>
      <c r="AO91" s="54"/>
      <c r="AP91" s="52"/>
      <c r="AQ91" s="41">
        <f>AP91-Y91</f>
        <v>0</v>
      </c>
      <c r="AR91" s="51"/>
      <c r="AS91" s="55">
        <v>0</v>
      </c>
    </row>
    <row r="92" ht="54.85" customHeight="1">
      <c r="A92" t="s" s="2">
        <v>0</v>
      </c>
      <c r="B92" s="33"/>
      <c r="C92" s="34"/>
      <c r="D92" s="35"/>
      <c r="E92" s="34"/>
      <c r="F92" s="36"/>
      <c r="G92" s="34"/>
      <c r="H92" s="34"/>
      <c r="I92" t="s" s="37">
        <v>0</v>
      </c>
      <c r="J92" s="38"/>
      <c r="K92" s="39"/>
      <c r="L92" s="39"/>
      <c r="M92" s="39"/>
      <c r="N92" s="39"/>
      <c r="O92" s="39"/>
      <c r="P92" s="40">
        <f>K92-L92-O92+N92</f>
        <v>0</v>
      </c>
      <c r="Q92" s="39"/>
      <c r="R92" s="39"/>
      <c r="S92" s="40">
        <f>L92</f>
        <v>0</v>
      </c>
      <c r="T92" s="39">
        <f>P92+R92-Q92+M92</f>
        <v>0</v>
      </c>
      <c r="U92" s="39">
        <f>T92-V92-W92-X92</f>
        <v>0</v>
      </c>
      <c r="V92" s="41">
        <f>P92*0.03</f>
        <v>0</v>
      </c>
      <c r="W92" s="41">
        <f>P92*0.04</f>
        <v>0</v>
      </c>
      <c r="X92" s="41">
        <f>P92*0.05</f>
        <v>0</v>
      </c>
      <c r="Y92" s="42">
        <f>P92*0.05</f>
        <v>0</v>
      </c>
      <c r="Z92" s="39">
        <f>T92-Y92</f>
        <v>0</v>
      </c>
      <c r="AA92" s="39">
        <f>U92-Y92</f>
        <v>0</v>
      </c>
      <c r="AB92" s="43"/>
      <c r="AC92" t="s" s="37">
        <v>0</v>
      </c>
      <c r="AD92" t="s" s="37">
        <v>0</v>
      </c>
      <c r="AE92" t="s" s="37">
        <v>0</v>
      </c>
      <c r="AF92" t="s" s="44">
        <v>0</v>
      </c>
      <c r="AG92" s="45"/>
      <c r="AH92" s="39"/>
      <c r="AI92" s="41">
        <f>AH92-T92-U92</f>
        <v>0</v>
      </c>
      <c r="AJ92" t="s" s="44">
        <v>0</v>
      </c>
      <c r="AK92" s="45"/>
      <c r="AL92" s="39"/>
      <c r="AM92" s="41">
        <f>AL92-Z92-AA92</f>
        <v>0</v>
      </c>
      <c r="AN92" t="s" s="44">
        <v>0</v>
      </c>
      <c r="AO92" s="45"/>
      <c r="AP92" s="39"/>
      <c r="AQ92" s="41">
        <f>AP92-Y92</f>
        <v>0</v>
      </c>
      <c r="AR92" s="37"/>
      <c r="AS92" s="46">
        <v>0</v>
      </c>
    </row>
    <row r="93" ht="54.85" customHeight="1">
      <c r="A93" t="s" s="2">
        <v>0</v>
      </c>
      <c r="B93" s="33"/>
      <c r="C93" s="34"/>
      <c r="D93" s="35"/>
      <c r="E93" s="49"/>
      <c r="F93" s="50"/>
      <c r="G93" s="49"/>
      <c r="H93" s="49"/>
      <c r="I93" t="s" s="51">
        <v>0</v>
      </c>
      <c r="J93" s="38"/>
      <c r="K93" s="52"/>
      <c r="L93" s="52"/>
      <c r="M93" s="52"/>
      <c r="N93" s="52"/>
      <c r="O93" s="52"/>
      <c r="P93" s="40">
        <f>K93-L93-O93+N93</f>
        <v>0</v>
      </c>
      <c r="Q93" s="52"/>
      <c r="R93" s="52"/>
      <c r="S93" s="40">
        <f>L93</f>
        <v>0</v>
      </c>
      <c r="T93" s="52">
        <f>P93+R93-Q93+M93</f>
        <v>0</v>
      </c>
      <c r="U93" s="52">
        <f>T93-V93-W93-X93</f>
        <v>0</v>
      </c>
      <c r="V93" s="41">
        <f>P93*0.03</f>
        <v>0</v>
      </c>
      <c r="W93" s="41">
        <f>P93*0.04</f>
        <v>0</v>
      </c>
      <c r="X93" s="41">
        <f>P93*0.05</f>
        <v>0</v>
      </c>
      <c r="Y93" s="42">
        <f>P93*0.05</f>
        <v>0</v>
      </c>
      <c r="Z93" s="52">
        <f>T93-Y93</f>
        <v>0</v>
      </c>
      <c r="AA93" s="52">
        <f>U93-Y93</f>
        <v>0</v>
      </c>
      <c r="AB93" s="43"/>
      <c r="AC93" t="s" s="51">
        <v>0</v>
      </c>
      <c r="AD93" t="s" s="51">
        <v>0</v>
      </c>
      <c r="AE93" t="s" s="51">
        <v>0</v>
      </c>
      <c r="AF93" t="s" s="44">
        <v>0</v>
      </c>
      <c r="AG93" s="54"/>
      <c r="AH93" s="52"/>
      <c r="AI93" s="41">
        <f>AH93-T93-U93</f>
        <v>0</v>
      </c>
      <c r="AJ93" t="s" s="44">
        <v>0</v>
      </c>
      <c r="AK93" s="54"/>
      <c r="AL93" s="52"/>
      <c r="AM93" s="41">
        <f>AL93-Z93-AA93</f>
        <v>0</v>
      </c>
      <c r="AN93" t="s" s="44">
        <v>0</v>
      </c>
      <c r="AO93" s="54"/>
      <c r="AP93" s="52"/>
      <c r="AQ93" s="41">
        <f>AP93-Y93</f>
        <v>0</v>
      </c>
      <c r="AR93" s="51"/>
      <c r="AS93" s="55">
        <v>0</v>
      </c>
    </row>
    <row r="94" ht="54.85" customHeight="1">
      <c r="A94" t="s" s="2">
        <v>0</v>
      </c>
      <c r="B94" s="33"/>
      <c r="C94" s="34"/>
      <c r="D94" s="35"/>
      <c r="E94" s="34"/>
      <c r="F94" s="36"/>
      <c r="G94" s="34"/>
      <c r="H94" s="34"/>
      <c r="I94" t="s" s="37">
        <v>0</v>
      </c>
      <c r="J94" s="38"/>
      <c r="K94" s="39"/>
      <c r="L94" s="39"/>
      <c r="M94" s="39"/>
      <c r="N94" s="39"/>
      <c r="O94" s="39"/>
      <c r="P94" s="40">
        <f>K94-L94-O94+N94</f>
        <v>0</v>
      </c>
      <c r="Q94" s="39"/>
      <c r="R94" s="39"/>
      <c r="S94" s="40">
        <f>L94</f>
        <v>0</v>
      </c>
      <c r="T94" s="39">
        <f>P94+R94-Q94+M94</f>
        <v>0</v>
      </c>
      <c r="U94" s="39">
        <f>T94-V94-W94-X94</f>
        <v>0</v>
      </c>
      <c r="V94" s="41">
        <f>P94*0.03</f>
        <v>0</v>
      </c>
      <c r="W94" s="41">
        <f>P94*0.04</f>
        <v>0</v>
      </c>
      <c r="X94" s="41">
        <f>P94*0.05</f>
        <v>0</v>
      </c>
      <c r="Y94" s="42">
        <f>P94*0.05</f>
        <v>0</v>
      </c>
      <c r="Z94" s="39">
        <f>T94-Y94</f>
        <v>0</v>
      </c>
      <c r="AA94" s="39">
        <f>U94-Y94</f>
        <v>0</v>
      </c>
      <c r="AB94" s="43"/>
      <c r="AC94" t="s" s="37">
        <v>0</v>
      </c>
      <c r="AD94" t="s" s="37">
        <v>0</v>
      </c>
      <c r="AE94" t="s" s="37">
        <v>0</v>
      </c>
      <c r="AF94" t="s" s="44">
        <v>0</v>
      </c>
      <c r="AG94" s="45"/>
      <c r="AH94" s="39"/>
      <c r="AI94" s="41">
        <f>AH94-T94-U94</f>
        <v>0</v>
      </c>
      <c r="AJ94" t="s" s="44">
        <v>0</v>
      </c>
      <c r="AK94" s="45"/>
      <c r="AL94" s="39"/>
      <c r="AM94" s="41">
        <f>AL94-Z94-AA94</f>
        <v>0</v>
      </c>
      <c r="AN94" t="s" s="44">
        <v>0</v>
      </c>
      <c r="AO94" s="45"/>
      <c r="AP94" s="39"/>
      <c r="AQ94" s="41">
        <f>AP94-Y94</f>
        <v>0</v>
      </c>
      <c r="AR94" s="37"/>
      <c r="AS94" s="46">
        <v>0</v>
      </c>
    </row>
    <row r="95" ht="54.85" customHeight="1">
      <c r="A95" t="s" s="2">
        <v>0</v>
      </c>
      <c r="B95" s="33"/>
      <c r="C95" s="34"/>
      <c r="D95" s="35"/>
      <c r="E95" s="49"/>
      <c r="F95" s="50"/>
      <c r="G95" s="49"/>
      <c r="H95" s="49"/>
      <c r="I95" t="s" s="51">
        <v>0</v>
      </c>
      <c r="J95" s="38"/>
      <c r="K95" s="52"/>
      <c r="L95" s="52"/>
      <c r="M95" s="52"/>
      <c r="N95" s="52"/>
      <c r="O95" s="52"/>
      <c r="P95" s="40">
        <f>K95-L95-O95+N95</f>
        <v>0</v>
      </c>
      <c r="Q95" s="52"/>
      <c r="R95" s="52"/>
      <c r="S95" s="40">
        <f>L95</f>
        <v>0</v>
      </c>
      <c r="T95" s="52">
        <f>P95+R95-Q95+M95</f>
        <v>0</v>
      </c>
      <c r="U95" s="52">
        <f>T95-V95-W95-X95</f>
        <v>0</v>
      </c>
      <c r="V95" s="41">
        <f>P95*0.03</f>
        <v>0</v>
      </c>
      <c r="W95" s="41">
        <f>P95*0.04</f>
        <v>0</v>
      </c>
      <c r="X95" s="41">
        <f>P95*0.05</f>
        <v>0</v>
      </c>
      <c r="Y95" s="42">
        <f>P95*0.05</f>
        <v>0</v>
      </c>
      <c r="Z95" s="52">
        <f>T95-Y95</f>
        <v>0</v>
      </c>
      <c r="AA95" s="52">
        <f>U95-Y95</f>
        <v>0</v>
      </c>
      <c r="AB95" s="43"/>
      <c r="AC95" t="s" s="51">
        <v>0</v>
      </c>
      <c r="AD95" t="s" s="51">
        <v>0</v>
      </c>
      <c r="AE95" t="s" s="51">
        <v>0</v>
      </c>
      <c r="AF95" t="s" s="44">
        <v>0</v>
      </c>
      <c r="AG95" s="54"/>
      <c r="AH95" s="52"/>
      <c r="AI95" s="41">
        <f>AH95-T95-U95</f>
        <v>0</v>
      </c>
      <c r="AJ95" t="s" s="44">
        <v>0</v>
      </c>
      <c r="AK95" s="54"/>
      <c r="AL95" s="52"/>
      <c r="AM95" s="41">
        <f>AL95-Z95-AA95</f>
        <v>0</v>
      </c>
      <c r="AN95" t="s" s="44">
        <v>0</v>
      </c>
      <c r="AO95" s="54"/>
      <c r="AP95" s="52"/>
      <c r="AQ95" s="41">
        <f>AP95-Y95</f>
        <v>0</v>
      </c>
      <c r="AR95" s="51"/>
      <c r="AS95" s="55">
        <v>0</v>
      </c>
    </row>
    <row r="96" ht="54.85" customHeight="1">
      <c r="A96" t="s" s="2">
        <v>0</v>
      </c>
      <c r="B96" s="33"/>
      <c r="C96" s="34"/>
      <c r="D96" s="35"/>
      <c r="E96" s="34"/>
      <c r="F96" s="36"/>
      <c r="G96" s="34"/>
      <c r="H96" s="34"/>
      <c r="I96" t="s" s="37">
        <v>0</v>
      </c>
      <c r="J96" s="38"/>
      <c r="K96" s="39"/>
      <c r="L96" s="39"/>
      <c r="M96" s="39"/>
      <c r="N96" s="39"/>
      <c r="O96" s="39"/>
      <c r="P96" s="40">
        <f>K96-L96-O96+N96</f>
        <v>0</v>
      </c>
      <c r="Q96" s="39"/>
      <c r="R96" s="39"/>
      <c r="S96" s="40">
        <f>L96</f>
        <v>0</v>
      </c>
      <c r="T96" s="39">
        <f>P96+R96-Q96+M96</f>
        <v>0</v>
      </c>
      <c r="U96" s="39">
        <f>T96-V96-W96-X96</f>
        <v>0</v>
      </c>
      <c r="V96" s="41">
        <f>P96*0.03</f>
        <v>0</v>
      </c>
      <c r="W96" s="41">
        <f>P96*0.04</f>
        <v>0</v>
      </c>
      <c r="X96" s="41">
        <f>P96*0.05</f>
        <v>0</v>
      </c>
      <c r="Y96" s="42">
        <f>P96*0.05</f>
        <v>0</v>
      </c>
      <c r="Z96" s="39">
        <f>T96-Y96</f>
        <v>0</v>
      </c>
      <c r="AA96" s="39">
        <f>U96-Y96</f>
        <v>0</v>
      </c>
      <c r="AB96" s="43"/>
      <c r="AC96" t="s" s="37">
        <v>0</v>
      </c>
      <c r="AD96" t="s" s="37">
        <v>0</v>
      </c>
      <c r="AE96" t="s" s="37">
        <v>0</v>
      </c>
      <c r="AF96" t="s" s="44">
        <v>0</v>
      </c>
      <c r="AG96" s="45"/>
      <c r="AH96" s="39"/>
      <c r="AI96" s="41">
        <f>AH96-T96-U96</f>
        <v>0</v>
      </c>
      <c r="AJ96" t="s" s="44">
        <v>0</v>
      </c>
      <c r="AK96" s="45"/>
      <c r="AL96" s="39"/>
      <c r="AM96" s="41">
        <f>AL96-Z96-AA96</f>
        <v>0</v>
      </c>
      <c r="AN96" t="s" s="44">
        <v>0</v>
      </c>
      <c r="AO96" s="45"/>
      <c r="AP96" s="39"/>
      <c r="AQ96" s="41">
        <f>AP96-Y96</f>
        <v>0</v>
      </c>
      <c r="AR96" s="37"/>
      <c r="AS96" s="46">
        <v>0</v>
      </c>
    </row>
    <row r="97" ht="54.85" customHeight="1">
      <c r="A97" t="s" s="2">
        <v>0</v>
      </c>
      <c r="B97" s="33"/>
      <c r="C97" s="34"/>
      <c r="D97" s="35"/>
      <c r="E97" s="49"/>
      <c r="F97" s="50"/>
      <c r="G97" s="49"/>
      <c r="H97" s="49"/>
      <c r="I97" t="s" s="51">
        <v>0</v>
      </c>
      <c r="J97" s="38"/>
      <c r="K97" s="52"/>
      <c r="L97" s="52"/>
      <c r="M97" s="52"/>
      <c r="N97" s="52"/>
      <c r="O97" s="52"/>
      <c r="P97" s="40">
        <f>K97-L97-O97+N97</f>
        <v>0</v>
      </c>
      <c r="Q97" s="52"/>
      <c r="R97" s="52"/>
      <c r="S97" s="40">
        <f>L97</f>
        <v>0</v>
      </c>
      <c r="T97" s="52">
        <f>P97+R97-Q97+M97</f>
        <v>0</v>
      </c>
      <c r="U97" s="52">
        <f>T97-V97-W97-X97</f>
        <v>0</v>
      </c>
      <c r="V97" s="41">
        <f>P97*0.03</f>
        <v>0</v>
      </c>
      <c r="W97" s="41">
        <f>P97*0.04</f>
        <v>0</v>
      </c>
      <c r="X97" s="41">
        <f>P97*0.05</f>
        <v>0</v>
      </c>
      <c r="Y97" s="42">
        <f>P97*0.05</f>
        <v>0</v>
      </c>
      <c r="Z97" s="52">
        <f>T97-Y97</f>
        <v>0</v>
      </c>
      <c r="AA97" s="52">
        <f>U97-Y97</f>
        <v>0</v>
      </c>
      <c r="AB97" s="43"/>
      <c r="AC97" t="s" s="51">
        <v>0</v>
      </c>
      <c r="AD97" t="s" s="51">
        <v>0</v>
      </c>
      <c r="AE97" t="s" s="51">
        <v>0</v>
      </c>
      <c r="AF97" t="s" s="44">
        <v>0</v>
      </c>
      <c r="AG97" s="54"/>
      <c r="AH97" s="52"/>
      <c r="AI97" s="41">
        <f>AH97-T97-U97</f>
        <v>0</v>
      </c>
      <c r="AJ97" t="s" s="44">
        <v>0</v>
      </c>
      <c r="AK97" s="54"/>
      <c r="AL97" s="52"/>
      <c r="AM97" s="41">
        <f>AL97-Z97-AA97</f>
        <v>0</v>
      </c>
      <c r="AN97" t="s" s="44">
        <v>0</v>
      </c>
      <c r="AO97" s="54"/>
      <c r="AP97" s="52"/>
      <c r="AQ97" s="41">
        <f>AP97-Y97</f>
        <v>0</v>
      </c>
      <c r="AR97" s="51"/>
      <c r="AS97" s="55">
        <v>0</v>
      </c>
    </row>
    <row r="98" ht="54.85" customHeight="1">
      <c r="A98" t="s" s="2">
        <v>0</v>
      </c>
      <c r="B98" s="33"/>
      <c r="C98" s="34"/>
      <c r="D98" s="35"/>
      <c r="E98" s="34"/>
      <c r="F98" s="36"/>
      <c r="G98" s="34"/>
      <c r="H98" s="34"/>
      <c r="I98" t="s" s="37">
        <v>0</v>
      </c>
      <c r="J98" s="38"/>
      <c r="K98" s="39"/>
      <c r="L98" s="39"/>
      <c r="M98" s="39"/>
      <c r="N98" s="39"/>
      <c r="O98" s="39"/>
      <c r="P98" s="40">
        <f>K98-L98-O98+N98</f>
        <v>0</v>
      </c>
      <c r="Q98" s="39"/>
      <c r="R98" s="39"/>
      <c r="S98" s="40">
        <f>L98</f>
        <v>0</v>
      </c>
      <c r="T98" s="39">
        <f>P98+R98-Q98+M98</f>
        <v>0</v>
      </c>
      <c r="U98" s="39">
        <f>T98-V98-W98-X98</f>
        <v>0</v>
      </c>
      <c r="V98" s="41">
        <f>P98*0.03</f>
        <v>0</v>
      </c>
      <c r="W98" s="41">
        <f>P98*0.04</f>
        <v>0</v>
      </c>
      <c r="X98" s="41">
        <f>P98*0.05</f>
        <v>0</v>
      </c>
      <c r="Y98" s="42">
        <f>P98*0.05</f>
        <v>0</v>
      </c>
      <c r="Z98" s="39">
        <f>T98-Y98</f>
        <v>0</v>
      </c>
      <c r="AA98" s="39">
        <f>U98-Y98</f>
        <v>0</v>
      </c>
      <c r="AB98" s="43"/>
      <c r="AC98" t="s" s="37">
        <v>0</v>
      </c>
      <c r="AD98" t="s" s="37">
        <v>0</v>
      </c>
      <c r="AE98" t="s" s="37">
        <v>0</v>
      </c>
      <c r="AF98" t="s" s="44">
        <v>0</v>
      </c>
      <c r="AG98" s="45"/>
      <c r="AH98" s="39"/>
      <c r="AI98" s="41">
        <f>AH98-T98-U98</f>
        <v>0</v>
      </c>
      <c r="AJ98" t="s" s="44">
        <v>0</v>
      </c>
      <c r="AK98" s="45"/>
      <c r="AL98" s="39"/>
      <c r="AM98" s="41">
        <f>AL98-Z98-AA98</f>
        <v>0</v>
      </c>
      <c r="AN98" t="s" s="44">
        <v>0</v>
      </c>
      <c r="AO98" s="45"/>
      <c r="AP98" s="39"/>
      <c r="AQ98" s="41">
        <f>AP98-Y98</f>
        <v>0</v>
      </c>
      <c r="AR98" s="37"/>
      <c r="AS98" s="46">
        <v>0</v>
      </c>
    </row>
    <row r="99" ht="54.85" customHeight="1">
      <c r="A99" t="s" s="2">
        <v>0</v>
      </c>
      <c r="B99" s="33"/>
      <c r="C99" s="34"/>
      <c r="D99" s="35"/>
      <c r="E99" s="49"/>
      <c r="F99" s="50"/>
      <c r="G99" s="49"/>
      <c r="H99" s="49"/>
      <c r="I99" t="s" s="51">
        <v>0</v>
      </c>
      <c r="J99" s="38"/>
      <c r="K99" s="52"/>
      <c r="L99" s="52"/>
      <c r="M99" s="52"/>
      <c r="N99" s="52"/>
      <c r="O99" s="52"/>
      <c r="P99" s="40">
        <f>K99-L99-O99+N99</f>
        <v>0</v>
      </c>
      <c r="Q99" s="52"/>
      <c r="R99" s="52"/>
      <c r="S99" s="40">
        <f>L99</f>
        <v>0</v>
      </c>
      <c r="T99" s="52">
        <f>P99+R99-Q99+M99</f>
        <v>0</v>
      </c>
      <c r="U99" s="52">
        <f>T99-V99-W99-X99</f>
        <v>0</v>
      </c>
      <c r="V99" s="41">
        <f>P99*0.03</f>
        <v>0</v>
      </c>
      <c r="W99" s="41">
        <f>P99*0.04</f>
        <v>0</v>
      </c>
      <c r="X99" s="41">
        <f>P99*0.05</f>
        <v>0</v>
      </c>
      <c r="Y99" s="42">
        <f>P99*0.05</f>
        <v>0</v>
      </c>
      <c r="Z99" s="52">
        <f>T99-Y99</f>
        <v>0</v>
      </c>
      <c r="AA99" s="52">
        <f>U99-Y99</f>
        <v>0</v>
      </c>
      <c r="AB99" s="43"/>
      <c r="AC99" t="s" s="51">
        <v>0</v>
      </c>
      <c r="AD99" t="s" s="51">
        <v>0</v>
      </c>
      <c r="AE99" t="s" s="51">
        <v>0</v>
      </c>
      <c r="AF99" t="s" s="44">
        <v>0</v>
      </c>
      <c r="AG99" s="54"/>
      <c r="AH99" s="52"/>
      <c r="AI99" s="41">
        <f>AH99-T99-U99</f>
        <v>0</v>
      </c>
      <c r="AJ99" t="s" s="44">
        <v>0</v>
      </c>
      <c r="AK99" s="54"/>
      <c r="AL99" s="52"/>
      <c r="AM99" s="41">
        <f>AL99-Z99-AA99</f>
        <v>0</v>
      </c>
      <c r="AN99" t="s" s="44">
        <v>0</v>
      </c>
      <c r="AO99" s="54"/>
      <c r="AP99" s="52"/>
      <c r="AQ99" s="41">
        <f>AP99-Y99</f>
        <v>0</v>
      </c>
      <c r="AR99" s="51"/>
      <c r="AS99" s="55">
        <v>0</v>
      </c>
    </row>
    <row r="100" ht="54.85" customHeight="1">
      <c r="A100" t="s" s="2">
        <v>0</v>
      </c>
      <c r="B100" s="33"/>
      <c r="C100" s="34"/>
      <c r="D100" s="35"/>
      <c r="E100" s="34"/>
      <c r="F100" s="36"/>
      <c r="G100" s="34"/>
      <c r="H100" s="34"/>
      <c r="I100" t="s" s="37">
        <v>0</v>
      </c>
      <c r="J100" s="38"/>
      <c r="K100" s="39"/>
      <c r="L100" s="39"/>
      <c r="M100" s="39"/>
      <c r="N100" s="39"/>
      <c r="O100" s="39"/>
      <c r="P100" s="40">
        <f>K100-L100-O100+N100</f>
        <v>0</v>
      </c>
      <c r="Q100" s="39"/>
      <c r="R100" s="39"/>
      <c r="S100" s="40">
        <f>L100</f>
        <v>0</v>
      </c>
      <c r="T100" s="39">
        <f>P100+R100-Q100+M100</f>
        <v>0</v>
      </c>
      <c r="U100" s="39">
        <f>T100-V100-W100-X100</f>
        <v>0</v>
      </c>
      <c r="V100" s="41">
        <f>P100*0.03</f>
        <v>0</v>
      </c>
      <c r="W100" s="41">
        <f>P100*0.04</f>
        <v>0</v>
      </c>
      <c r="X100" s="41">
        <f>P100*0.05</f>
        <v>0</v>
      </c>
      <c r="Y100" s="42">
        <f>P100*0.05</f>
        <v>0</v>
      </c>
      <c r="Z100" s="39">
        <f>T100-Y100</f>
        <v>0</v>
      </c>
      <c r="AA100" s="39">
        <f>U100-Y100</f>
        <v>0</v>
      </c>
      <c r="AB100" s="43"/>
      <c r="AC100" t="s" s="37">
        <v>0</v>
      </c>
      <c r="AD100" t="s" s="37">
        <v>0</v>
      </c>
      <c r="AE100" t="s" s="37">
        <v>0</v>
      </c>
      <c r="AF100" t="s" s="44">
        <v>0</v>
      </c>
      <c r="AG100" s="45"/>
      <c r="AH100" s="39"/>
      <c r="AI100" s="41">
        <f>AH100-T100-U100</f>
        <v>0</v>
      </c>
      <c r="AJ100" t="s" s="44">
        <v>0</v>
      </c>
      <c r="AK100" s="45"/>
      <c r="AL100" s="39"/>
      <c r="AM100" s="41">
        <f>AL100-Z100-AA100</f>
        <v>0</v>
      </c>
      <c r="AN100" t="s" s="44">
        <v>0</v>
      </c>
      <c r="AO100" s="45"/>
      <c r="AP100" s="39"/>
      <c r="AQ100" s="41">
        <f>AP100-Y100</f>
        <v>0</v>
      </c>
      <c r="AR100" s="37"/>
      <c r="AS100" s="46">
        <v>0</v>
      </c>
    </row>
    <row r="101" ht="54.85" customHeight="1">
      <c r="A101" t="s" s="2">
        <v>0</v>
      </c>
      <c r="B101" s="33"/>
      <c r="C101" s="34"/>
      <c r="D101" s="35"/>
      <c r="E101" s="49"/>
      <c r="F101" s="50"/>
      <c r="G101" s="49"/>
      <c r="H101" s="49"/>
      <c r="I101" t="s" s="51">
        <v>0</v>
      </c>
      <c r="J101" s="38"/>
      <c r="K101" s="52"/>
      <c r="L101" s="52"/>
      <c r="M101" s="52"/>
      <c r="N101" s="52"/>
      <c r="O101" s="52"/>
      <c r="P101" s="40">
        <f>K101-L101-O101+N101</f>
        <v>0</v>
      </c>
      <c r="Q101" s="52"/>
      <c r="R101" s="52"/>
      <c r="S101" s="40">
        <f>L101</f>
        <v>0</v>
      </c>
      <c r="T101" s="52">
        <f>P101+R101-Q101+M101</f>
        <v>0</v>
      </c>
      <c r="U101" s="52">
        <f>T101-V101-W101-X101</f>
        <v>0</v>
      </c>
      <c r="V101" s="41">
        <f>P101*0.03</f>
        <v>0</v>
      </c>
      <c r="W101" s="41">
        <f>P101*0.04</f>
        <v>0</v>
      </c>
      <c r="X101" s="41">
        <f>P101*0.05</f>
        <v>0</v>
      </c>
      <c r="Y101" s="42">
        <f>P101*0.05</f>
        <v>0</v>
      </c>
      <c r="Z101" s="52">
        <f>T101-Y101</f>
        <v>0</v>
      </c>
      <c r="AA101" s="52">
        <f>U101-Y101</f>
        <v>0</v>
      </c>
      <c r="AB101" s="43"/>
      <c r="AC101" t="s" s="51">
        <v>0</v>
      </c>
      <c r="AD101" t="s" s="51">
        <v>0</v>
      </c>
      <c r="AE101" t="s" s="51">
        <v>0</v>
      </c>
      <c r="AF101" t="s" s="44">
        <v>0</v>
      </c>
      <c r="AG101" s="54"/>
      <c r="AH101" s="52"/>
      <c r="AI101" s="41">
        <f>AH101-T101-U101</f>
        <v>0</v>
      </c>
      <c r="AJ101" t="s" s="44">
        <v>0</v>
      </c>
      <c r="AK101" s="54"/>
      <c r="AL101" s="52"/>
      <c r="AM101" s="41">
        <f>AL101-Z101-AA101</f>
        <v>0</v>
      </c>
      <c r="AN101" t="s" s="44">
        <v>0</v>
      </c>
      <c r="AO101" s="54"/>
      <c r="AP101" s="52"/>
      <c r="AQ101" s="41">
        <f>AP101-Y101</f>
        <v>0</v>
      </c>
      <c r="AR101" s="51"/>
      <c r="AS101" s="55">
        <v>0</v>
      </c>
    </row>
    <row r="102" ht="54.85" customHeight="1">
      <c r="A102" t="s" s="2">
        <v>0</v>
      </c>
      <c r="B102" s="33"/>
      <c r="C102" s="34"/>
      <c r="D102" s="35"/>
      <c r="E102" s="34"/>
      <c r="F102" s="36"/>
      <c r="G102" s="34"/>
      <c r="H102" s="34"/>
      <c r="I102" t="s" s="37">
        <v>0</v>
      </c>
      <c r="J102" s="38"/>
      <c r="K102" s="39"/>
      <c r="L102" s="39"/>
      <c r="M102" s="39"/>
      <c r="N102" s="39"/>
      <c r="O102" s="39"/>
      <c r="P102" s="40">
        <f>K102-L102-O102+N102</f>
        <v>0</v>
      </c>
      <c r="Q102" s="39"/>
      <c r="R102" s="39"/>
      <c r="S102" s="40">
        <f>L102</f>
        <v>0</v>
      </c>
      <c r="T102" s="39">
        <f>P102+R102-Q102+M102</f>
        <v>0</v>
      </c>
      <c r="U102" s="39">
        <f>T102-V102-W102-X102</f>
        <v>0</v>
      </c>
      <c r="V102" s="41">
        <f>P102*0.03</f>
        <v>0</v>
      </c>
      <c r="W102" s="41">
        <f>P102*0.04</f>
        <v>0</v>
      </c>
      <c r="X102" s="41">
        <f>P102*0.05</f>
        <v>0</v>
      </c>
      <c r="Y102" s="42">
        <f>P102*0.05</f>
        <v>0</v>
      </c>
      <c r="Z102" s="39">
        <f>T102-Y102</f>
        <v>0</v>
      </c>
      <c r="AA102" s="39">
        <f>U102-Y102</f>
        <v>0</v>
      </c>
      <c r="AB102" s="43"/>
      <c r="AC102" t="s" s="37">
        <v>0</v>
      </c>
      <c r="AD102" t="s" s="37">
        <v>0</v>
      </c>
      <c r="AE102" t="s" s="37">
        <v>0</v>
      </c>
      <c r="AF102" t="s" s="44">
        <v>0</v>
      </c>
      <c r="AG102" s="45"/>
      <c r="AH102" s="39"/>
      <c r="AI102" s="41">
        <f>AH102-T102-U102</f>
        <v>0</v>
      </c>
      <c r="AJ102" t="s" s="44">
        <v>0</v>
      </c>
      <c r="AK102" s="45"/>
      <c r="AL102" s="39"/>
      <c r="AM102" s="41">
        <f>AL102-Z102-AA102</f>
        <v>0</v>
      </c>
      <c r="AN102" t="s" s="44">
        <v>0</v>
      </c>
      <c r="AO102" s="45"/>
      <c r="AP102" s="39"/>
      <c r="AQ102" s="41">
        <f>AP102-Y102</f>
        <v>0</v>
      </c>
      <c r="AR102" s="37"/>
      <c r="AS102" s="46">
        <v>0</v>
      </c>
    </row>
    <row r="103" ht="54.85" customHeight="1">
      <c r="A103" t="s" s="2">
        <v>0</v>
      </c>
      <c r="B103" s="33"/>
      <c r="C103" s="34"/>
      <c r="D103" s="35"/>
      <c r="E103" s="49"/>
      <c r="F103" s="50"/>
      <c r="G103" s="49"/>
      <c r="H103" s="49"/>
      <c r="I103" t="s" s="51">
        <v>0</v>
      </c>
      <c r="J103" s="38"/>
      <c r="K103" s="52"/>
      <c r="L103" s="52"/>
      <c r="M103" s="52"/>
      <c r="N103" s="52"/>
      <c r="O103" s="52"/>
      <c r="P103" s="40">
        <f>K103-L103-O103+N103</f>
        <v>0</v>
      </c>
      <c r="Q103" s="52"/>
      <c r="R103" s="52"/>
      <c r="S103" s="40">
        <f>L103</f>
        <v>0</v>
      </c>
      <c r="T103" s="52">
        <f>P103+R103-Q103+M103</f>
        <v>0</v>
      </c>
      <c r="U103" s="52">
        <f>T103-V103-W103-X103</f>
        <v>0</v>
      </c>
      <c r="V103" s="41">
        <f>P103*0.03</f>
        <v>0</v>
      </c>
      <c r="W103" s="41">
        <f>P103*0.04</f>
        <v>0</v>
      </c>
      <c r="X103" s="41">
        <f>P103*0.05</f>
        <v>0</v>
      </c>
      <c r="Y103" s="42">
        <f>P103*0.05</f>
        <v>0</v>
      </c>
      <c r="Z103" s="52">
        <f>T103-Y103</f>
        <v>0</v>
      </c>
      <c r="AA103" s="52">
        <f>U103-Y103</f>
        <v>0</v>
      </c>
      <c r="AB103" s="43"/>
      <c r="AC103" t="s" s="51">
        <v>0</v>
      </c>
      <c r="AD103" t="s" s="51">
        <v>0</v>
      </c>
      <c r="AE103" t="s" s="51">
        <v>0</v>
      </c>
      <c r="AF103" t="s" s="44">
        <v>0</v>
      </c>
      <c r="AG103" s="54"/>
      <c r="AH103" s="52"/>
      <c r="AI103" s="41">
        <f>AH103-T103-U103</f>
        <v>0</v>
      </c>
      <c r="AJ103" t="s" s="44">
        <v>0</v>
      </c>
      <c r="AK103" s="54"/>
      <c r="AL103" s="52"/>
      <c r="AM103" s="41">
        <f>AL103-Z103-AA103</f>
        <v>0</v>
      </c>
      <c r="AN103" t="s" s="44">
        <v>0</v>
      </c>
      <c r="AO103" s="54"/>
      <c r="AP103" s="52"/>
      <c r="AQ103" s="41">
        <f>AP103-Y103</f>
        <v>0</v>
      </c>
      <c r="AR103" s="51"/>
      <c r="AS103" s="55">
        <v>0</v>
      </c>
    </row>
    <row r="104" ht="54.85" customHeight="1">
      <c r="A104" t="s" s="2">
        <v>0</v>
      </c>
      <c r="B104" s="33"/>
      <c r="C104" s="34"/>
      <c r="D104" s="35"/>
      <c r="E104" s="34"/>
      <c r="F104" s="36"/>
      <c r="G104" s="34"/>
      <c r="H104" s="34"/>
      <c r="I104" t="s" s="37">
        <v>0</v>
      </c>
      <c r="J104" s="38"/>
      <c r="K104" s="39"/>
      <c r="L104" s="39"/>
      <c r="M104" s="39"/>
      <c r="N104" s="39"/>
      <c r="O104" s="39"/>
      <c r="P104" s="40">
        <f>K104-L104-O104+N104</f>
        <v>0</v>
      </c>
      <c r="Q104" s="39"/>
      <c r="R104" s="39"/>
      <c r="S104" s="40">
        <f>L104</f>
        <v>0</v>
      </c>
      <c r="T104" s="39">
        <f>P104+R104-Q104+M104</f>
        <v>0</v>
      </c>
      <c r="U104" s="39">
        <f>T104-V104-W104-X104</f>
        <v>0</v>
      </c>
      <c r="V104" s="41">
        <f>P104*0.03</f>
        <v>0</v>
      </c>
      <c r="W104" s="41">
        <f>P104*0.04</f>
        <v>0</v>
      </c>
      <c r="X104" s="41">
        <f>P104*0.05</f>
        <v>0</v>
      </c>
      <c r="Y104" s="42">
        <f>P104*0.05</f>
        <v>0</v>
      </c>
      <c r="Z104" s="39">
        <f>T104-Y104</f>
        <v>0</v>
      </c>
      <c r="AA104" s="39">
        <f>U104-Y104</f>
        <v>0</v>
      </c>
      <c r="AB104" s="43"/>
      <c r="AC104" t="s" s="37">
        <v>0</v>
      </c>
      <c r="AD104" t="s" s="37">
        <v>0</v>
      </c>
      <c r="AE104" t="s" s="37">
        <v>0</v>
      </c>
      <c r="AF104" t="s" s="44">
        <v>0</v>
      </c>
      <c r="AG104" s="45"/>
      <c r="AH104" s="39"/>
      <c r="AI104" s="41">
        <f>AH104-T104-U104</f>
        <v>0</v>
      </c>
      <c r="AJ104" t="s" s="44">
        <v>0</v>
      </c>
      <c r="AK104" s="45"/>
      <c r="AL104" s="39"/>
      <c r="AM104" s="41">
        <f>AL104-Z104-AA104</f>
        <v>0</v>
      </c>
      <c r="AN104" t="s" s="44">
        <v>0</v>
      </c>
      <c r="AO104" s="45"/>
      <c r="AP104" s="39"/>
      <c r="AQ104" s="41">
        <f>AP104-Y104</f>
        <v>0</v>
      </c>
      <c r="AR104" s="37"/>
      <c r="AS104" s="46">
        <v>0</v>
      </c>
    </row>
    <row r="105" ht="54.85" customHeight="1">
      <c r="A105" t="s" s="2">
        <v>0</v>
      </c>
      <c r="B105" s="33"/>
      <c r="C105" s="34"/>
      <c r="D105" s="35"/>
      <c r="E105" s="49"/>
      <c r="F105" s="50"/>
      <c r="G105" s="49"/>
      <c r="H105" s="49"/>
      <c r="I105" t="s" s="51">
        <v>0</v>
      </c>
      <c r="J105" s="38"/>
      <c r="K105" s="52"/>
      <c r="L105" s="52"/>
      <c r="M105" s="52"/>
      <c r="N105" s="52"/>
      <c r="O105" s="52"/>
      <c r="P105" s="40">
        <f>K105-L105-O105+N105</f>
        <v>0</v>
      </c>
      <c r="Q105" s="52"/>
      <c r="R105" s="52"/>
      <c r="S105" s="40">
        <f>L105</f>
        <v>0</v>
      </c>
      <c r="T105" s="52">
        <f>P105+R105-Q105+M105</f>
        <v>0</v>
      </c>
      <c r="U105" s="52">
        <f>T105-V105-W105-X105</f>
        <v>0</v>
      </c>
      <c r="V105" s="41">
        <f>P105*0.03</f>
        <v>0</v>
      </c>
      <c r="W105" s="41">
        <f>P105*0.04</f>
        <v>0</v>
      </c>
      <c r="X105" s="41">
        <f>P105*0.05</f>
        <v>0</v>
      </c>
      <c r="Y105" s="42">
        <f>P105*0.05</f>
        <v>0</v>
      </c>
      <c r="Z105" s="52">
        <f>T105-Y105</f>
        <v>0</v>
      </c>
      <c r="AA105" s="52">
        <f>U105-Y105</f>
        <v>0</v>
      </c>
      <c r="AB105" s="43"/>
      <c r="AC105" t="s" s="51">
        <v>0</v>
      </c>
      <c r="AD105" t="s" s="51">
        <v>0</v>
      </c>
      <c r="AE105" t="s" s="51">
        <v>0</v>
      </c>
      <c r="AF105" t="s" s="44">
        <v>0</v>
      </c>
      <c r="AG105" s="54"/>
      <c r="AH105" s="52"/>
      <c r="AI105" s="41">
        <f>AH105-T105-U105</f>
        <v>0</v>
      </c>
      <c r="AJ105" t="s" s="44">
        <v>0</v>
      </c>
      <c r="AK105" s="54"/>
      <c r="AL105" s="52"/>
      <c r="AM105" s="41">
        <f>AL105-Z105-AA105</f>
        <v>0</v>
      </c>
      <c r="AN105" t="s" s="44">
        <v>0</v>
      </c>
      <c r="AO105" s="54"/>
      <c r="AP105" s="52"/>
      <c r="AQ105" s="41">
        <f>AP105-Y105</f>
        <v>0</v>
      </c>
      <c r="AR105" s="51"/>
      <c r="AS105" s="55">
        <v>0</v>
      </c>
    </row>
    <row r="106" ht="54.85" customHeight="1">
      <c r="A106" t="s" s="2">
        <v>0</v>
      </c>
      <c r="B106" s="33"/>
      <c r="C106" s="34"/>
      <c r="D106" s="35"/>
      <c r="E106" s="34"/>
      <c r="F106" s="36"/>
      <c r="G106" s="34"/>
      <c r="H106" s="34"/>
      <c r="I106" t="s" s="37">
        <v>0</v>
      </c>
      <c r="J106" s="38"/>
      <c r="K106" s="39"/>
      <c r="L106" s="39"/>
      <c r="M106" s="39"/>
      <c r="N106" s="39"/>
      <c r="O106" s="39"/>
      <c r="P106" s="40">
        <f>K106-L106-O106+N106</f>
        <v>0</v>
      </c>
      <c r="Q106" s="39"/>
      <c r="R106" s="39"/>
      <c r="S106" s="40">
        <f>L106</f>
        <v>0</v>
      </c>
      <c r="T106" s="39">
        <f>P106+R106-Q106+M106</f>
        <v>0</v>
      </c>
      <c r="U106" s="39">
        <f>T106-V106-W106-X106</f>
        <v>0</v>
      </c>
      <c r="V106" s="41">
        <f>P106*0.03</f>
        <v>0</v>
      </c>
      <c r="W106" s="41">
        <f>P106*0.04</f>
        <v>0</v>
      </c>
      <c r="X106" s="41">
        <f>P106*0.05</f>
        <v>0</v>
      </c>
      <c r="Y106" s="42">
        <f>P106*0.05</f>
        <v>0</v>
      </c>
      <c r="Z106" s="39">
        <f>T106-Y106</f>
        <v>0</v>
      </c>
      <c r="AA106" s="39">
        <f>U106-Y106</f>
        <v>0</v>
      </c>
      <c r="AB106" s="43"/>
      <c r="AC106" t="s" s="37">
        <v>0</v>
      </c>
      <c r="AD106" t="s" s="37">
        <v>0</v>
      </c>
      <c r="AE106" t="s" s="37">
        <v>0</v>
      </c>
      <c r="AF106" t="s" s="44">
        <v>0</v>
      </c>
      <c r="AG106" s="45"/>
      <c r="AH106" s="39"/>
      <c r="AI106" s="41">
        <f>AH106-T106-U106</f>
        <v>0</v>
      </c>
      <c r="AJ106" t="s" s="44">
        <v>0</v>
      </c>
      <c r="AK106" s="45"/>
      <c r="AL106" s="39"/>
      <c r="AM106" s="41">
        <f>AL106-Z106-AA106</f>
        <v>0</v>
      </c>
      <c r="AN106" t="s" s="44">
        <v>0</v>
      </c>
      <c r="AO106" s="45"/>
      <c r="AP106" s="39"/>
      <c r="AQ106" s="41">
        <f>AP106-Y106</f>
        <v>0</v>
      </c>
      <c r="AR106" s="37"/>
      <c r="AS106" s="46">
        <v>0</v>
      </c>
    </row>
    <row r="107" ht="54.85" customHeight="1">
      <c r="A107" t="s" s="2">
        <v>0</v>
      </c>
      <c r="B107" s="33"/>
      <c r="C107" s="34"/>
      <c r="D107" s="35"/>
      <c r="E107" s="49"/>
      <c r="F107" s="50"/>
      <c r="G107" s="49"/>
      <c r="H107" s="49"/>
      <c r="I107" t="s" s="51">
        <v>0</v>
      </c>
      <c r="J107" s="38"/>
      <c r="K107" s="52"/>
      <c r="L107" s="52"/>
      <c r="M107" s="52"/>
      <c r="N107" s="52"/>
      <c r="O107" s="52"/>
      <c r="P107" s="40">
        <f>K107-L107-O107+N107</f>
        <v>0</v>
      </c>
      <c r="Q107" s="52"/>
      <c r="R107" s="52"/>
      <c r="S107" s="40">
        <f>L107</f>
        <v>0</v>
      </c>
      <c r="T107" s="52">
        <f>P107+R107-Q107+M107</f>
        <v>0</v>
      </c>
      <c r="U107" s="52">
        <f>T107-V107-W107-X107</f>
        <v>0</v>
      </c>
      <c r="V107" s="41">
        <f>P107*0.03</f>
        <v>0</v>
      </c>
      <c r="W107" s="41">
        <f>P107*0.04</f>
        <v>0</v>
      </c>
      <c r="X107" s="41">
        <f>P107*0.05</f>
        <v>0</v>
      </c>
      <c r="Y107" s="42">
        <f>P107*0.05</f>
        <v>0</v>
      </c>
      <c r="Z107" s="52">
        <f>T107-Y107</f>
        <v>0</v>
      </c>
      <c r="AA107" s="52">
        <f>U107-Y107</f>
        <v>0</v>
      </c>
      <c r="AB107" s="43"/>
      <c r="AC107" t="s" s="51">
        <v>0</v>
      </c>
      <c r="AD107" t="s" s="51">
        <v>0</v>
      </c>
      <c r="AE107" t="s" s="51">
        <v>0</v>
      </c>
      <c r="AF107" t="s" s="44">
        <v>0</v>
      </c>
      <c r="AG107" s="54"/>
      <c r="AH107" s="52"/>
      <c r="AI107" s="41">
        <f>AH107-T107-U107</f>
        <v>0</v>
      </c>
      <c r="AJ107" t="s" s="44">
        <v>0</v>
      </c>
      <c r="AK107" s="54"/>
      <c r="AL107" s="52"/>
      <c r="AM107" s="41">
        <f>AL107-Z107-AA107</f>
        <v>0</v>
      </c>
      <c r="AN107" t="s" s="44">
        <v>0</v>
      </c>
      <c r="AO107" s="54"/>
      <c r="AP107" s="52"/>
      <c r="AQ107" s="41">
        <f>AP107-Y107</f>
        <v>0</v>
      </c>
      <c r="AR107" s="51"/>
      <c r="AS107" s="55">
        <v>0</v>
      </c>
    </row>
    <row r="108" ht="54.85" customHeight="1">
      <c r="A108" t="s" s="2">
        <v>0</v>
      </c>
      <c r="B108" s="33"/>
      <c r="C108" s="34"/>
      <c r="D108" s="35"/>
      <c r="E108" s="34"/>
      <c r="F108" s="36"/>
      <c r="G108" s="34"/>
      <c r="H108" s="34"/>
      <c r="I108" t="s" s="37">
        <v>0</v>
      </c>
      <c r="J108" s="38"/>
      <c r="K108" s="39"/>
      <c r="L108" s="39"/>
      <c r="M108" s="39"/>
      <c r="N108" s="39"/>
      <c r="O108" s="39"/>
      <c r="P108" s="40">
        <f>K108-L108-O108+N108</f>
        <v>0</v>
      </c>
      <c r="Q108" s="39"/>
      <c r="R108" s="39"/>
      <c r="S108" s="40">
        <f>L108</f>
        <v>0</v>
      </c>
      <c r="T108" s="39">
        <f>P108+R108-Q108+M108</f>
        <v>0</v>
      </c>
      <c r="U108" s="39">
        <f>T108-V108-W108-X108</f>
        <v>0</v>
      </c>
      <c r="V108" s="41">
        <f>P108*0.03</f>
        <v>0</v>
      </c>
      <c r="W108" s="41">
        <f>P108*0.04</f>
        <v>0</v>
      </c>
      <c r="X108" s="41">
        <f>P108*0.05</f>
        <v>0</v>
      </c>
      <c r="Y108" s="42">
        <f>P108*0.05</f>
        <v>0</v>
      </c>
      <c r="Z108" s="39">
        <f>T108-Y108</f>
        <v>0</v>
      </c>
      <c r="AA108" s="39">
        <f>U108-Y108</f>
        <v>0</v>
      </c>
      <c r="AB108" s="43"/>
      <c r="AC108" t="s" s="37">
        <v>0</v>
      </c>
      <c r="AD108" t="s" s="37">
        <v>0</v>
      </c>
      <c r="AE108" t="s" s="37">
        <v>0</v>
      </c>
      <c r="AF108" t="s" s="44">
        <v>0</v>
      </c>
      <c r="AG108" s="45"/>
      <c r="AH108" s="39"/>
      <c r="AI108" s="41">
        <f>AH108-T108-U108</f>
        <v>0</v>
      </c>
      <c r="AJ108" t="s" s="44">
        <v>0</v>
      </c>
      <c r="AK108" s="45"/>
      <c r="AL108" s="39"/>
      <c r="AM108" s="41">
        <f>AL108-Z108-AA108</f>
        <v>0</v>
      </c>
      <c r="AN108" t="s" s="44">
        <v>0</v>
      </c>
      <c r="AO108" s="45"/>
      <c r="AP108" s="39"/>
      <c r="AQ108" s="41">
        <f>AP108-Y108</f>
        <v>0</v>
      </c>
      <c r="AR108" s="37"/>
      <c r="AS108" s="46">
        <v>0</v>
      </c>
    </row>
    <row r="109" ht="54.85" customHeight="1">
      <c r="A109" t="s" s="2">
        <v>0</v>
      </c>
      <c r="B109" s="33"/>
      <c r="C109" s="34"/>
      <c r="D109" s="35"/>
      <c r="E109" s="49"/>
      <c r="F109" s="50"/>
      <c r="G109" s="49"/>
      <c r="H109" s="49"/>
      <c r="I109" t="s" s="51">
        <v>0</v>
      </c>
      <c r="J109" s="38"/>
      <c r="K109" s="52"/>
      <c r="L109" s="52"/>
      <c r="M109" s="52"/>
      <c r="N109" s="52"/>
      <c r="O109" s="52"/>
      <c r="P109" s="40">
        <f>K109-L109-O109+N109</f>
        <v>0</v>
      </c>
      <c r="Q109" s="52"/>
      <c r="R109" s="52"/>
      <c r="S109" s="40">
        <f>L109</f>
        <v>0</v>
      </c>
      <c r="T109" s="52">
        <f>P109+R109-Q109+M109</f>
        <v>0</v>
      </c>
      <c r="U109" s="52">
        <f>T109-V109-W109-X109</f>
        <v>0</v>
      </c>
      <c r="V109" s="41">
        <f>P109*0.03</f>
        <v>0</v>
      </c>
      <c r="W109" s="41">
        <f>P109*0.04</f>
        <v>0</v>
      </c>
      <c r="X109" s="41">
        <f>P109*0.05</f>
        <v>0</v>
      </c>
      <c r="Y109" s="42">
        <f>P109*0.05</f>
        <v>0</v>
      </c>
      <c r="Z109" s="52">
        <f>T109-Y109</f>
        <v>0</v>
      </c>
      <c r="AA109" s="52">
        <f>U109-Y109</f>
        <v>0</v>
      </c>
      <c r="AB109" s="43"/>
      <c r="AC109" t="s" s="51">
        <v>0</v>
      </c>
      <c r="AD109" t="s" s="51">
        <v>0</v>
      </c>
      <c r="AE109" t="s" s="51">
        <v>0</v>
      </c>
      <c r="AF109" t="s" s="44">
        <v>0</v>
      </c>
      <c r="AG109" s="54"/>
      <c r="AH109" s="52"/>
      <c r="AI109" s="41">
        <f>AH109-T109-U109</f>
        <v>0</v>
      </c>
      <c r="AJ109" t="s" s="44">
        <v>0</v>
      </c>
      <c r="AK109" s="54"/>
      <c r="AL109" s="52"/>
      <c r="AM109" s="41">
        <f>AL109-Z109-AA109</f>
        <v>0</v>
      </c>
      <c r="AN109" t="s" s="44">
        <v>0</v>
      </c>
      <c r="AO109" s="54"/>
      <c r="AP109" s="52"/>
      <c r="AQ109" s="41">
        <f>AP109-Y109</f>
        <v>0</v>
      </c>
      <c r="AR109" s="51"/>
      <c r="AS109" s="55">
        <v>0</v>
      </c>
    </row>
    <row r="110" ht="54.85" customHeight="1">
      <c r="A110" t="s" s="2">
        <v>0</v>
      </c>
      <c r="B110" s="33"/>
      <c r="C110" s="34"/>
      <c r="D110" s="35"/>
      <c r="E110" s="34"/>
      <c r="F110" s="36"/>
      <c r="G110" s="34"/>
      <c r="H110" s="34"/>
      <c r="I110" t="s" s="37">
        <v>0</v>
      </c>
      <c r="J110" s="38"/>
      <c r="K110" s="39"/>
      <c r="L110" s="39"/>
      <c r="M110" s="39"/>
      <c r="N110" s="39"/>
      <c r="O110" s="39"/>
      <c r="P110" s="40">
        <f>K110-L110-O110+N110</f>
        <v>0</v>
      </c>
      <c r="Q110" s="39"/>
      <c r="R110" s="39"/>
      <c r="S110" s="40">
        <f>L110</f>
        <v>0</v>
      </c>
      <c r="T110" s="39">
        <f>P110+R110-Q110+M110</f>
        <v>0</v>
      </c>
      <c r="U110" s="39">
        <f>T110-V110-W110-X110</f>
        <v>0</v>
      </c>
      <c r="V110" s="41">
        <f>P110*0.03</f>
        <v>0</v>
      </c>
      <c r="W110" s="41">
        <f>P110*0.04</f>
        <v>0</v>
      </c>
      <c r="X110" s="41">
        <f>P110*0.05</f>
        <v>0</v>
      </c>
      <c r="Y110" s="42">
        <f>P110*0.05</f>
        <v>0</v>
      </c>
      <c r="Z110" s="39">
        <f>T110-Y110</f>
        <v>0</v>
      </c>
      <c r="AA110" s="39">
        <f>U110-Y110</f>
        <v>0</v>
      </c>
      <c r="AB110" s="43"/>
      <c r="AC110" t="s" s="37">
        <v>0</v>
      </c>
      <c r="AD110" t="s" s="37">
        <v>0</v>
      </c>
      <c r="AE110" t="s" s="37">
        <v>0</v>
      </c>
      <c r="AF110" t="s" s="44">
        <v>0</v>
      </c>
      <c r="AG110" s="45"/>
      <c r="AH110" s="39"/>
      <c r="AI110" s="41">
        <f>AH110-T110-U110</f>
        <v>0</v>
      </c>
      <c r="AJ110" t="s" s="44">
        <v>0</v>
      </c>
      <c r="AK110" s="45"/>
      <c r="AL110" s="39"/>
      <c r="AM110" s="41">
        <f>AL110-Z110-AA110</f>
        <v>0</v>
      </c>
      <c r="AN110" t="s" s="44">
        <v>0</v>
      </c>
      <c r="AO110" s="45"/>
      <c r="AP110" s="39"/>
      <c r="AQ110" s="41">
        <f>AP110-Y110</f>
        <v>0</v>
      </c>
      <c r="AR110" s="37"/>
      <c r="AS110" s="46">
        <v>0</v>
      </c>
    </row>
    <row r="111" ht="54.85" customHeight="1">
      <c r="A111" t="s" s="2">
        <v>0</v>
      </c>
      <c r="B111" s="33"/>
      <c r="C111" s="34"/>
      <c r="D111" s="35"/>
      <c r="E111" s="49"/>
      <c r="F111" s="50"/>
      <c r="G111" s="49"/>
      <c r="H111" s="49"/>
      <c r="I111" t="s" s="51">
        <v>0</v>
      </c>
      <c r="J111" s="38"/>
      <c r="K111" s="52"/>
      <c r="L111" s="52"/>
      <c r="M111" s="52"/>
      <c r="N111" s="52"/>
      <c r="O111" s="52"/>
      <c r="P111" s="40">
        <f>K111-L111-O111+N111</f>
        <v>0</v>
      </c>
      <c r="Q111" s="52"/>
      <c r="R111" s="52"/>
      <c r="S111" s="40">
        <f>L111</f>
        <v>0</v>
      </c>
      <c r="T111" s="52">
        <f>P111+R111-Q111+M111</f>
        <v>0</v>
      </c>
      <c r="U111" s="52">
        <f>T111-V111-W111-X111</f>
        <v>0</v>
      </c>
      <c r="V111" s="41">
        <f>P111*0.03</f>
        <v>0</v>
      </c>
      <c r="W111" s="41">
        <f>P111*0.04</f>
        <v>0</v>
      </c>
      <c r="X111" s="41">
        <f>P111*0.05</f>
        <v>0</v>
      </c>
      <c r="Y111" s="42">
        <f>P111*0.05</f>
        <v>0</v>
      </c>
      <c r="Z111" s="52">
        <f>T111-Y111</f>
        <v>0</v>
      </c>
      <c r="AA111" s="52">
        <f>U111-Y111</f>
        <v>0</v>
      </c>
      <c r="AB111" s="43"/>
      <c r="AC111" t="s" s="51">
        <v>0</v>
      </c>
      <c r="AD111" t="s" s="51">
        <v>0</v>
      </c>
      <c r="AE111" t="s" s="51">
        <v>0</v>
      </c>
      <c r="AF111" t="s" s="44">
        <v>0</v>
      </c>
      <c r="AG111" s="54"/>
      <c r="AH111" s="52"/>
      <c r="AI111" s="41">
        <f>AH111-T111-U111</f>
        <v>0</v>
      </c>
      <c r="AJ111" t="s" s="44">
        <v>0</v>
      </c>
      <c r="AK111" s="54"/>
      <c r="AL111" s="52"/>
      <c r="AM111" s="41">
        <f>AL111-Z111-AA111</f>
        <v>0</v>
      </c>
      <c r="AN111" t="s" s="44">
        <v>0</v>
      </c>
      <c r="AO111" s="54"/>
      <c r="AP111" s="52"/>
      <c r="AQ111" s="41">
        <f>AP111-Y111</f>
        <v>0</v>
      </c>
      <c r="AR111" s="51"/>
      <c r="AS111" s="55">
        <v>0</v>
      </c>
    </row>
    <row r="112" ht="54.85" customHeight="1">
      <c r="A112" t="s" s="2">
        <v>0</v>
      </c>
      <c r="B112" s="33"/>
      <c r="C112" s="34"/>
      <c r="D112" s="35"/>
      <c r="E112" s="34"/>
      <c r="F112" s="36"/>
      <c r="G112" s="34"/>
      <c r="H112" s="34"/>
      <c r="I112" t="s" s="37">
        <v>0</v>
      </c>
      <c r="J112" s="38"/>
      <c r="K112" s="39"/>
      <c r="L112" s="39"/>
      <c r="M112" s="39"/>
      <c r="N112" s="39"/>
      <c r="O112" s="39"/>
      <c r="P112" s="40">
        <f>K112-L112-O112+N112</f>
        <v>0</v>
      </c>
      <c r="Q112" s="39"/>
      <c r="R112" s="39"/>
      <c r="S112" s="40">
        <f>L112</f>
        <v>0</v>
      </c>
      <c r="T112" s="39">
        <f>P112+R112-Q112+M112</f>
        <v>0</v>
      </c>
      <c r="U112" s="39">
        <f>T112-V112-W112-X112</f>
        <v>0</v>
      </c>
      <c r="V112" s="41">
        <f>P112*0.03</f>
        <v>0</v>
      </c>
      <c r="W112" s="41">
        <f>P112*0.04</f>
        <v>0</v>
      </c>
      <c r="X112" s="41">
        <f>P112*0.05</f>
        <v>0</v>
      </c>
      <c r="Y112" s="42">
        <f>P112*0.05</f>
        <v>0</v>
      </c>
      <c r="Z112" s="39">
        <f>T112-Y112</f>
        <v>0</v>
      </c>
      <c r="AA112" s="39">
        <f>U112-Y112</f>
        <v>0</v>
      </c>
      <c r="AB112" s="43"/>
      <c r="AC112" t="s" s="37">
        <v>0</v>
      </c>
      <c r="AD112" t="s" s="37">
        <v>0</v>
      </c>
      <c r="AE112" t="s" s="37">
        <v>0</v>
      </c>
      <c r="AF112" t="s" s="44">
        <v>0</v>
      </c>
      <c r="AG112" s="45"/>
      <c r="AH112" s="39"/>
      <c r="AI112" s="41">
        <f>AH112-T112-U112</f>
        <v>0</v>
      </c>
      <c r="AJ112" t="s" s="44">
        <v>0</v>
      </c>
      <c r="AK112" s="45"/>
      <c r="AL112" s="39"/>
      <c r="AM112" s="41">
        <f>AL112-Z112-AA112</f>
        <v>0</v>
      </c>
      <c r="AN112" t="s" s="44">
        <v>0</v>
      </c>
      <c r="AO112" s="45"/>
      <c r="AP112" s="39"/>
      <c r="AQ112" s="41">
        <f>AP112-Y112</f>
        <v>0</v>
      </c>
      <c r="AR112" s="37"/>
      <c r="AS112" s="46">
        <v>0</v>
      </c>
    </row>
    <row r="113" ht="54.85" customHeight="1">
      <c r="A113" t="s" s="2">
        <v>0</v>
      </c>
      <c r="B113" s="33"/>
      <c r="C113" s="34"/>
      <c r="D113" s="35"/>
      <c r="E113" s="49"/>
      <c r="F113" s="50"/>
      <c r="G113" s="49"/>
      <c r="H113" s="49"/>
      <c r="I113" t="s" s="51">
        <v>0</v>
      </c>
      <c r="J113" s="38"/>
      <c r="K113" s="52"/>
      <c r="L113" s="52"/>
      <c r="M113" s="52"/>
      <c r="N113" s="52"/>
      <c r="O113" s="52"/>
      <c r="P113" s="40">
        <f>K113-L113-O113+N113</f>
        <v>0</v>
      </c>
      <c r="Q113" s="52"/>
      <c r="R113" s="52"/>
      <c r="S113" s="40">
        <f>L113</f>
        <v>0</v>
      </c>
      <c r="T113" s="52">
        <f>P113+R113-Q113+M113</f>
        <v>0</v>
      </c>
      <c r="U113" s="52">
        <f>T113-V113-W113-X113</f>
        <v>0</v>
      </c>
      <c r="V113" s="41">
        <f>P113*0.03</f>
        <v>0</v>
      </c>
      <c r="W113" s="41">
        <f>P113*0.04</f>
        <v>0</v>
      </c>
      <c r="X113" s="41">
        <f>P113*0.05</f>
        <v>0</v>
      </c>
      <c r="Y113" s="42">
        <f>P113*0.05</f>
        <v>0</v>
      </c>
      <c r="Z113" s="52">
        <f>T113-Y113</f>
        <v>0</v>
      </c>
      <c r="AA113" s="52">
        <f>U113-Y113</f>
        <v>0</v>
      </c>
      <c r="AB113" s="43"/>
      <c r="AC113" t="s" s="51">
        <v>0</v>
      </c>
      <c r="AD113" t="s" s="51">
        <v>0</v>
      </c>
      <c r="AE113" t="s" s="51">
        <v>0</v>
      </c>
      <c r="AF113" t="s" s="44">
        <v>0</v>
      </c>
      <c r="AG113" s="54"/>
      <c r="AH113" s="52"/>
      <c r="AI113" s="41">
        <f>AH113-T113-U113</f>
        <v>0</v>
      </c>
      <c r="AJ113" t="s" s="44">
        <v>0</v>
      </c>
      <c r="AK113" s="54"/>
      <c r="AL113" s="52"/>
      <c r="AM113" s="41">
        <f>AL113-Z113-AA113</f>
        <v>0</v>
      </c>
      <c r="AN113" t="s" s="44">
        <v>0</v>
      </c>
      <c r="AO113" s="54"/>
      <c r="AP113" s="52"/>
      <c r="AQ113" s="41">
        <f>AP113-Y113</f>
        <v>0</v>
      </c>
      <c r="AR113" s="51"/>
      <c r="AS113" s="55">
        <v>0</v>
      </c>
    </row>
    <row r="114" ht="54.85" customHeight="1">
      <c r="A114" t="s" s="2">
        <v>0</v>
      </c>
      <c r="B114" s="33"/>
      <c r="C114" s="34"/>
      <c r="D114" s="35"/>
      <c r="E114" s="34"/>
      <c r="F114" s="36"/>
      <c r="G114" s="34"/>
      <c r="H114" s="34"/>
      <c r="I114" t="s" s="37">
        <v>0</v>
      </c>
      <c r="J114" s="38"/>
      <c r="K114" s="39"/>
      <c r="L114" s="39"/>
      <c r="M114" s="39"/>
      <c r="N114" s="39"/>
      <c r="O114" s="39"/>
      <c r="P114" s="40">
        <f>K114-L114-O114+N114</f>
        <v>0</v>
      </c>
      <c r="Q114" s="39"/>
      <c r="R114" s="39"/>
      <c r="S114" s="40">
        <f>L114</f>
        <v>0</v>
      </c>
      <c r="T114" s="39">
        <f>P114+R114-Q114+M114</f>
        <v>0</v>
      </c>
      <c r="U114" s="39">
        <f>T114-V114-W114-X114</f>
        <v>0</v>
      </c>
      <c r="V114" s="41">
        <f>P114*0.03</f>
        <v>0</v>
      </c>
      <c r="W114" s="41">
        <f>P114*0.04</f>
        <v>0</v>
      </c>
      <c r="X114" s="41">
        <f>P114*0.05</f>
        <v>0</v>
      </c>
      <c r="Y114" s="42">
        <f>P114*0.05</f>
        <v>0</v>
      </c>
      <c r="Z114" s="39">
        <f>T114-Y114</f>
        <v>0</v>
      </c>
      <c r="AA114" s="39">
        <f>U114-Y114</f>
        <v>0</v>
      </c>
      <c r="AB114" s="43"/>
      <c r="AC114" t="s" s="37">
        <v>0</v>
      </c>
      <c r="AD114" t="s" s="37">
        <v>0</v>
      </c>
      <c r="AE114" t="s" s="37">
        <v>0</v>
      </c>
      <c r="AF114" t="s" s="44">
        <v>0</v>
      </c>
      <c r="AG114" s="45"/>
      <c r="AH114" s="39"/>
      <c r="AI114" s="41">
        <f>AH114-T114-U114</f>
        <v>0</v>
      </c>
      <c r="AJ114" t="s" s="44">
        <v>0</v>
      </c>
      <c r="AK114" s="45"/>
      <c r="AL114" s="39"/>
      <c r="AM114" s="41">
        <f>AL114-Z114-AA114</f>
        <v>0</v>
      </c>
      <c r="AN114" t="s" s="44">
        <v>0</v>
      </c>
      <c r="AO114" s="45"/>
      <c r="AP114" s="39"/>
      <c r="AQ114" s="41">
        <f>AP114-Y114</f>
        <v>0</v>
      </c>
      <c r="AR114" s="37"/>
      <c r="AS114" s="46">
        <v>0</v>
      </c>
    </row>
    <row r="115" ht="54.85" customHeight="1">
      <c r="A115" t="s" s="2">
        <v>0</v>
      </c>
      <c r="B115" s="33"/>
      <c r="C115" s="34"/>
      <c r="D115" s="35"/>
      <c r="E115" s="49"/>
      <c r="F115" s="50"/>
      <c r="G115" s="49"/>
      <c r="H115" s="49"/>
      <c r="I115" t="s" s="51">
        <v>0</v>
      </c>
      <c r="J115" s="38"/>
      <c r="K115" s="52"/>
      <c r="L115" s="52"/>
      <c r="M115" s="52"/>
      <c r="N115" s="52"/>
      <c r="O115" s="52"/>
      <c r="P115" s="40">
        <f>K115-L115-O115+N115</f>
        <v>0</v>
      </c>
      <c r="Q115" s="52"/>
      <c r="R115" s="52"/>
      <c r="S115" s="40">
        <f>L115</f>
        <v>0</v>
      </c>
      <c r="T115" s="52">
        <f>P115+R115-Q115+M115</f>
        <v>0</v>
      </c>
      <c r="U115" s="52">
        <f>T115-V115-W115-X115</f>
        <v>0</v>
      </c>
      <c r="V115" s="41">
        <f>P115*0.03</f>
        <v>0</v>
      </c>
      <c r="W115" s="41">
        <f>P115*0.04</f>
        <v>0</v>
      </c>
      <c r="X115" s="41">
        <f>P115*0.05</f>
        <v>0</v>
      </c>
      <c r="Y115" s="42">
        <f>P115*0.05</f>
        <v>0</v>
      </c>
      <c r="Z115" s="52">
        <f>T115-Y115</f>
        <v>0</v>
      </c>
      <c r="AA115" s="52">
        <f>U115-Y115</f>
        <v>0</v>
      </c>
      <c r="AB115" s="43"/>
      <c r="AC115" t="s" s="51">
        <v>0</v>
      </c>
      <c r="AD115" t="s" s="51">
        <v>0</v>
      </c>
      <c r="AE115" t="s" s="51">
        <v>0</v>
      </c>
      <c r="AF115" t="s" s="44">
        <v>0</v>
      </c>
      <c r="AG115" s="54"/>
      <c r="AH115" s="52"/>
      <c r="AI115" s="41">
        <f>AH115-T115-U115</f>
        <v>0</v>
      </c>
      <c r="AJ115" t="s" s="44">
        <v>0</v>
      </c>
      <c r="AK115" s="54"/>
      <c r="AL115" s="52"/>
      <c r="AM115" s="41">
        <f>AL115-Z115-AA115</f>
        <v>0</v>
      </c>
      <c r="AN115" t="s" s="44">
        <v>0</v>
      </c>
      <c r="AO115" s="54"/>
      <c r="AP115" s="52"/>
      <c r="AQ115" s="41">
        <f>AP115-Y115</f>
        <v>0</v>
      </c>
      <c r="AR115" s="51"/>
      <c r="AS115" s="55">
        <v>0</v>
      </c>
    </row>
    <row r="116" ht="54.85" customHeight="1">
      <c r="A116" t="s" s="2">
        <v>0</v>
      </c>
      <c r="B116" s="33"/>
      <c r="C116" s="34"/>
      <c r="D116" s="35"/>
      <c r="E116" s="34"/>
      <c r="F116" s="36"/>
      <c r="G116" s="34"/>
      <c r="H116" s="34"/>
      <c r="I116" t="s" s="37">
        <v>0</v>
      </c>
      <c r="J116" s="38"/>
      <c r="K116" s="39"/>
      <c r="L116" s="39"/>
      <c r="M116" s="39"/>
      <c r="N116" s="39"/>
      <c r="O116" s="39"/>
      <c r="P116" s="40">
        <f>K116-L116-O116+N116</f>
        <v>0</v>
      </c>
      <c r="Q116" s="39"/>
      <c r="R116" s="39"/>
      <c r="S116" s="40">
        <f>L116</f>
        <v>0</v>
      </c>
      <c r="T116" s="39">
        <f>P116+R116-Q116+M116</f>
        <v>0</v>
      </c>
      <c r="U116" s="39">
        <f>T116-V116-W116-X116</f>
        <v>0</v>
      </c>
      <c r="V116" s="41">
        <f>P116*0.03</f>
        <v>0</v>
      </c>
      <c r="W116" s="41">
        <f>P116*0.04</f>
        <v>0</v>
      </c>
      <c r="X116" s="41">
        <f>P116*0.05</f>
        <v>0</v>
      </c>
      <c r="Y116" s="42">
        <f>P116*0.05</f>
        <v>0</v>
      </c>
      <c r="Z116" s="39">
        <f>T116-Y116</f>
        <v>0</v>
      </c>
      <c r="AA116" s="39">
        <f>U116-Y116</f>
        <v>0</v>
      </c>
      <c r="AB116" s="43"/>
      <c r="AC116" t="s" s="37">
        <v>0</v>
      </c>
      <c r="AD116" t="s" s="37">
        <v>0</v>
      </c>
      <c r="AE116" t="s" s="37">
        <v>0</v>
      </c>
      <c r="AF116" t="s" s="44">
        <v>0</v>
      </c>
      <c r="AG116" s="45"/>
      <c r="AH116" s="39"/>
      <c r="AI116" s="41">
        <f>AH116-T116-U116</f>
        <v>0</v>
      </c>
      <c r="AJ116" t="s" s="44">
        <v>0</v>
      </c>
      <c r="AK116" s="45"/>
      <c r="AL116" s="39"/>
      <c r="AM116" s="41">
        <f>AL116-Z116-AA116</f>
        <v>0</v>
      </c>
      <c r="AN116" t="s" s="44">
        <v>0</v>
      </c>
      <c r="AO116" s="45"/>
      <c r="AP116" s="39"/>
      <c r="AQ116" s="41">
        <f>AP116-Y116</f>
        <v>0</v>
      </c>
      <c r="AR116" s="37"/>
      <c r="AS116" s="46">
        <v>0</v>
      </c>
    </row>
    <row r="117" ht="54.85" customHeight="1">
      <c r="A117" t="s" s="2">
        <v>0</v>
      </c>
      <c r="B117" s="33"/>
      <c r="C117" s="34"/>
      <c r="D117" s="35"/>
      <c r="E117" s="49"/>
      <c r="F117" s="50"/>
      <c r="G117" s="49"/>
      <c r="H117" s="49"/>
      <c r="I117" t="s" s="51">
        <v>0</v>
      </c>
      <c r="J117" s="38"/>
      <c r="K117" s="52"/>
      <c r="L117" s="52"/>
      <c r="M117" s="52"/>
      <c r="N117" s="52"/>
      <c r="O117" s="52"/>
      <c r="P117" s="40">
        <f>K117-L117-O117+N117</f>
        <v>0</v>
      </c>
      <c r="Q117" s="52"/>
      <c r="R117" s="52"/>
      <c r="S117" s="40">
        <f>L117</f>
        <v>0</v>
      </c>
      <c r="T117" s="52">
        <f>P117+R117-Q117+M117</f>
        <v>0</v>
      </c>
      <c r="U117" s="52">
        <f>T117-V117-W117-X117</f>
        <v>0</v>
      </c>
      <c r="V117" s="41">
        <f>P117*0.03</f>
        <v>0</v>
      </c>
      <c r="W117" s="41">
        <f>P117*0.04</f>
        <v>0</v>
      </c>
      <c r="X117" s="41">
        <f>P117*0.05</f>
        <v>0</v>
      </c>
      <c r="Y117" s="42">
        <f>P117*0.05</f>
        <v>0</v>
      </c>
      <c r="Z117" s="52">
        <f>T117-Y117</f>
        <v>0</v>
      </c>
      <c r="AA117" s="52">
        <f>U117-Y117</f>
        <v>0</v>
      </c>
      <c r="AB117" s="43"/>
      <c r="AC117" t="s" s="51">
        <v>0</v>
      </c>
      <c r="AD117" t="s" s="51">
        <v>0</v>
      </c>
      <c r="AE117" t="s" s="51">
        <v>0</v>
      </c>
      <c r="AF117" t="s" s="44">
        <v>0</v>
      </c>
      <c r="AG117" s="54"/>
      <c r="AH117" s="52"/>
      <c r="AI117" s="41">
        <f>AH117-T117-U117</f>
        <v>0</v>
      </c>
      <c r="AJ117" t="s" s="44">
        <v>0</v>
      </c>
      <c r="AK117" s="54"/>
      <c r="AL117" s="52"/>
      <c r="AM117" s="41">
        <f>AL117-Z117-AA117</f>
        <v>0</v>
      </c>
      <c r="AN117" t="s" s="44">
        <v>0</v>
      </c>
      <c r="AO117" s="54"/>
      <c r="AP117" s="52"/>
      <c r="AQ117" s="41">
        <f>AP117-Y117</f>
        <v>0</v>
      </c>
      <c r="AR117" s="51"/>
      <c r="AS117" s="55">
        <v>0</v>
      </c>
    </row>
    <row r="118" ht="54.85" customHeight="1">
      <c r="A118" t="s" s="2">
        <v>0</v>
      </c>
      <c r="B118" s="33"/>
      <c r="C118" s="34"/>
      <c r="D118" s="35"/>
      <c r="E118" s="34"/>
      <c r="F118" s="36"/>
      <c r="G118" s="34"/>
      <c r="H118" s="34"/>
      <c r="I118" t="s" s="37">
        <v>0</v>
      </c>
      <c r="J118" s="38"/>
      <c r="K118" s="39"/>
      <c r="L118" s="39"/>
      <c r="M118" s="39"/>
      <c r="N118" s="39"/>
      <c r="O118" s="39"/>
      <c r="P118" s="40">
        <f>K118-L118-O118+N118</f>
        <v>0</v>
      </c>
      <c r="Q118" s="39"/>
      <c r="R118" s="39"/>
      <c r="S118" s="40">
        <f>L118</f>
        <v>0</v>
      </c>
      <c r="T118" s="39">
        <f>P118+R118-Q118+M118</f>
        <v>0</v>
      </c>
      <c r="U118" s="39">
        <f>T118-V118-W118-X118</f>
        <v>0</v>
      </c>
      <c r="V118" s="41">
        <f>P118*0.03</f>
        <v>0</v>
      </c>
      <c r="W118" s="41">
        <f>P118*0.04</f>
        <v>0</v>
      </c>
      <c r="X118" s="41">
        <f>P118*0.05</f>
        <v>0</v>
      </c>
      <c r="Y118" s="42">
        <f>P118*0.05</f>
        <v>0</v>
      </c>
      <c r="Z118" s="39">
        <f>T118-Y118</f>
        <v>0</v>
      </c>
      <c r="AA118" s="39">
        <f>U118-Y118</f>
        <v>0</v>
      </c>
      <c r="AB118" s="43"/>
      <c r="AC118" t="s" s="37">
        <v>0</v>
      </c>
      <c r="AD118" t="s" s="37">
        <v>0</v>
      </c>
      <c r="AE118" t="s" s="37">
        <v>0</v>
      </c>
      <c r="AF118" t="s" s="44">
        <v>0</v>
      </c>
      <c r="AG118" s="45"/>
      <c r="AH118" s="39"/>
      <c r="AI118" s="41">
        <f>AH118-T118-U118</f>
        <v>0</v>
      </c>
      <c r="AJ118" t="s" s="44">
        <v>0</v>
      </c>
      <c r="AK118" s="45"/>
      <c r="AL118" s="39"/>
      <c r="AM118" s="41">
        <f>AL118-Z118-AA118</f>
        <v>0</v>
      </c>
      <c r="AN118" t="s" s="44">
        <v>0</v>
      </c>
      <c r="AO118" s="45"/>
      <c r="AP118" s="39"/>
      <c r="AQ118" s="41">
        <f>AP118-Y118</f>
        <v>0</v>
      </c>
      <c r="AR118" s="37"/>
      <c r="AS118" s="46">
        <v>0</v>
      </c>
    </row>
    <row r="119" ht="54.85" customHeight="1">
      <c r="A119" t="s" s="2">
        <v>0</v>
      </c>
      <c r="B119" s="33"/>
      <c r="C119" s="34"/>
      <c r="D119" s="35"/>
      <c r="E119" s="49"/>
      <c r="F119" s="50"/>
      <c r="G119" s="49"/>
      <c r="H119" s="49"/>
      <c r="I119" t="s" s="51">
        <v>0</v>
      </c>
      <c r="J119" s="38"/>
      <c r="K119" s="52"/>
      <c r="L119" s="52"/>
      <c r="M119" s="52"/>
      <c r="N119" s="52"/>
      <c r="O119" s="52"/>
      <c r="P119" s="40">
        <f>K119-L119-O119+N119</f>
        <v>0</v>
      </c>
      <c r="Q119" s="52"/>
      <c r="R119" s="52"/>
      <c r="S119" s="40">
        <f>L119</f>
        <v>0</v>
      </c>
      <c r="T119" s="52">
        <f>P119+R119-Q119+M119</f>
        <v>0</v>
      </c>
      <c r="U119" s="52">
        <f>T119-V119-W119-X119</f>
        <v>0</v>
      </c>
      <c r="V119" s="41">
        <f>P119*0.03</f>
        <v>0</v>
      </c>
      <c r="W119" s="41">
        <f>P119*0.04</f>
        <v>0</v>
      </c>
      <c r="X119" s="41">
        <f>P119*0.05</f>
        <v>0</v>
      </c>
      <c r="Y119" s="42">
        <f>P119*0.05</f>
        <v>0</v>
      </c>
      <c r="Z119" s="52">
        <f>T119-Y119</f>
        <v>0</v>
      </c>
      <c r="AA119" s="52">
        <f>U119-Y119</f>
        <v>0</v>
      </c>
      <c r="AB119" s="43"/>
      <c r="AC119" t="s" s="51">
        <v>0</v>
      </c>
      <c r="AD119" t="s" s="51">
        <v>0</v>
      </c>
      <c r="AE119" t="s" s="51">
        <v>0</v>
      </c>
      <c r="AF119" t="s" s="44">
        <v>0</v>
      </c>
      <c r="AG119" s="54"/>
      <c r="AH119" s="52"/>
      <c r="AI119" s="41">
        <f>AH119-T119-U119</f>
        <v>0</v>
      </c>
      <c r="AJ119" t="s" s="44">
        <v>0</v>
      </c>
      <c r="AK119" s="54"/>
      <c r="AL119" s="52"/>
      <c r="AM119" s="41">
        <f>AL119-Z119-AA119</f>
        <v>0</v>
      </c>
      <c r="AN119" t="s" s="44">
        <v>0</v>
      </c>
      <c r="AO119" s="54"/>
      <c r="AP119" s="52"/>
      <c r="AQ119" s="41">
        <f>AP119-Y119</f>
        <v>0</v>
      </c>
      <c r="AR119" s="51"/>
      <c r="AS119" s="55">
        <v>0</v>
      </c>
    </row>
    <row r="120" ht="54.85" customHeight="1">
      <c r="A120" t="s" s="2">
        <v>0</v>
      </c>
      <c r="B120" s="33"/>
      <c r="C120" s="34"/>
      <c r="D120" s="35"/>
      <c r="E120" s="34"/>
      <c r="F120" s="36"/>
      <c r="G120" s="34"/>
      <c r="H120" s="34"/>
      <c r="I120" t="s" s="37">
        <v>0</v>
      </c>
      <c r="J120" s="38"/>
      <c r="K120" s="39"/>
      <c r="L120" s="39"/>
      <c r="M120" s="39"/>
      <c r="N120" s="39"/>
      <c r="O120" s="39"/>
      <c r="P120" s="40">
        <f>K120-L120-O120+N120</f>
        <v>0</v>
      </c>
      <c r="Q120" s="39"/>
      <c r="R120" s="39"/>
      <c r="S120" s="40">
        <f>L120</f>
        <v>0</v>
      </c>
      <c r="T120" s="39">
        <f>P120+R120-Q120+M120</f>
        <v>0</v>
      </c>
      <c r="U120" s="39">
        <f>T120-V120-W120-X120</f>
        <v>0</v>
      </c>
      <c r="V120" s="41">
        <f>P120*0.03</f>
        <v>0</v>
      </c>
      <c r="W120" s="41">
        <f>P120*0.04</f>
        <v>0</v>
      </c>
      <c r="X120" s="41">
        <f>P120*0.05</f>
        <v>0</v>
      </c>
      <c r="Y120" s="42">
        <f>P120*0.05</f>
        <v>0</v>
      </c>
      <c r="Z120" s="39">
        <f>T120-Y120</f>
        <v>0</v>
      </c>
      <c r="AA120" s="39">
        <f>U120-Y120</f>
        <v>0</v>
      </c>
      <c r="AB120" s="43"/>
      <c r="AC120" t="s" s="37">
        <v>0</v>
      </c>
      <c r="AD120" t="s" s="37">
        <v>0</v>
      </c>
      <c r="AE120" t="s" s="37">
        <v>0</v>
      </c>
      <c r="AF120" t="s" s="44">
        <v>0</v>
      </c>
      <c r="AG120" s="45"/>
      <c r="AH120" s="39"/>
      <c r="AI120" s="41">
        <f>AH120-T120-U120</f>
        <v>0</v>
      </c>
      <c r="AJ120" t="s" s="44">
        <v>0</v>
      </c>
      <c r="AK120" s="45"/>
      <c r="AL120" s="39"/>
      <c r="AM120" s="41">
        <f>AL120-Z120-AA120</f>
        <v>0</v>
      </c>
      <c r="AN120" t="s" s="44">
        <v>0</v>
      </c>
      <c r="AO120" s="45"/>
      <c r="AP120" s="39"/>
      <c r="AQ120" s="41">
        <f>AP120-Y120</f>
        <v>0</v>
      </c>
      <c r="AR120" s="37"/>
      <c r="AS120" s="46">
        <v>0</v>
      </c>
    </row>
    <row r="121" ht="54.85" customHeight="1">
      <c r="A121" t="s" s="2">
        <v>0</v>
      </c>
      <c r="B121" s="33"/>
      <c r="C121" s="34"/>
      <c r="D121" s="35"/>
      <c r="E121" s="49"/>
      <c r="F121" s="50"/>
      <c r="G121" s="49"/>
      <c r="H121" s="49"/>
      <c r="I121" t="s" s="51">
        <v>0</v>
      </c>
      <c r="J121" s="38"/>
      <c r="K121" s="52"/>
      <c r="L121" s="52"/>
      <c r="M121" s="52"/>
      <c r="N121" s="52"/>
      <c r="O121" s="52"/>
      <c r="P121" s="40">
        <f>K121-L121-O121+N121</f>
        <v>0</v>
      </c>
      <c r="Q121" s="52"/>
      <c r="R121" s="52"/>
      <c r="S121" s="40">
        <f>L121</f>
        <v>0</v>
      </c>
      <c r="T121" s="52">
        <f>P121+R121-Q121+M121</f>
        <v>0</v>
      </c>
      <c r="U121" s="52">
        <f>T121-V121-W121-X121</f>
        <v>0</v>
      </c>
      <c r="V121" s="41">
        <f>P121*0.03</f>
        <v>0</v>
      </c>
      <c r="W121" s="41">
        <f>P121*0.04</f>
        <v>0</v>
      </c>
      <c r="X121" s="41">
        <f>P121*0.05</f>
        <v>0</v>
      </c>
      <c r="Y121" s="42">
        <f>P121*0.05</f>
        <v>0</v>
      </c>
      <c r="Z121" s="52">
        <f>T121-Y121</f>
        <v>0</v>
      </c>
      <c r="AA121" s="52">
        <f>U121-Y121</f>
        <v>0</v>
      </c>
      <c r="AB121" s="43"/>
      <c r="AC121" t="s" s="51">
        <v>0</v>
      </c>
      <c r="AD121" t="s" s="51">
        <v>0</v>
      </c>
      <c r="AE121" t="s" s="51">
        <v>0</v>
      </c>
      <c r="AF121" t="s" s="44">
        <v>0</v>
      </c>
      <c r="AG121" s="54"/>
      <c r="AH121" s="52"/>
      <c r="AI121" s="41">
        <f>AH121-T121-U121</f>
        <v>0</v>
      </c>
      <c r="AJ121" t="s" s="44">
        <v>0</v>
      </c>
      <c r="AK121" s="54"/>
      <c r="AL121" s="52"/>
      <c r="AM121" s="41">
        <f>AL121-Z121-AA121</f>
        <v>0</v>
      </c>
      <c r="AN121" t="s" s="44">
        <v>0</v>
      </c>
      <c r="AO121" s="54"/>
      <c r="AP121" s="52"/>
      <c r="AQ121" s="41">
        <f>AP121-Y121</f>
        <v>0</v>
      </c>
      <c r="AR121" s="51"/>
      <c r="AS121" s="55">
        <v>0</v>
      </c>
    </row>
    <row r="122" ht="54.85" customHeight="1">
      <c r="A122" t="s" s="2">
        <v>0</v>
      </c>
      <c r="B122" s="33"/>
      <c r="C122" s="34"/>
      <c r="D122" s="35"/>
      <c r="E122" s="34"/>
      <c r="F122" s="36"/>
      <c r="G122" s="34"/>
      <c r="H122" s="34"/>
      <c r="I122" t="s" s="37">
        <v>0</v>
      </c>
      <c r="J122" s="38"/>
      <c r="K122" s="39"/>
      <c r="L122" s="39"/>
      <c r="M122" s="39"/>
      <c r="N122" s="39"/>
      <c r="O122" s="39"/>
      <c r="P122" s="40">
        <f>K122-L122-O122+N122</f>
        <v>0</v>
      </c>
      <c r="Q122" s="39"/>
      <c r="R122" s="39"/>
      <c r="S122" s="40">
        <f>L122</f>
        <v>0</v>
      </c>
      <c r="T122" s="39">
        <f>P122+R122-Q122+M122</f>
        <v>0</v>
      </c>
      <c r="U122" s="39">
        <f>T122-V122-W122-X122</f>
        <v>0</v>
      </c>
      <c r="V122" s="41">
        <f>P122*0.03</f>
        <v>0</v>
      </c>
      <c r="W122" s="41">
        <f>P122*0.04</f>
        <v>0</v>
      </c>
      <c r="X122" s="41">
        <f>P122*0.05</f>
        <v>0</v>
      </c>
      <c r="Y122" s="42">
        <f>P122*0.05</f>
        <v>0</v>
      </c>
      <c r="Z122" s="39">
        <f>T122-Y122</f>
        <v>0</v>
      </c>
      <c r="AA122" s="39">
        <f>U122-Y122</f>
        <v>0</v>
      </c>
      <c r="AB122" s="43"/>
      <c r="AC122" t="s" s="37">
        <v>0</v>
      </c>
      <c r="AD122" t="s" s="37">
        <v>0</v>
      </c>
      <c r="AE122" t="s" s="37">
        <v>0</v>
      </c>
      <c r="AF122" t="s" s="44">
        <v>0</v>
      </c>
      <c r="AG122" s="45"/>
      <c r="AH122" s="39"/>
      <c r="AI122" s="41">
        <f>AH122-T122-U122</f>
        <v>0</v>
      </c>
      <c r="AJ122" t="s" s="44">
        <v>0</v>
      </c>
      <c r="AK122" s="45"/>
      <c r="AL122" s="39"/>
      <c r="AM122" s="41">
        <f>AL122-Z122-AA122</f>
        <v>0</v>
      </c>
      <c r="AN122" t="s" s="44">
        <v>0</v>
      </c>
      <c r="AO122" s="45"/>
      <c r="AP122" s="39"/>
      <c r="AQ122" s="41">
        <f>AP122-Y122</f>
        <v>0</v>
      </c>
      <c r="AR122" s="37"/>
      <c r="AS122" s="46">
        <v>0</v>
      </c>
    </row>
    <row r="123" ht="54.85" customHeight="1">
      <c r="A123" t="s" s="2">
        <v>0</v>
      </c>
      <c r="B123" s="33"/>
      <c r="C123" s="34"/>
      <c r="D123" s="35"/>
      <c r="E123" s="49"/>
      <c r="F123" s="50"/>
      <c r="G123" s="49"/>
      <c r="H123" s="49"/>
      <c r="I123" t="s" s="51">
        <v>0</v>
      </c>
      <c r="J123" s="38"/>
      <c r="K123" s="52"/>
      <c r="L123" s="52"/>
      <c r="M123" s="52"/>
      <c r="N123" s="52"/>
      <c r="O123" s="52"/>
      <c r="P123" s="40">
        <f>K123-L123-O123+N123</f>
        <v>0</v>
      </c>
      <c r="Q123" s="52"/>
      <c r="R123" s="52"/>
      <c r="S123" s="40">
        <f>L123</f>
        <v>0</v>
      </c>
      <c r="T123" s="52">
        <f>P123+R123-Q123+M123</f>
        <v>0</v>
      </c>
      <c r="U123" s="52">
        <f>T123-V123-W123-X123</f>
        <v>0</v>
      </c>
      <c r="V123" s="41">
        <f>P123*0.03</f>
        <v>0</v>
      </c>
      <c r="W123" s="41">
        <f>P123*0.04</f>
        <v>0</v>
      </c>
      <c r="X123" s="41">
        <f>P123*0.05</f>
        <v>0</v>
      </c>
      <c r="Y123" s="42">
        <f>P123*0.05</f>
        <v>0</v>
      </c>
      <c r="Z123" s="52">
        <f>T123-Y123</f>
        <v>0</v>
      </c>
      <c r="AA123" s="52">
        <f>U123-Y123</f>
        <v>0</v>
      </c>
      <c r="AB123" s="43"/>
      <c r="AC123" t="s" s="51">
        <v>0</v>
      </c>
      <c r="AD123" t="s" s="51">
        <v>0</v>
      </c>
      <c r="AE123" t="s" s="51">
        <v>0</v>
      </c>
      <c r="AF123" t="s" s="44">
        <v>0</v>
      </c>
      <c r="AG123" s="54"/>
      <c r="AH123" s="52"/>
      <c r="AI123" s="41">
        <f>AH123-T123-U123</f>
        <v>0</v>
      </c>
      <c r="AJ123" t="s" s="44">
        <v>0</v>
      </c>
      <c r="AK123" s="54"/>
      <c r="AL123" s="52"/>
      <c r="AM123" s="41">
        <f>AL123-Z123-AA123</f>
        <v>0</v>
      </c>
      <c r="AN123" t="s" s="44">
        <v>0</v>
      </c>
      <c r="AO123" s="54"/>
      <c r="AP123" s="52"/>
      <c r="AQ123" s="41">
        <f>AP123-Y123</f>
        <v>0</v>
      </c>
      <c r="AR123" s="51"/>
      <c r="AS123" s="55">
        <v>0</v>
      </c>
    </row>
    <row r="124" ht="54.85" customHeight="1">
      <c r="A124" t="s" s="2">
        <v>0</v>
      </c>
      <c r="B124" s="33"/>
      <c r="C124" s="34"/>
      <c r="D124" s="35"/>
      <c r="E124" s="34"/>
      <c r="F124" s="36"/>
      <c r="G124" s="34"/>
      <c r="H124" s="34"/>
      <c r="I124" t="s" s="37">
        <v>0</v>
      </c>
      <c r="J124" s="38"/>
      <c r="K124" s="39"/>
      <c r="L124" s="39"/>
      <c r="M124" s="39"/>
      <c r="N124" s="39"/>
      <c r="O124" s="39"/>
      <c r="P124" s="40">
        <f>K124-L124-O124+N124</f>
        <v>0</v>
      </c>
      <c r="Q124" s="39"/>
      <c r="R124" s="39"/>
      <c r="S124" s="40">
        <f>L124</f>
        <v>0</v>
      </c>
      <c r="T124" s="39">
        <f>P124+R124-Q124+M124</f>
        <v>0</v>
      </c>
      <c r="U124" s="39">
        <f>T124-V124-W124-X124</f>
        <v>0</v>
      </c>
      <c r="V124" s="41">
        <f>P124*0.03</f>
        <v>0</v>
      </c>
      <c r="W124" s="41">
        <f>P124*0.04</f>
        <v>0</v>
      </c>
      <c r="X124" s="41">
        <f>P124*0.05</f>
        <v>0</v>
      </c>
      <c r="Y124" s="42">
        <f>P124*0.05</f>
        <v>0</v>
      </c>
      <c r="Z124" s="39">
        <f>T124-Y124</f>
        <v>0</v>
      </c>
      <c r="AA124" s="39">
        <f>U124-Y124</f>
        <v>0</v>
      </c>
      <c r="AB124" s="43"/>
      <c r="AC124" t="s" s="37">
        <v>0</v>
      </c>
      <c r="AD124" t="s" s="37">
        <v>0</v>
      </c>
      <c r="AE124" t="s" s="37">
        <v>0</v>
      </c>
      <c r="AF124" t="s" s="44">
        <v>0</v>
      </c>
      <c r="AG124" s="45"/>
      <c r="AH124" s="39"/>
      <c r="AI124" s="41">
        <f>AH124-T124-U124</f>
        <v>0</v>
      </c>
      <c r="AJ124" t="s" s="44">
        <v>0</v>
      </c>
      <c r="AK124" s="45"/>
      <c r="AL124" s="39"/>
      <c r="AM124" s="41">
        <f>AL124-Z124-AA124</f>
        <v>0</v>
      </c>
      <c r="AN124" t="s" s="44">
        <v>0</v>
      </c>
      <c r="AO124" s="45"/>
      <c r="AP124" s="39"/>
      <c r="AQ124" s="41">
        <f>AP124-Y124</f>
        <v>0</v>
      </c>
      <c r="AR124" s="37"/>
      <c r="AS124" s="46">
        <v>0</v>
      </c>
    </row>
    <row r="125" ht="54.85" customHeight="1">
      <c r="A125" t="s" s="2">
        <v>0</v>
      </c>
      <c r="B125" s="33"/>
      <c r="C125" s="34"/>
      <c r="D125" s="35"/>
      <c r="E125" s="49"/>
      <c r="F125" s="50"/>
      <c r="G125" s="49"/>
      <c r="H125" s="49"/>
      <c r="I125" t="s" s="51">
        <v>0</v>
      </c>
      <c r="J125" s="38"/>
      <c r="K125" s="52"/>
      <c r="L125" s="52"/>
      <c r="M125" s="52"/>
      <c r="N125" s="52"/>
      <c r="O125" s="52"/>
      <c r="P125" s="40">
        <f>K125-L125-O125+N125</f>
        <v>0</v>
      </c>
      <c r="Q125" s="52"/>
      <c r="R125" s="52"/>
      <c r="S125" s="40">
        <f>L125</f>
        <v>0</v>
      </c>
      <c r="T125" s="52">
        <f>P125+R125-Q125+M125</f>
        <v>0</v>
      </c>
      <c r="U125" s="52">
        <f>T125-V125-W125-X125</f>
        <v>0</v>
      </c>
      <c r="V125" s="41">
        <f>P125*0.03</f>
        <v>0</v>
      </c>
      <c r="W125" s="41">
        <f>P125*0.04</f>
        <v>0</v>
      </c>
      <c r="X125" s="41">
        <f>P125*0.05</f>
        <v>0</v>
      </c>
      <c r="Y125" s="42">
        <f>P125*0.05</f>
        <v>0</v>
      </c>
      <c r="Z125" s="52">
        <f>T125-Y125</f>
        <v>0</v>
      </c>
      <c r="AA125" s="52">
        <f>U125-Y125</f>
        <v>0</v>
      </c>
      <c r="AB125" s="43"/>
      <c r="AC125" t="s" s="51">
        <v>0</v>
      </c>
      <c r="AD125" t="s" s="51">
        <v>0</v>
      </c>
      <c r="AE125" t="s" s="51">
        <v>0</v>
      </c>
      <c r="AF125" t="s" s="44">
        <v>0</v>
      </c>
      <c r="AG125" s="54"/>
      <c r="AH125" s="52"/>
      <c r="AI125" s="41">
        <f>AH125-T125-U125</f>
        <v>0</v>
      </c>
      <c r="AJ125" t="s" s="44">
        <v>0</v>
      </c>
      <c r="AK125" s="54"/>
      <c r="AL125" s="52"/>
      <c r="AM125" s="41">
        <f>AL125-Z125-AA125</f>
        <v>0</v>
      </c>
      <c r="AN125" t="s" s="44">
        <v>0</v>
      </c>
      <c r="AO125" s="54"/>
      <c r="AP125" s="52"/>
      <c r="AQ125" s="41">
        <f>AP125-Y125</f>
        <v>0</v>
      </c>
      <c r="AR125" s="51"/>
      <c r="AS125" s="55">
        <v>0</v>
      </c>
    </row>
    <row r="126" ht="54.85" customHeight="1">
      <c r="A126" t="s" s="2">
        <v>0</v>
      </c>
      <c r="B126" s="33"/>
      <c r="C126" s="34"/>
      <c r="D126" s="35"/>
      <c r="E126" s="34"/>
      <c r="F126" s="36"/>
      <c r="G126" s="34"/>
      <c r="H126" s="34"/>
      <c r="I126" t="s" s="37">
        <v>0</v>
      </c>
      <c r="J126" s="38"/>
      <c r="K126" s="39"/>
      <c r="L126" s="39"/>
      <c r="M126" s="39"/>
      <c r="N126" s="39"/>
      <c r="O126" s="39"/>
      <c r="P126" s="40">
        <f>K126-L126-O126+N126</f>
        <v>0</v>
      </c>
      <c r="Q126" s="39"/>
      <c r="R126" s="39"/>
      <c r="S126" s="40">
        <f>L126</f>
        <v>0</v>
      </c>
      <c r="T126" s="39">
        <f>P126+R126-Q126+M126</f>
        <v>0</v>
      </c>
      <c r="U126" s="39">
        <f>T126-V126-W126-X126</f>
        <v>0</v>
      </c>
      <c r="V126" s="41">
        <f>P126*0.03</f>
        <v>0</v>
      </c>
      <c r="W126" s="41">
        <f>P126*0.04</f>
        <v>0</v>
      </c>
      <c r="X126" s="41">
        <f>P126*0.05</f>
        <v>0</v>
      </c>
      <c r="Y126" s="42">
        <f>P126*0.05</f>
        <v>0</v>
      </c>
      <c r="Z126" s="39">
        <f>T126-Y126</f>
        <v>0</v>
      </c>
      <c r="AA126" s="39">
        <f>U126-Y126</f>
        <v>0</v>
      </c>
      <c r="AB126" s="43"/>
      <c r="AC126" t="s" s="37">
        <v>0</v>
      </c>
      <c r="AD126" t="s" s="37">
        <v>0</v>
      </c>
      <c r="AE126" t="s" s="37">
        <v>0</v>
      </c>
      <c r="AF126" t="s" s="44">
        <v>0</v>
      </c>
      <c r="AG126" s="45"/>
      <c r="AH126" s="39"/>
      <c r="AI126" s="41">
        <f>AH126-T126-U126</f>
        <v>0</v>
      </c>
      <c r="AJ126" t="s" s="44">
        <v>0</v>
      </c>
      <c r="AK126" s="45"/>
      <c r="AL126" s="39"/>
      <c r="AM126" s="41">
        <f>AL126-Z126-AA126</f>
        <v>0</v>
      </c>
      <c r="AN126" t="s" s="44">
        <v>0</v>
      </c>
      <c r="AO126" s="45"/>
      <c r="AP126" s="39"/>
      <c r="AQ126" s="41">
        <f>AP126-Y126</f>
        <v>0</v>
      </c>
      <c r="AR126" s="37"/>
      <c r="AS126" s="46">
        <v>0</v>
      </c>
    </row>
    <row r="127" ht="54.85" customHeight="1">
      <c r="A127" t="s" s="2">
        <v>0</v>
      </c>
      <c r="B127" s="33"/>
      <c r="C127" s="34"/>
      <c r="D127" s="35"/>
      <c r="E127" s="49"/>
      <c r="F127" s="50"/>
      <c r="G127" s="49"/>
      <c r="H127" s="49"/>
      <c r="I127" t="s" s="51">
        <v>0</v>
      </c>
      <c r="J127" s="38"/>
      <c r="K127" s="52"/>
      <c r="L127" s="52"/>
      <c r="M127" s="52"/>
      <c r="N127" s="52"/>
      <c r="O127" s="52"/>
      <c r="P127" s="40">
        <f>K127-L127-O127+N127</f>
        <v>0</v>
      </c>
      <c r="Q127" s="52"/>
      <c r="R127" s="52"/>
      <c r="S127" s="40">
        <f>L127</f>
        <v>0</v>
      </c>
      <c r="T127" s="52">
        <f>P127+R127-Q127+M127</f>
        <v>0</v>
      </c>
      <c r="U127" s="52">
        <f>T127-V127-W127-X127</f>
        <v>0</v>
      </c>
      <c r="V127" s="41">
        <f>P127*0.03</f>
        <v>0</v>
      </c>
      <c r="W127" s="41">
        <f>P127*0.04</f>
        <v>0</v>
      </c>
      <c r="X127" s="41">
        <f>P127*0.05</f>
        <v>0</v>
      </c>
      <c r="Y127" s="42">
        <f>P127*0.05</f>
        <v>0</v>
      </c>
      <c r="Z127" s="52">
        <f>T127-Y127</f>
        <v>0</v>
      </c>
      <c r="AA127" s="52">
        <f>U127-Y127</f>
        <v>0</v>
      </c>
      <c r="AB127" s="43"/>
      <c r="AC127" t="s" s="51">
        <v>0</v>
      </c>
      <c r="AD127" t="s" s="51">
        <v>0</v>
      </c>
      <c r="AE127" t="s" s="51">
        <v>0</v>
      </c>
      <c r="AF127" t="s" s="44">
        <v>0</v>
      </c>
      <c r="AG127" s="54"/>
      <c r="AH127" s="52"/>
      <c r="AI127" s="41">
        <f>AH127-T127-U127</f>
        <v>0</v>
      </c>
      <c r="AJ127" t="s" s="44">
        <v>0</v>
      </c>
      <c r="AK127" s="54"/>
      <c r="AL127" s="52"/>
      <c r="AM127" s="41">
        <f>AL127-Z127-AA127</f>
        <v>0</v>
      </c>
      <c r="AN127" t="s" s="44">
        <v>0</v>
      </c>
      <c r="AO127" s="54"/>
      <c r="AP127" s="52"/>
      <c r="AQ127" s="41">
        <f>AP127-Y127</f>
        <v>0</v>
      </c>
      <c r="AR127" s="51"/>
      <c r="AS127" s="55">
        <v>0</v>
      </c>
    </row>
    <row r="128" ht="54.85" customHeight="1">
      <c r="A128" t="s" s="2">
        <v>0</v>
      </c>
      <c r="B128" s="33"/>
      <c r="C128" s="34"/>
      <c r="D128" s="35"/>
      <c r="E128" s="34"/>
      <c r="F128" s="36"/>
      <c r="G128" s="34"/>
      <c r="H128" s="34"/>
      <c r="I128" t="s" s="37">
        <v>0</v>
      </c>
      <c r="J128" s="38"/>
      <c r="K128" s="39"/>
      <c r="L128" s="39"/>
      <c r="M128" s="39"/>
      <c r="N128" s="39"/>
      <c r="O128" s="39"/>
      <c r="P128" s="40">
        <f>K128-L128-O128+N128</f>
        <v>0</v>
      </c>
      <c r="Q128" s="39"/>
      <c r="R128" s="39"/>
      <c r="S128" s="40">
        <f>L128</f>
        <v>0</v>
      </c>
      <c r="T128" s="39">
        <f>P128+R128-Q128+M128</f>
        <v>0</v>
      </c>
      <c r="U128" s="39">
        <f>T128-V128-W128-X128</f>
        <v>0</v>
      </c>
      <c r="V128" s="41">
        <f>P128*0.03</f>
        <v>0</v>
      </c>
      <c r="W128" s="41">
        <f>P128*0.04</f>
        <v>0</v>
      </c>
      <c r="X128" s="41">
        <f>P128*0.05</f>
        <v>0</v>
      </c>
      <c r="Y128" s="42">
        <f>P128*0.05</f>
        <v>0</v>
      </c>
      <c r="Z128" s="39">
        <f>T128-Y128</f>
        <v>0</v>
      </c>
      <c r="AA128" s="39">
        <f>U128-Y128</f>
        <v>0</v>
      </c>
      <c r="AB128" s="43"/>
      <c r="AC128" t="s" s="37">
        <v>0</v>
      </c>
      <c r="AD128" t="s" s="37">
        <v>0</v>
      </c>
      <c r="AE128" t="s" s="37">
        <v>0</v>
      </c>
      <c r="AF128" t="s" s="44">
        <v>0</v>
      </c>
      <c r="AG128" s="45"/>
      <c r="AH128" s="39"/>
      <c r="AI128" s="41">
        <f>AH128-T128-U128</f>
        <v>0</v>
      </c>
      <c r="AJ128" t="s" s="44">
        <v>0</v>
      </c>
      <c r="AK128" s="45"/>
      <c r="AL128" s="39"/>
      <c r="AM128" s="41">
        <f>AL128-Z128-AA128</f>
        <v>0</v>
      </c>
      <c r="AN128" t="s" s="44">
        <v>0</v>
      </c>
      <c r="AO128" s="45"/>
      <c r="AP128" s="39"/>
      <c r="AQ128" s="41">
        <f>AP128-Y128</f>
        <v>0</v>
      </c>
      <c r="AR128" s="37"/>
      <c r="AS128" s="46">
        <v>0</v>
      </c>
    </row>
    <row r="129" ht="54.85" customHeight="1">
      <c r="A129" t="s" s="2">
        <v>0</v>
      </c>
      <c r="B129" s="33"/>
      <c r="C129" s="34"/>
      <c r="D129" s="35"/>
      <c r="E129" s="49"/>
      <c r="F129" s="50"/>
      <c r="G129" s="49"/>
      <c r="H129" s="49"/>
      <c r="I129" t="s" s="51">
        <v>0</v>
      </c>
      <c r="J129" s="38"/>
      <c r="K129" s="52"/>
      <c r="L129" s="52"/>
      <c r="M129" s="52"/>
      <c r="N129" s="52"/>
      <c r="O129" s="52"/>
      <c r="P129" s="40">
        <f>K129-L129-O129+N129</f>
        <v>0</v>
      </c>
      <c r="Q129" s="52"/>
      <c r="R129" s="52"/>
      <c r="S129" s="40">
        <f>L129</f>
        <v>0</v>
      </c>
      <c r="T129" s="52">
        <f>P129+R129-Q129+M129</f>
        <v>0</v>
      </c>
      <c r="U129" s="52">
        <f>T129-V129-W129-X129</f>
        <v>0</v>
      </c>
      <c r="V129" s="41">
        <f>P129*0.03</f>
        <v>0</v>
      </c>
      <c r="W129" s="41">
        <f>P129*0.04</f>
        <v>0</v>
      </c>
      <c r="X129" s="41">
        <f>P129*0.05</f>
        <v>0</v>
      </c>
      <c r="Y129" s="42">
        <f>P129*0.05</f>
        <v>0</v>
      </c>
      <c r="Z129" s="52">
        <f>T129-Y129</f>
        <v>0</v>
      </c>
      <c r="AA129" s="52">
        <f>U129-Y129</f>
        <v>0</v>
      </c>
      <c r="AB129" s="43"/>
      <c r="AC129" t="s" s="51">
        <v>0</v>
      </c>
      <c r="AD129" t="s" s="51">
        <v>0</v>
      </c>
      <c r="AE129" t="s" s="51">
        <v>0</v>
      </c>
      <c r="AF129" t="s" s="44">
        <v>0</v>
      </c>
      <c r="AG129" s="54"/>
      <c r="AH129" s="52"/>
      <c r="AI129" s="41">
        <f>AH129-T129-U129</f>
        <v>0</v>
      </c>
      <c r="AJ129" t="s" s="44">
        <v>0</v>
      </c>
      <c r="AK129" s="54"/>
      <c r="AL129" s="52"/>
      <c r="AM129" s="41">
        <f>AL129-Z129-AA129</f>
        <v>0</v>
      </c>
      <c r="AN129" t="s" s="44">
        <v>0</v>
      </c>
      <c r="AO129" s="54"/>
      <c r="AP129" s="52"/>
      <c r="AQ129" s="41">
        <f>AP129-Y129</f>
        <v>0</v>
      </c>
      <c r="AR129" s="51"/>
      <c r="AS129" s="55">
        <v>0</v>
      </c>
    </row>
    <row r="130" ht="54.85" customHeight="1">
      <c r="A130" t="s" s="2">
        <v>0</v>
      </c>
      <c r="B130" s="33"/>
      <c r="C130" s="34"/>
      <c r="D130" s="35"/>
      <c r="E130" s="34"/>
      <c r="F130" s="36"/>
      <c r="G130" s="34"/>
      <c r="H130" s="34"/>
      <c r="I130" t="s" s="37">
        <v>0</v>
      </c>
      <c r="J130" s="38"/>
      <c r="K130" s="39"/>
      <c r="L130" s="39"/>
      <c r="M130" s="39"/>
      <c r="N130" s="39"/>
      <c r="O130" s="39"/>
      <c r="P130" s="40">
        <f>K130-L130-O130+N130</f>
        <v>0</v>
      </c>
      <c r="Q130" s="39"/>
      <c r="R130" s="39"/>
      <c r="S130" s="40">
        <f>L130</f>
        <v>0</v>
      </c>
      <c r="T130" s="39">
        <f>P130+R130-Q130+M130</f>
        <v>0</v>
      </c>
      <c r="U130" s="39">
        <f>T130-V130-W130-X130</f>
        <v>0</v>
      </c>
      <c r="V130" s="41">
        <f>P130*0.03</f>
        <v>0</v>
      </c>
      <c r="W130" s="41">
        <f>P130*0.04</f>
        <v>0</v>
      </c>
      <c r="X130" s="41">
        <f>P130*0.05</f>
        <v>0</v>
      </c>
      <c r="Y130" s="42">
        <f>P130*0.05</f>
        <v>0</v>
      </c>
      <c r="Z130" s="39">
        <f>T130-Y130</f>
        <v>0</v>
      </c>
      <c r="AA130" s="39">
        <f>U130-Y130</f>
        <v>0</v>
      </c>
      <c r="AB130" s="43"/>
      <c r="AC130" t="s" s="37">
        <v>0</v>
      </c>
      <c r="AD130" t="s" s="37">
        <v>0</v>
      </c>
      <c r="AE130" t="s" s="37">
        <v>0</v>
      </c>
      <c r="AF130" t="s" s="44">
        <v>0</v>
      </c>
      <c r="AG130" s="45"/>
      <c r="AH130" s="39"/>
      <c r="AI130" s="41">
        <f>AH130-T130-U130</f>
        <v>0</v>
      </c>
      <c r="AJ130" t="s" s="44">
        <v>0</v>
      </c>
      <c r="AK130" s="45"/>
      <c r="AL130" s="39"/>
      <c r="AM130" s="41">
        <f>AL130-Z130-AA130</f>
        <v>0</v>
      </c>
      <c r="AN130" t="s" s="44">
        <v>0</v>
      </c>
      <c r="AO130" s="45"/>
      <c r="AP130" s="39"/>
      <c r="AQ130" s="41">
        <f>AP130-Y130</f>
        <v>0</v>
      </c>
      <c r="AR130" s="37"/>
      <c r="AS130" s="46">
        <v>0</v>
      </c>
    </row>
    <row r="131" ht="54.85" customHeight="1">
      <c r="A131" t="s" s="2">
        <v>0</v>
      </c>
      <c r="B131" s="33"/>
      <c r="C131" s="34"/>
      <c r="D131" s="35"/>
      <c r="E131" s="49"/>
      <c r="F131" s="50"/>
      <c r="G131" s="49"/>
      <c r="H131" s="49"/>
      <c r="I131" t="s" s="51">
        <v>0</v>
      </c>
      <c r="J131" s="38"/>
      <c r="K131" s="52"/>
      <c r="L131" s="52"/>
      <c r="M131" s="52"/>
      <c r="N131" s="52"/>
      <c r="O131" s="52"/>
      <c r="P131" s="40">
        <f>K131-L131-O131+N131</f>
        <v>0</v>
      </c>
      <c r="Q131" s="52"/>
      <c r="R131" s="52"/>
      <c r="S131" s="40">
        <f>L131</f>
        <v>0</v>
      </c>
      <c r="T131" s="52">
        <f>P131+R131-Q131+M131</f>
        <v>0</v>
      </c>
      <c r="U131" s="52">
        <f>T131-V131-W131-X131</f>
        <v>0</v>
      </c>
      <c r="V131" s="41">
        <f>P131*0.03</f>
        <v>0</v>
      </c>
      <c r="W131" s="41">
        <f>P131*0.04</f>
        <v>0</v>
      </c>
      <c r="X131" s="41">
        <f>P131*0.05</f>
        <v>0</v>
      </c>
      <c r="Y131" s="42">
        <f>P131*0.05</f>
        <v>0</v>
      </c>
      <c r="Z131" s="52">
        <f>T131-Y131</f>
        <v>0</v>
      </c>
      <c r="AA131" s="52">
        <f>U131-Y131</f>
        <v>0</v>
      </c>
      <c r="AB131" s="43"/>
      <c r="AC131" t="s" s="51">
        <v>0</v>
      </c>
      <c r="AD131" t="s" s="51">
        <v>0</v>
      </c>
      <c r="AE131" t="s" s="51">
        <v>0</v>
      </c>
      <c r="AF131" t="s" s="44">
        <v>0</v>
      </c>
      <c r="AG131" s="54"/>
      <c r="AH131" s="52"/>
      <c r="AI131" s="41">
        <f>AH131-T131-U131</f>
        <v>0</v>
      </c>
      <c r="AJ131" t="s" s="44">
        <v>0</v>
      </c>
      <c r="AK131" s="54"/>
      <c r="AL131" s="52"/>
      <c r="AM131" s="41">
        <f>AL131-Z131-AA131</f>
        <v>0</v>
      </c>
      <c r="AN131" t="s" s="44">
        <v>0</v>
      </c>
      <c r="AO131" s="54"/>
      <c r="AP131" s="52"/>
      <c r="AQ131" s="41">
        <f>AP131-Y131</f>
        <v>0</v>
      </c>
      <c r="AR131" s="51"/>
      <c r="AS131" s="55">
        <v>0</v>
      </c>
    </row>
    <row r="132" ht="54.85" customHeight="1">
      <c r="A132" t="s" s="2">
        <v>0</v>
      </c>
      <c r="B132" s="33"/>
      <c r="C132" s="34"/>
      <c r="D132" s="35"/>
      <c r="E132" s="34"/>
      <c r="F132" s="36"/>
      <c r="G132" s="34"/>
      <c r="H132" s="34"/>
      <c r="I132" t="s" s="37">
        <v>0</v>
      </c>
      <c r="J132" s="38"/>
      <c r="K132" s="39"/>
      <c r="L132" s="39"/>
      <c r="M132" s="39"/>
      <c r="N132" s="39"/>
      <c r="O132" s="39"/>
      <c r="P132" s="40">
        <f>K132-L132-O132+N132</f>
        <v>0</v>
      </c>
      <c r="Q132" s="39"/>
      <c r="R132" s="39"/>
      <c r="S132" s="40">
        <f>L132</f>
        <v>0</v>
      </c>
      <c r="T132" s="39">
        <f>P132+R132-Q132+M132</f>
        <v>0</v>
      </c>
      <c r="U132" s="39">
        <f>T132-V132-W132-X132</f>
        <v>0</v>
      </c>
      <c r="V132" s="41">
        <f>P132*0.03</f>
        <v>0</v>
      </c>
      <c r="W132" s="41">
        <f>P132*0.04</f>
        <v>0</v>
      </c>
      <c r="X132" s="41">
        <f>P132*0.05</f>
        <v>0</v>
      </c>
      <c r="Y132" s="42">
        <f>P132*0.05</f>
        <v>0</v>
      </c>
      <c r="Z132" s="39">
        <f>T132-Y132</f>
        <v>0</v>
      </c>
      <c r="AA132" s="39">
        <f>U132-Y132</f>
        <v>0</v>
      </c>
      <c r="AB132" s="43"/>
      <c r="AC132" t="s" s="37">
        <v>0</v>
      </c>
      <c r="AD132" t="s" s="37">
        <v>0</v>
      </c>
      <c r="AE132" t="s" s="37">
        <v>0</v>
      </c>
      <c r="AF132" t="s" s="44">
        <v>0</v>
      </c>
      <c r="AG132" s="45"/>
      <c r="AH132" s="39"/>
      <c r="AI132" s="41">
        <f>AH132-T132-U132</f>
        <v>0</v>
      </c>
      <c r="AJ132" t="s" s="44">
        <v>0</v>
      </c>
      <c r="AK132" s="45"/>
      <c r="AL132" s="39"/>
      <c r="AM132" s="41">
        <f>AL132-Z132-AA132</f>
        <v>0</v>
      </c>
      <c r="AN132" t="s" s="44">
        <v>0</v>
      </c>
      <c r="AO132" s="45"/>
      <c r="AP132" s="39"/>
      <c r="AQ132" s="41">
        <f>AP132-Y132</f>
        <v>0</v>
      </c>
      <c r="AR132" s="37"/>
      <c r="AS132" s="46">
        <v>0</v>
      </c>
    </row>
    <row r="133" ht="54.85" customHeight="1">
      <c r="A133" t="s" s="2">
        <v>0</v>
      </c>
      <c r="B133" s="33"/>
      <c r="C133" s="34"/>
      <c r="D133" s="35"/>
      <c r="E133" s="49"/>
      <c r="F133" s="50"/>
      <c r="G133" s="49"/>
      <c r="H133" s="49"/>
      <c r="I133" t="s" s="51">
        <v>0</v>
      </c>
      <c r="J133" s="38"/>
      <c r="K133" s="52"/>
      <c r="L133" s="52"/>
      <c r="M133" s="52"/>
      <c r="N133" s="52"/>
      <c r="O133" s="52"/>
      <c r="P133" s="40">
        <f>K133-L133-O133+N133</f>
        <v>0</v>
      </c>
      <c r="Q133" s="52"/>
      <c r="R133" s="52"/>
      <c r="S133" s="40">
        <f>L133</f>
        <v>0</v>
      </c>
      <c r="T133" s="52">
        <f>P133+R133-Q133+M133</f>
        <v>0</v>
      </c>
      <c r="U133" s="52">
        <f>T133-V133-W133-X133</f>
        <v>0</v>
      </c>
      <c r="V133" s="41">
        <f>P133*0.03</f>
        <v>0</v>
      </c>
      <c r="W133" s="41">
        <f>P133*0.04</f>
        <v>0</v>
      </c>
      <c r="X133" s="41">
        <f>P133*0.05</f>
        <v>0</v>
      </c>
      <c r="Y133" s="42">
        <f>P133*0.05</f>
        <v>0</v>
      </c>
      <c r="Z133" s="52">
        <f>T133-Y133</f>
        <v>0</v>
      </c>
      <c r="AA133" s="52">
        <f>U133-Y133</f>
        <v>0</v>
      </c>
      <c r="AB133" s="43"/>
      <c r="AC133" t="s" s="51">
        <v>0</v>
      </c>
      <c r="AD133" t="s" s="51">
        <v>0</v>
      </c>
      <c r="AE133" t="s" s="51">
        <v>0</v>
      </c>
      <c r="AF133" t="s" s="44">
        <v>0</v>
      </c>
      <c r="AG133" s="54"/>
      <c r="AH133" s="52"/>
      <c r="AI133" s="41">
        <f>AH133-T133-U133</f>
        <v>0</v>
      </c>
      <c r="AJ133" t="s" s="44">
        <v>0</v>
      </c>
      <c r="AK133" s="54"/>
      <c r="AL133" s="52"/>
      <c r="AM133" s="41">
        <f>AL133-Z133-AA133</f>
        <v>0</v>
      </c>
      <c r="AN133" t="s" s="44">
        <v>0</v>
      </c>
      <c r="AO133" s="54"/>
      <c r="AP133" s="52"/>
      <c r="AQ133" s="41">
        <f>AP133-Y133</f>
        <v>0</v>
      </c>
      <c r="AR133" s="51"/>
      <c r="AS133" s="55">
        <v>0</v>
      </c>
    </row>
    <row r="134" ht="54.85" customHeight="1">
      <c r="A134" t="s" s="2">
        <v>0</v>
      </c>
      <c r="B134" s="33"/>
      <c r="C134" s="34"/>
      <c r="D134" s="35"/>
      <c r="E134" s="34"/>
      <c r="F134" s="36"/>
      <c r="G134" s="34"/>
      <c r="H134" s="34"/>
      <c r="I134" t="s" s="37">
        <v>0</v>
      </c>
      <c r="J134" s="38"/>
      <c r="K134" s="39"/>
      <c r="L134" s="39"/>
      <c r="M134" s="39"/>
      <c r="N134" s="39"/>
      <c r="O134" s="39"/>
      <c r="P134" s="40">
        <f>K134-L134-O134+N134</f>
        <v>0</v>
      </c>
      <c r="Q134" s="39"/>
      <c r="R134" s="39"/>
      <c r="S134" s="40">
        <f>L134</f>
        <v>0</v>
      </c>
      <c r="T134" s="39">
        <f>P134+R134-Q134+M134</f>
        <v>0</v>
      </c>
      <c r="U134" s="39">
        <f>T134-V134-W134-X134</f>
        <v>0</v>
      </c>
      <c r="V134" s="41">
        <f>P134*0.03</f>
        <v>0</v>
      </c>
      <c r="W134" s="41">
        <f>P134*0.04</f>
        <v>0</v>
      </c>
      <c r="X134" s="41">
        <f>P134*0.05</f>
        <v>0</v>
      </c>
      <c r="Y134" s="42">
        <f>P134*0.05</f>
        <v>0</v>
      </c>
      <c r="Z134" s="39">
        <f>T134-Y134</f>
        <v>0</v>
      </c>
      <c r="AA134" s="39">
        <f>U134-Y134</f>
        <v>0</v>
      </c>
      <c r="AB134" s="43"/>
      <c r="AC134" t="s" s="37">
        <v>0</v>
      </c>
      <c r="AD134" t="s" s="37">
        <v>0</v>
      </c>
      <c r="AE134" t="s" s="37">
        <v>0</v>
      </c>
      <c r="AF134" t="s" s="44">
        <v>0</v>
      </c>
      <c r="AG134" s="45"/>
      <c r="AH134" s="39"/>
      <c r="AI134" s="41">
        <f>AH134-T134-U134</f>
        <v>0</v>
      </c>
      <c r="AJ134" t="s" s="44">
        <v>0</v>
      </c>
      <c r="AK134" s="45"/>
      <c r="AL134" s="39"/>
      <c r="AM134" s="41">
        <f>AL134-Z134-AA134</f>
        <v>0</v>
      </c>
      <c r="AN134" t="s" s="44">
        <v>0</v>
      </c>
      <c r="AO134" s="45"/>
      <c r="AP134" s="39"/>
      <c r="AQ134" s="41">
        <f>AP134-Y134</f>
        <v>0</v>
      </c>
      <c r="AR134" s="37"/>
      <c r="AS134" s="46">
        <v>0</v>
      </c>
    </row>
    <row r="135" ht="54.85" customHeight="1">
      <c r="A135" t="s" s="2">
        <v>0</v>
      </c>
      <c r="B135" s="33"/>
      <c r="C135" s="34"/>
      <c r="D135" s="35"/>
      <c r="E135" s="49"/>
      <c r="F135" s="50"/>
      <c r="G135" s="49"/>
      <c r="H135" s="49"/>
      <c r="I135" t="s" s="51">
        <v>0</v>
      </c>
      <c r="J135" s="38"/>
      <c r="K135" s="52"/>
      <c r="L135" s="52"/>
      <c r="M135" s="52"/>
      <c r="N135" s="52"/>
      <c r="O135" s="52"/>
      <c r="P135" s="40">
        <f>K135-L135-O135+N135</f>
        <v>0</v>
      </c>
      <c r="Q135" s="52"/>
      <c r="R135" s="52"/>
      <c r="S135" s="40">
        <f>L135</f>
        <v>0</v>
      </c>
      <c r="T135" s="52">
        <f>P135+R135-Q135+M135</f>
        <v>0</v>
      </c>
      <c r="U135" s="52">
        <f>T135-V135-W135-X135</f>
        <v>0</v>
      </c>
      <c r="V135" s="41">
        <f>P135*0.03</f>
        <v>0</v>
      </c>
      <c r="W135" s="41">
        <f>P135*0.04</f>
        <v>0</v>
      </c>
      <c r="X135" s="41">
        <f>P135*0.05</f>
        <v>0</v>
      </c>
      <c r="Y135" s="42">
        <f>P135*0.05</f>
        <v>0</v>
      </c>
      <c r="Z135" s="52">
        <f>T135-Y135</f>
        <v>0</v>
      </c>
      <c r="AA135" s="52">
        <f>U135-Y135</f>
        <v>0</v>
      </c>
      <c r="AB135" s="43"/>
      <c r="AC135" t="s" s="51">
        <v>0</v>
      </c>
      <c r="AD135" t="s" s="51">
        <v>0</v>
      </c>
      <c r="AE135" t="s" s="51">
        <v>0</v>
      </c>
      <c r="AF135" t="s" s="44">
        <v>0</v>
      </c>
      <c r="AG135" s="54"/>
      <c r="AH135" s="52"/>
      <c r="AI135" s="41">
        <f>AH135-T135-U135</f>
        <v>0</v>
      </c>
      <c r="AJ135" t="s" s="44">
        <v>0</v>
      </c>
      <c r="AK135" s="54"/>
      <c r="AL135" s="52"/>
      <c r="AM135" s="41">
        <f>AL135-Z135-AA135</f>
        <v>0</v>
      </c>
      <c r="AN135" t="s" s="44">
        <v>0</v>
      </c>
      <c r="AO135" s="54"/>
      <c r="AP135" s="52"/>
      <c r="AQ135" s="41">
        <f>AP135-Y135</f>
        <v>0</v>
      </c>
      <c r="AR135" s="51"/>
      <c r="AS135" s="55">
        <v>0</v>
      </c>
    </row>
    <row r="136" ht="54.85" customHeight="1">
      <c r="A136" t="s" s="2">
        <v>0</v>
      </c>
      <c r="B136" s="33"/>
      <c r="C136" s="34"/>
      <c r="D136" s="35"/>
      <c r="E136" s="34"/>
      <c r="F136" s="36"/>
      <c r="G136" s="34"/>
      <c r="H136" s="34"/>
      <c r="I136" t="s" s="37">
        <v>0</v>
      </c>
      <c r="J136" s="38"/>
      <c r="K136" s="39"/>
      <c r="L136" s="39"/>
      <c r="M136" s="39"/>
      <c r="N136" s="39"/>
      <c r="O136" s="39"/>
      <c r="P136" s="40">
        <f>K136-L136-O136+N136</f>
        <v>0</v>
      </c>
      <c r="Q136" s="39"/>
      <c r="R136" s="39"/>
      <c r="S136" s="40">
        <f>L136</f>
        <v>0</v>
      </c>
      <c r="T136" s="39">
        <f>P136+R136-Q136+M136</f>
        <v>0</v>
      </c>
      <c r="U136" s="39">
        <f>T136-V136-W136-X136</f>
        <v>0</v>
      </c>
      <c r="V136" s="41">
        <f>P136*0.03</f>
        <v>0</v>
      </c>
      <c r="W136" s="41">
        <f>P136*0.04</f>
        <v>0</v>
      </c>
      <c r="X136" s="41">
        <f>P136*0.05</f>
        <v>0</v>
      </c>
      <c r="Y136" s="42">
        <f>P136*0.05</f>
        <v>0</v>
      </c>
      <c r="Z136" s="39">
        <f>T136-Y136</f>
        <v>0</v>
      </c>
      <c r="AA136" s="39">
        <f>U136-Y136</f>
        <v>0</v>
      </c>
      <c r="AB136" s="43"/>
      <c r="AC136" t="s" s="37">
        <v>0</v>
      </c>
      <c r="AD136" t="s" s="37">
        <v>0</v>
      </c>
      <c r="AE136" t="s" s="37">
        <v>0</v>
      </c>
      <c r="AF136" t="s" s="44">
        <v>0</v>
      </c>
      <c r="AG136" s="45"/>
      <c r="AH136" s="39"/>
      <c r="AI136" s="41">
        <f>AH136-T136-U136</f>
        <v>0</v>
      </c>
      <c r="AJ136" t="s" s="44">
        <v>0</v>
      </c>
      <c r="AK136" s="45"/>
      <c r="AL136" s="39"/>
      <c r="AM136" s="41">
        <f>AL136-Z136-AA136</f>
        <v>0</v>
      </c>
      <c r="AN136" t="s" s="44">
        <v>0</v>
      </c>
      <c r="AO136" s="45"/>
      <c r="AP136" s="39"/>
      <c r="AQ136" s="41">
        <f>AP136-Y136</f>
        <v>0</v>
      </c>
      <c r="AR136" s="37"/>
      <c r="AS136" s="46">
        <v>0</v>
      </c>
    </row>
    <row r="137" ht="54.85" customHeight="1">
      <c r="A137" t="s" s="2">
        <v>0</v>
      </c>
      <c r="B137" s="33"/>
      <c r="C137" s="34"/>
      <c r="D137" s="35"/>
      <c r="E137" s="49"/>
      <c r="F137" s="50"/>
      <c r="G137" s="49"/>
      <c r="H137" s="49"/>
      <c r="I137" t="s" s="51">
        <v>0</v>
      </c>
      <c r="J137" s="38"/>
      <c r="K137" s="52"/>
      <c r="L137" s="52"/>
      <c r="M137" s="52"/>
      <c r="N137" s="52"/>
      <c r="O137" s="52"/>
      <c r="P137" s="40">
        <f>K137-L137-O137+N137</f>
        <v>0</v>
      </c>
      <c r="Q137" s="52"/>
      <c r="R137" s="52"/>
      <c r="S137" s="40">
        <f>L137</f>
        <v>0</v>
      </c>
      <c r="T137" s="52">
        <f>P137+R137-Q137+M137</f>
        <v>0</v>
      </c>
      <c r="U137" s="52">
        <f>T137-V137-W137-X137</f>
        <v>0</v>
      </c>
      <c r="V137" s="41">
        <f>P137*0.03</f>
        <v>0</v>
      </c>
      <c r="W137" s="41">
        <f>P137*0.04</f>
        <v>0</v>
      </c>
      <c r="X137" s="41">
        <f>P137*0.05</f>
        <v>0</v>
      </c>
      <c r="Y137" s="42">
        <f>P137*0.05</f>
        <v>0</v>
      </c>
      <c r="Z137" s="52">
        <f>T137-Y137</f>
        <v>0</v>
      </c>
      <c r="AA137" s="52">
        <f>U137-Y137</f>
        <v>0</v>
      </c>
      <c r="AB137" s="43"/>
      <c r="AC137" t="s" s="51">
        <v>0</v>
      </c>
      <c r="AD137" t="s" s="51">
        <v>0</v>
      </c>
      <c r="AE137" t="s" s="51">
        <v>0</v>
      </c>
      <c r="AF137" t="s" s="44">
        <v>0</v>
      </c>
      <c r="AG137" s="54"/>
      <c r="AH137" s="52"/>
      <c r="AI137" s="41">
        <f>AH137-T137-U137</f>
        <v>0</v>
      </c>
      <c r="AJ137" t="s" s="44">
        <v>0</v>
      </c>
      <c r="AK137" s="54"/>
      <c r="AL137" s="52"/>
      <c r="AM137" s="41">
        <f>AL137-Z137-AA137</f>
        <v>0</v>
      </c>
      <c r="AN137" t="s" s="44">
        <v>0</v>
      </c>
      <c r="AO137" s="54"/>
      <c r="AP137" s="52"/>
      <c r="AQ137" s="41">
        <f>AP137-Y137</f>
        <v>0</v>
      </c>
      <c r="AR137" s="51"/>
      <c r="AS137" s="55">
        <v>0</v>
      </c>
    </row>
    <row r="138" ht="54.85" customHeight="1">
      <c r="A138" t="s" s="2">
        <v>0</v>
      </c>
      <c r="B138" s="33"/>
      <c r="C138" s="34"/>
      <c r="D138" s="35"/>
      <c r="E138" s="34"/>
      <c r="F138" s="36"/>
      <c r="G138" s="34"/>
      <c r="H138" s="34"/>
      <c r="I138" t="s" s="37">
        <v>0</v>
      </c>
      <c r="J138" s="38"/>
      <c r="K138" s="39"/>
      <c r="L138" s="39"/>
      <c r="M138" s="39"/>
      <c r="N138" s="39"/>
      <c r="O138" s="39"/>
      <c r="P138" s="40">
        <f>K138-L138-O138+N138</f>
        <v>0</v>
      </c>
      <c r="Q138" s="39"/>
      <c r="R138" s="39"/>
      <c r="S138" s="40">
        <f>L138</f>
        <v>0</v>
      </c>
      <c r="T138" s="39">
        <f>P138+R138-Q138+M138</f>
        <v>0</v>
      </c>
      <c r="U138" s="39">
        <f>T138-V138-W138-X138</f>
        <v>0</v>
      </c>
      <c r="V138" s="41">
        <f>P138*0.03</f>
        <v>0</v>
      </c>
      <c r="W138" s="41">
        <f>P138*0.04</f>
        <v>0</v>
      </c>
      <c r="X138" s="41">
        <f>P138*0.05</f>
        <v>0</v>
      </c>
      <c r="Y138" s="42">
        <f>P138*0.05</f>
        <v>0</v>
      </c>
      <c r="Z138" s="39">
        <f>T138-Y138</f>
        <v>0</v>
      </c>
      <c r="AA138" s="39">
        <f>U138-Y138</f>
        <v>0</v>
      </c>
      <c r="AB138" s="43"/>
      <c r="AC138" t="s" s="37">
        <v>0</v>
      </c>
      <c r="AD138" t="s" s="37">
        <v>0</v>
      </c>
      <c r="AE138" t="s" s="37">
        <v>0</v>
      </c>
      <c r="AF138" t="s" s="44">
        <v>0</v>
      </c>
      <c r="AG138" s="45"/>
      <c r="AH138" s="39"/>
      <c r="AI138" s="41">
        <f>AH138-T138-U138</f>
        <v>0</v>
      </c>
      <c r="AJ138" t="s" s="44">
        <v>0</v>
      </c>
      <c r="AK138" s="45"/>
      <c r="AL138" s="39"/>
      <c r="AM138" s="41">
        <f>AL138-Z138-AA138</f>
        <v>0</v>
      </c>
      <c r="AN138" t="s" s="44">
        <v>0</v>
      </c>
      <c r="AO138" s="45"/>
      <c r="AP138" s="39"/>
      <c r="AQ138" s="41">
        <f>AP138-Y138</f>
        <v>0</v>
      </c>
      <c r="AR138" s="37"/>
      <c r="AS138" s="46">
        <v>0</v>
      </c>
    </row>
    <row r="139" ht="54.85" customHeight="1">
      <c r="A139" t="s" s="2">
        <v>0</v>
      </c>
      <c r="B139" s="33"/>
      <c r="C139" s="34"/>
      <c r="D139" s="35"/>
      <c r="E139" s="49"/>
      <c r="F139" s="50"/>
      <c r="G139" s="49"/>
      <c r="H139" s="49"/>
      <c r="I139" t="s" s="51">
        <v>0</v>
      </c>
      <c r="J139" s="38"/>
      <c r="K139" s="52"/>
      <c r="L139" s="52"/>
      <c r="M139" s="52"/>
      <c r="N139" s="52"/>
      <c r="O139" s="52"/>
      <c r="P139" s="40">
        <f>K139-L139-O139+N139</f>
        <v>0</v>
      </c>
      <c r="Q139" s="52"/>
      <c r="R139" s="52"/>
      <c r="S139" s="40">
        <f>L139</f>
        <v>0</v>
      </c>
      <c r="T139" s="52">
        <f>P139+R139-Q139+M139</f>
        <v>0</v>
      </c>
      <c r="U139" s="52">
        <f>T139-V139-W139-X139</f>
        <v>0</v>
      </c>
      <c r="V139" s="41">
        <f>P139*0.03</f>
        <v>0</v>
      </c>
      <c r="W139" s="41">
        <f>P139*0.04</f>
        <v>0</v>
      </c>
      <c r="X139" s="41">
        <f>P139*0.05</f>
        <v>0</v>
      </c>
      <c r="Y139" s="42">
        <f>P139*0.05</f>
        <v>0</v>
      </c>
      <c r="Z139" s="52">
        <f>T139-Y139</f>
        <v>0</v>
      </c>
      <c r="AA139" s="52">
        <f>U139-Y139</f>
        <v>0</v>
      </c>
      <c r="AB139" s="43"/>
      <c r="AC139" t="s" s="51">
        <v>0</v>
      </c>
      <c r="AD139" t="s" s="51">
        <v>0</v>
      </c>
      <c r="AE139" t="s" s="51">
        <v>0</v>
      </c>
      <c r="AF139" t="s" s="44">
        <v>0</v>
      </c>
      <c r="AG139" s="54"/>
      <c r="AH139" s="52"/>
      <c r="AI139" s="41">
        <f>AH139-T139-U139</f>
        <v>0</v>
      </c>
      <c r="AJ139" t="s" s="44">
        <v>0</v>
      </c>
      <c r="AK139" s="54"/>
      <c r="AL139" s="52"/>
      <c r="AM139" s="41">
        <f>AL139-Z139-AA139</f>
        <v>0</v>
      </c>
      <c r="AN139" t="s" s="44">
        <v>0</v>
      </c>
      <c r="AO139" s="54"/>
      <c r="AP139" s="52"/>
      <c r="AQ139" s="41">
        <f>AP139-Y139</f>
        <v>0</v>
      </c>
      <c r="AR139" s="51"/>
      <c r="AS139" s="55">
        <v>0</v>
      </c>
    </row>
    <row r="140" ht="59.85" customHeight="1">
      <c r="A140" t="s" s="59">
        <v>0</v>
      </c>
      <c r="B140" t="s" s="60">
        <v>115</v>
      </c>
      <c r="C140" s="61"/>
      <c r="D140" s="62"/>
      <c r="E140" s="63"/>
      <c r="F140" s="63"/>
      <c r="G140" s="63"/>
      <c r="H140" s="63"/>
      <c r="I140" s="63"/>
      <c r="J140" s="63"/>
      <c r="K140" s="64">
        <f>SUM(K4:K139)</f>
        <v>458376.05</v>
      </c>
      <c r="L140" s="64">
        <f>SUM(L4:L139)</f>
        <v>94206.05</v>
      </c>
      <c r="M140" s="64">
        <f>SUM(M4:M139)</f>
        <v>10565</v>
      </c>
      <c r="N140" s="64">
        <f>SUM(N4:N139)</f>
        <v>540.2</v>
      </c>
      <c r="O140" s="64">
        <f>SUM(O4:O139)</f>
        <v>18730.7</v>
      </c>
      <c r="P140" s="65">
        <f>SUM(P4:P139)</f>
        <v>345979.5</v>
      </c>
      <c r="Q140" s="64">
        <f>SUM(Q4:Q139)</f>
        <v>0</v>
      </c>
      <c r="R140" s="64">
        <f>SUM(R4:R139)</f>
        <v>0</v>
      </c>
      <c r="S140" s="64">
        <f>SUM(S4:S139)</f>
        <v>94206.05</v>
      </c>
      <c r="T140" s="64">
        <f>SUM(T4:T139)</f>
        <v>353659.5</v>
      </c>
      <c r="U140" s="64">
        <f>SUM(U4:U139)</f>
        <v>312772.374</v>
      </c>
      <c r="V140" s="64">
        <f>SUM(V4:V139)</f>
        <v>10379.385</v>
      </c>
      <c r="W140" s="64">
        <f>SUM(W4:W139)</f>
        <v>13558.996</v>
      </c>
      <c r="X140" s="64">
        <f>SUM(X4:X139)</f>
        <v>16948.745</v>
      </c>
      <c r="Y140" s="66">
        <f>SUM(Y4:Y139)</f>
        <v>17298.975</v>
      </c>
      <c r="Z140" s="64">
        <f>SUM(Z4:Z139)</f>
        <v>336360.525</v>
      </c>
      <c r="AA140" s="64">
        <f>SUM(AA4:AA139)</f>
        <v>295473.399</v>
      </c>
      <c r="AB140" s="64"/>
      <c r="AC140" s="64"/>
      <c r="AD140" s="64"/>
      <c r="AE140" s="64"/>
      <c r="AF140" s="64"/>
      <c r="AG140" s="64"/>
      <c r="AH140" s="64">
        <f>SUM(AH4:AH139)</f>
        <v>0</v>
      </c>
      <c r="AI140" s="64">
        <f>SUM(AI4:AI139)</f>
        <v>-666431.874</v>
      </c>
      <c r="AJ140" s="64"/>
      <c r="AK140" s="64"/>
      <c r="AL140" s="64">
        <f>SUM(AL4:AL139)</f>
        <v>0</v>
      </c>
      <c r="AM140" s="64">
        <f>SUM(AM4:AM139)</f>
        <v>-631833.924</v>
      </c>
      <c r="AN140" s="64"/>
      <c r="AO140" s="64"/>
      <c r="AP140" s="64">
        <f>SUM(AP4:AP139)</f>
        <v>0</v>
      </c>
      <c r="AQ140" s="64">
        <f>SUM(AQ4:AQ139)</f>
        <v>-17298.975</v>
      </c>
      <c r="AR140" s="67"/>
      <c r="AS140" s="67"/>
    </row>
    <row r="141" ht="59.85" customHeight="1">
      <c r="A141" s="59"/>
      <c r="B141" s="68"/>
      <c r="C141" s="69"/>
      <c r="D141" s="70"/>
      <c r="E141" s="71"/>
      <c r="F141" s="71"/>
      <c r="G141" s="71"/>
      <c r="H141" s="71"/>
      <c r="I141" s="71"/>
      <c r="J141" s="71"/>
      <c r="K141" s="70"/>
      <c r="L141" s="71"/>
      <c r="M141" s="71"/>
      <c r="N141" s="71"/>
      <c r="O141" s="71"/>
      <c r="P141" s="71"/>
      <c r="Q141" s="70"/>
      <c r="R141" s="71"/>
      <c r="S141" s="71"/>
      <c r="T141" s="71"/>
      <c r="U141" s="71"/>
      <c r="V141" s="71"/>
      <c r="W141" s="71"/>
      <c r="X141" s="72"/>
      <c r="Y141" s="70"/>
      <c r="Z141" s="70"/>
      <c r="AA141" s="71"/>
      <c r="AB141" s="73"/>
      <c r="AC141" s="71"/>
      <c r="AD141" s="74"/>
      <c r="AE141" s="71"/>
      <c r="AF141" s="70"/>
      <c r="AG141" s="71"/>
      <c r="AH141" s="72"/>
      <c r="AI141" s="71"/>
      <c r="AJ141" s="70"/>
      <c r="AK141" s="71"/>
      <c r="AL141" s="72"/>
      <c r="AM141" s="71"/>
      <c r="AN141" s="70"/>
      <c r="AO141" s="71"/>
      <c r="AP141" s="72"/>
      <c r="AQ141" s="71"/>
      <c r="AR141" s="75"/>
      <c r="AS141" s="75"/>
    </row>
  </sheetData>
  <mergeCells count="29">
    <mergeCell ref="K2:M2"/>
    <mergeCell ref="N2:O2"/>
    <mergeCell ref="K1:P1"/>
    <mergeCell ref="S2:U2"/>
    <mergeCell ref="Q2:R2"/>
    <mergeCell ref="D2:F2"/>
    <mergeCell ref="D1:J1"/>
    <mergeCell ref="G2:I2"/>
    <mergeCell ref="V2:X2"/>
    <mergeCell ref="Q1:X1"/>
    <mergeCell ref="D140:J140"/>
    <mergeCell ref="A2:A3"/>
    <mergeCell ref="AR1:AR3"/>
    <mergeCell ref="D141:J141"/>
    <mergeCell ref="B141:C141"/>
    <mergeCell ref="K141:P141"/>
    <mergeCell ref="Q141:X141"/>
    <mergeCell ref="Z141:AA141"/>
    <mergeCell ref="AF141:AI141"/>
    <mergeCell ref="AN141:AQ141"/>
    <mergeCell ref="AJ141:AM141"/>
    <mergeCell ref="AC1:AE2"/>
    <mergeCell ref="AF1:AI2"/>
    <mergeCell ref="AN1:AQ2"/>
    <mergeCell ref="AJ1:AM2"/>
    <mergeCell ref="AB1:AB2"/>
    <mergeCell ref="B1:C1"/>
    <mergeCell ref="Z1:AA1"/>
    <mergeCell ref="AS1:AS3"/>
  </mergeCells>
  <conditionalFormatting sqref="A1 A4:A141">
    <cfRule type="cellIs" dxfId="0" priority="1" operator="equal" stopIfTrue="1">
      <formula>"..."</formula>
    </cfRule>
    <cfRule type="cellIs" dxfId="1" priority="2" operator="equal" stopIfTrue="1">
      <formula>"OK"</formula>
    </cfRule>
    <cfRule type="cellIs" dxfId="2" priority="3" operator="equal" stopIfTrue="1">
      <formula>"!"</formula>
    </cfRule>
    <cfRule type="cellIs" dxfId="3" priority="4" operator="equal" stopIfTrue="1">
      <formula>"!!"</formula>
    </cfRule>
    <cfRule type="cellIs" dxfId="4" priority="5" operator="equal" stopIfTrue="1">
      <formula>"!!!"</formula>
    </cfRule>
    <cfRule type="cellIs" dxfId="5" priority="6" operator="equal" stopIfTrue="1">
      <formula>"?"</formula>
    </cfRule>
    <cfRule type="cellIs" dxfId="6" priority="7" operator="equal" stopIfTrue="1">
      <formula>"?!"</formula>
    </cfRule>
    <cfRule type="cellIs" dxfId="7" priority="8" operator="equal" stopIfTrue="1">
      <formula>"[ ]"</formula>
    </cfRule>
  </conditionalFormatting>
  <conditionalFormatting sqref="AC4:AC139">
    <cfRule type="cellIs" dxfId="8" priority="1" operator="equal" stopIfTrue="1">
      <formula>"AO REPRESENTANTE"</formula>
    </cfRule>
  </conditionalFormatting>
  <conditionalFormatting sqref="AF4:AF139 AJ4:AJ139 AN4:AN139">
    <cfRule type="cellIs" dxfId="9" priority="1" operator="equal" stopIfTrue="1">
      <formula>"PENDENTE"</formula>
    </cfRule>
    <cfRule type="cellIs" dxfId="10" priority="2" operator="equal" stopIfTrue="1">
      <formula>"PAGO"</formula>
    </cfRule>
    <cfRule type="cellIs" dxfId="11" priority="3" operator="equal" stopIfTrue="1">
      <formula>"ATRASADO"</formula>
    </cfRule>
    <cfRule type="cellIs" dxfId="12" priority="4" operator="equal" stopIfTrue="1">
      <formula>"REVISÃO"</formula>
    </cfRule>
    <cfRule type="cellIs" dxfId="13" priority="5" operator="equal" stopIfTrue="1">
      <formula>"EM CRÉDITO"</formula>
    </cfRule>
  </conditionalFormatting>
  <conditionalFormatting sqref="AS4:AS139">
    <cfRule type="cellIs" dxfId="14" priority="1" operator="equal" stopIfTrue="1">
      <formula>5</formula>
    </cfRule>
    <cfRule type="cellIs" dxfId="15" priority="2" operator="equal" stopIfTrue="1">
      <formula>4</formula>
    </cfRule>
    <cfRule type="cellIs" dxfId="16" priority="3" operator="equal" stopIfTrue="1">
      <formula>3</formula>
    </cfRule>
    <cfRule type="cellIs" dxfId="17" priority="4" operator="equal" stopIfTrue="1">
      <formula>2</formula>
    </cfRule>
    <cfRule type="cellIs" dxfId="18" priority="5" operator="equal" stopIfTrue="1">
      <formula>1</formula>
    </cfRule>
  </conditionalFormatting>
  <dataValidations count="6">
    <dataValidation type="list" allowBlank="1" showInputMessage="1" showErrorMessage="1" sqref="A1 A4:A140">
      <formula1>"-,...,OK,!,!!,!!!,?,?!,[ ]"</formula1>
    </dataValidation>
    <dataValidation type="list" allowBlank="1" showInputMessage="1" showErrorMessage="1" sqref="D4:D139">
      <formula1>",OG,LR"</formula1>
    </dataValidation>
    <dataValidation type="list" allowBlank="1" showInputMessage="1" showErrorMessage="1" sqref="I4 AE4:AE19 I10 I16 I20 AE20:AE139 I23:I139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AC4:AC139">
      <formula1>"-,AO FORNECEDOR,AO REPRESENTANTE,AO MOTORISTA,EM REVISÃO"</formula1>
    </dataValidation>
    <dataValidation type="list" allowBlank="1" showInputMessage="1" showErrorMessage="1" sqref="AD4:AD139">
      <formula1>"-,BOLETO,CHEQUE,DINHEIRO,DEPÓSITO,TRANSFERÊNCIA,PIX,MISTO,SALDO,TROCA,DIRETO (Fornecedor),EM REVISÃO"</formula1>
    </dataValidation>
    <dataValidation type="list" allowBlank="1" showInputMessage="1" showErrorMessage="1" sqref="AF4:AF139 AJ4:AJ139 AN4:AN139">
      <formula1>"-,PENDENTE,PAGO,ATRASADO,EM CRÉDITO,REVISÃO"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S42"/>
  <sheetViews>
    <sheetView workbookViewId="0" showGridLines="0" defaultGridColor="1">
      <pane topLeftCell="D4" xSplit="3" ySplit="3" activePane="bottomRight" state="frozen"/>
    </sheetView>
  </sheetViews>
  <sheetFormatPr defaultColWidth="16.3333" defaultRowHeight="15.4" customHeight="1" outlineLevelRow="0" outlineLevelCol="0"/>
  <cols>
    <col min="1" max="1" width="7.5" style="76" customWidth="1"/>
    <col min="2" max="2" width="14.1094" style="76" customWidth="1"/>
    <col min="3" max="3" width="41.6719" style="76" customWidth="1"/>
    <col min="4" max="4" width="6.67188" style="76" customWidth="1"/>
    <col min="5" max="5" width="11.6094" style="76" customWidth="1"/>
    <col min="6" max="6" width="7.5" style="76" customWidth="1"/>
    <col min="7" max="8" width="10" style="76" customWidth="1"/>
    <col min="9" max="9" width="24.9375" style="76" customWidth="1"/>
    <col min="10" max="10" width="20" style="76" customWidth="1"/>
    <col min="11" max="15" width="16.6719" style="76" customWidth="1"/>
    <col min="16" max="16" width="18.3516" style="76" customWidth="1"/>
    <col min="17" max="24" width="16.6719" style="76" customWidth="1"/>
    <col min="25" max="27" width="18.3516" style="76" customWidth="1"/>
    <col min="28" max="28" width="16.6719" style="76" customWidth="1"/>
    <col min="29" max="31" width="20" style="76" customWidth="1"/>
    <col min="32" max="43" width="16.6719" style="76" customWidth="1"/>
    <col min="44" max="44" width="93.3906" style="76" customWidth="1"/>
    <col min="45" max="45" width="16.6719" style="76" customWidth="1"/>
    <col min="46" max="16384" width="16.3516" style="76" customWidth="1"/>
  </cols>
  <sheetData>
    <row r="1" ht="50" customHeight="1">
      <c r="A1" t="s" s="2">
        <v>0</v>
      </c>
      <c r="B1" t="s" s="3">
        <v>1</v>
      </c>
      <c r="C1" s="4"/>
      <c r="D1" t="s" s="5">
        <v>2</v>
      </c>
      <c r="E1" s="4"/>
      <c r="F1" s="4"/>
      <c r="G1" s="4"/>
      <c r="H1" s="4"/>
      <c r="I1" s="4"/>
      <c r="J1" s="4"/>
      <c r="K1" t="s" s="6">
        <v>3</v>
      </c>
      <c r="L1" s="4"/>
      <c r="M1" s="4"/>
      <c r="N1" s="4"/>
      <c r="O1" s="4"/>
      <c r="P1" s="4"/>
      <c r="Q1" t="s" s="7">
        <v>4</v>
      </c>
      <c r="R1" s="4"/>
      <c r="S1" s="4"/>
      <c r="T1" s="4"/>
      <c r="U1" s="4"/>
      <c r="V1" s="4"/>
      <c r="W1" s="4"/>
      <c r="X1" s="4"/>
      <c r="Y1" t="s" s="8">
        <v>5</v>
      </c>
      <c r="Z1" t="s" s="9">
        <v>6</v>
      </c>
      <c r="AA1" s="4"/>
      <c r="AB1" t="s" s="10">
        <v>7</v>
      </c>
      <c r="AC1" t="s" s="11">
        <v>8</v>
      </c>
      <c r="AD1" s="4"/>
      <c r="AE1" s="4"/>
      <c r="AF1" t="s" s="12">
        <v>9</v>
      </c>
      <c r="AG1" s="4"/>
      <c r="AH1" s="4"/>
      <c r="AI1" s="4"/>
      <c r="AJ1" t="s" s="13">
        <v>6</v>
      </c>
      <c r="AK1" s="4"/>
      <c r="AL1" s="4"/>
      <c r="AM1" s="4"/>
      <c r="AN1" t="s" s="14">
        <v>10</v>
      </c>
      <c r="AO1" s="4"/>
      <c r="AP1" s="4"/>
      <c r="AQ1" s="4"/>
      <c r="AR1" t="s" s="15">
        <v>11</v>
      </c>
      <c r="AS1" t="s" s="16">
        <v>12</v>
      </c>
    </row>
    <row r="2" ht="50" customHeight="1">
      <c r="A2" t="s" s="17">
        <v>13</v>
      </c>
      <c r="B2" t="s" s="18">
        <v>14</v>
      </c>
      <c r="C2" t="s" s="18">
        <v>15</v>
      </c>
      <c r="D2" t="s" s="19">
        <v>16</v>
      </c>
      <c r="E2" s="4"/>
      <c r="F2" s="4"/>
      <c r="G2" t="s" s="20">
        <v>17</v>
      </c>
      <c r="H2" s="4"/>
      <c r="I2" s="4"/>
      <c r="J2" t="s" s="21">
        <v>18</v>
      </c>
      <c r="K2" t="s" s="22">
        <v>19</v>
      </c>
      <c r="L2" s="4"/>
      <c r="M2" s="4"/>
      <c r="N2" t="s" s="23">
        <v>20</v>
      </c>
      <c r="O2" s="4"/>
      <c r="P2" t="s" s="24">
        <v>21</v>
      </c>
      <c r="Q2" t="s" s="12">
        <v>22</v>
      </c>
      <c r="R2" s="4"/>
      <c r="S2" t="s" s="25">
        <v>23</v>
      </c>
      <c r="T2" s="4"/>
      <c r="U2" s="4"/>
      <c r="V2" t="s" s="26">
        <v>24</v>
      </c>
      <c r="W2" s="4"/>
      <c r="X2" s="4"/>
      <c r="Y2" t="s" s="27">
        <v>25</v>
      </c>
      <c r="Z2" t="s" s="13">
        <v>26</v>
      </c>
      <c r="AA2" t="s" s="28">
        <v>27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54.85" customHeight="1">
      <c r="A3" s="4"/>
      <c r="B3" t="s" s="29">
        <v>28</v>
      </c>
      <c r="C3" t="s" s="29">
        <v>29</v>
      </c>
      <c r="D3" t="s" s="30">
        <v>30</v>
      </c>
      <c r="E3" t="s" s="30">
        <v>31</v>
      </c>
      <c r="F3" t="s" s="31">
        <v>32</v>
      </c>
      <c r="G3" t="s" s="30">
        <v>33</v>
      </c>
      <c r="H3" t="s" s="30">
        <v>34</v>
      </c>
      <c r="I3" t="s" s="30">
        <v>35</v>
      </c>
      <c r="J3" t="s" s="30">
        <v>36</v>
      </c>
      <c r="K3" t="s" s="30">
        <v>37</v>
      </c>
      <c r="L3" t="s" s="30">
        <v>38</v>
      </c>
      <c r="M3" t="s" s="30">
        <v>39</v>
      </c>
      <c r="N3" t="s" s="30">
        <v>40</v>
      </c>
      <c r="O3" t="s" s="30">
        <v>41</v>
      </c>
      <c r="P3" t="s" s="30">
        <v>42</v>
      </c>
      <c r="Q3" t="s" s="30">
        <v>43</v>
      </c>
      <c r="R3" t="s" s="30">
        <v>44</v>
      </c>
      <c r="S3" t="s" s="30">
        <v>45</v>
      </c>
      <c r="T3" t="s" s="30">
        <v>46</v>
      </c>
      <c r="U3" t="s" s="30">
        <v>47</v>
      </c>
      <c r="V3" t="s" s="30">
        <v>48</v>
      </c>
      <c r="W3" t="s" s="30">
        <v>49</v>
      </c>
      <c r="X3" t="s" s="30">
        <v>50</v>
      </c>
      <c r="Y3" s="32">
        <v>0.05</v>
      </c>
      <c r="Z3" t="s" s="30">
        <v>51</v>
      </c>
      <c r="AA3" t="s" s="30">
        <v>51</v>
      </c>
      <c r="AB3" t="s" s="30">
        <v>52</v>
      </c>
      <c r="AC3" t="s" s="30">
        <v>53</v>
      </c>
      <c r="AD3" t="s" s="30">
        <v>54</v>
      </c>
      <c r="AE3" t="s" s="30">
        <v>55</v>
      </c>
      <c r="AF3" t="s" s="30">
        <v>56</v>
      </c>
      <c r="AG3" t="s" s="30">
        <v>52</v>
      </c>
      <c r="AH3" t="s" s="30">
        <v>57</v>
      </c>
      <c r="AI3" t="s" s="30">
        <v>58</v>
      </c>
      <c r="AJ3" t="s" s="30">
        <v>59</v>
      </c>
      <c r="AK3" t="s" s="30">
        <v>52</v>
      </c>
      <c r="AL3" t="s" s="30">
        <v>60</v>
      </c>
      <c r="AM3" t="s" s="30">
        <v>58</v>
      </c>
      <c r="AN3" t="s" s="30">
        <v>61</v>
      </c>
      <c r="AO3" t="s" s="30">
        <v>52</v>
      </c>
      <c r="AP3" t="s" s="30">
        <v>57</v>
      </c>
      <c r="AQ3" t="s" s="30">
        <v>58</v>
      </c>
      <c r="AR3" s="4"/>
      <c r="AS3" s="4"/>
    </row>
    <row r="4" ht="54.85" customHeight="1">
      <c r="A4" t="s" s="2">
        <v>0</v>
      </c>
      <c r="B4" s="33"/>
      <c r="C4" s="34"/>
      <c r="D4" s="35"/>
      <c r="E4" s="34"/>
      <c r="F4" s="36"/>
      <c r="G4" s="34"/>
      <c r="H4" s="34"/>
      <c r="I4" t="s" s="37">
        <v>0</v>
      </c>
      <c r="J4" s="38"/>
      <c r="K4" s="39"/>
      <c r="L4" s="39"/>
      <c r="M4" s="39"/>
      <c r="N4" s="39"/>
      <c r="O4" s="39"/>
      <c r="P4" s="40">
        <f>K4-L4-O4+N4</f>
        <v>0</v>
      </c>
      <c r="Q4" s="39"/>
      <c r="R4" s="39"/>
      <c r="S4" s="40">
        <f>L4</f>
        <v>0</v>
      </c>
      <c r="T4" s="39">
        <f>P4+R4-Q4+M4</f>
        <v>0</v>
      </c>
      <c r="U4" s="39">
        <f>T4-V4-W4-X4</f>
        <v>0</v>
      </c>
      <c r="V4" s="41">
        <f>P4*0.03</f>
        <v>0</v>
      </c>
      <c r="W4" s="41">
        <f>P4*0.04</f>
        <v>0</v>
      </c>
      <c r="X4" s="41">
        <f>P4*0.05</f>
        <v>0</v>
      </c>
      <c r="Y4" s="42">
        <f>P4*0.05</f>
        <v>0</v>
      </c>
      <c r="Z4" s="39">
        <f>T4-Y4</f>
        <v>0</v>
      </c>
      <c r="AA4" s="39">
        <f>U4-Y4</f>
        <v>0</v>
      </c>
      <c r="AB4" s="43"/>
      <c r="AC4" t="s" s="37">
        <v>0</v>
      </c>
      <c r="AD4" t="s" s="37">
        <v>0</v>
      </c>
      <c r="AE4" t="s" s="37">
        <v>0</v>
      </c>
      <c r="AF4" t="s" s="44">
        <v>0</v>
      </c>
      <c r="AG4" s="45"/>
      <c r="AH4" s="39"/>
      <c r="AI4" s="41">
        <f>AH4-T4-U4</f>
        <v>0</v>
      </c>
      <c r="AJ4" t="s" s="44">
        <v>0</v>
      </c>
      <c r="AK4" s="45"/>
      <c r="AL4" s="39"/>
      <c r="AM4" s="41">
        <f>AL4-Z4-AA4</f>
        <v>0</v>
      </c>
      <c r="AN4" t="s" s="44">
        <v>0</v>
      </c>
      <c r="AO4" s="45"/>
      <c r="AP4" s="39"/>
      <c r="AQ4" s="41">
        <f>AP4-Y4</f>
        <v>0</v>
      </c>
      <c r="AR4" s="37"/>
      <c r="AS4" s="46">
        <v>0</v>
      </c>
    </row>
    <row r="5" ht="54.85" customHeight="1">
      <c r="A5" t="s" s="2">
        <v>0</v>
      </c>
      <c r="B5" s="33">
        <v>45682</v>
      </c>
      <c r="C5" t="s" s="34">
        <v>116</v>
      </c>
      <c r="D5" t="s" s="48">
        <v>64</v>
      </c>
      <c r="E5" t="s" s="49">
        <v>117</v>
      </c>
      <c r="F5" s="50"/>
      <c r="G5" s="49"/>
      <c r="H5" t="s" s="49">
        <v>118</v>
      </c>
      <c r="I5" t="s" s="51">
        <v>67</v>
      </c>
      <c r="J5" t="s" s="38">
        <v>111</v>
      </c>
      <c r="K5" s="52">
        <v>48375.6</v>
      </c>
      <c r="L5" s="53">
        <v>13974.66</v>
      </c>
      <c r="M5" s="52">
        <v>1725</v>
      </c>
      <c r="N5" s="52"/>
      <c r="O5" s="53">
        <v>1010.8</v>
      </c>
      <c r="P5" s="40">
        <f>K5-L5-O5+N5</f>
        <v>33390.14</v>
      </c>
      <c r="Q5" s="52"/>
      <c r="R5" s="52"/>
      <c r="S5" s="40">
        <f>L5</f>
        <v>13974.66</v>
      </c>
      <c r="T5" s="52">
        <f>P5+R5-Q5+M5</f>
        <v>35115.14</v>
      </c>
      <c r="U5" s="52">
        <f>T5-V5-W5-X5</f>
        <v>31108.3232</v>
      </c>
      <c r="V5" s="41">
        <f>P5*0.03</f>
        <v>1001.7042</v>
      </c>
      <c r="W5" s="41">
        <f>P5*0.04</f>
        <v>1335.6056</v>
      </c>
      <c r="X5" s="41">
        <f>P5*0.05</f>
        <v>1669.507</v>
      </c>
      <c r="Y5" s="42">
        <f>P5*0.05</f>
        <v>1669.507</v>
      </c>
      <c r="Z5" s="52">
        <f>T5-Y5</f>
        <v>33445.633</v>
      </c>
      <c r="AA5" s="52">
        <f>U5-Y5</f>
        <v>29438.8162</v>
      </c>
      <c r="AB5" s="43"/>
      <c r="AC5" t="s" s="51">
        <v>0</v>
      </c>
      <c r="AD5" t="s" s="51">
        <v>0</v>
      </c>
      <c r="AE5" t="s" s="51">
        <v>0</v>
      </c>
      <c r="AF5" t="s" s="44">
        <v>0</v>
      </c>
      <c r="AG5" s="54"/>
      <c r="AH5" s="52"/>
      <c r="AI5" s="41">
        <f>AH5-T5-U5</f>
        <v>-66223.4632</v>
      </c>
      <c r="AJ5" t="s" s="44">
        <v>0</v>
      </c>
      <c r="AK5" s="54"/>
      <c r="AL5" s="52"/>
      <c r="AM5" s="41">
        <f>AL5-Z5-AA5</f>
        <v>-62884.4492</v>
      </c>
      <c r="AN5" t="s" s="44">
        <v>0</v>
      </c>
      <c r="AO5" s="54"/>
      <c r="AP5" s="52"/>
      <c r="AQ5" s="41">
        <f>AP5-Y5</f>
        <v>-1669.507</v>
      </c>
      <c r="AR5" s="51"/>
      <c r="AS5" s="55">
        <v>0</v>
      </c>
    </row>
    <row r="6" ht="54.85" customHeight="1">
      <c r="A6" t="s" s="2">
        <v>0</v>
      </c>
      <c r="B6" s="33">
        <v>45682</v>
      </c>
      <c r="C6" t="s" s="34">
        <v>119</v>
      </c>
      <c r="D6" t="s" s="48">
        <v>64</v>
      </c>
      <c r="E6" t="s" s="34">
        <v>120</v>
      </c>
      <c r="F6" s="36"/>
      <c r="G6" s="34"/>
      <c r="H6" t="s" s="34">
        <v>121</v>
      </c>
      <c r="I6" t="s" s="37">
        <v>67</v>
      </c>
      <c r="J6" t="s" s="38">
        <v>122</v>
      </c>
      <c r="K6" s="53">
        <v>44012.7</v>
      </c>
      <c r="L6" s="39">
        <v>11299.05</v>
      </c>
      <c r="M6" s="39">
        <v>1390</v>
      </c>
      <c r="N6" s="39"/>
      <c r="O6" s="53">
        <v>1482.3</v>
      </c>
      <c r="P6" s="40">
        <f>K6-L6-O6+N6</f>
        <v>31231.35</v>
      </c>
      <c r="Q6" s="39"/>
      <c r="R6" s="39"/>
      <c r="S6" s="40">
        <f>L6</f>
        <v>11299.05</v>
      </c>
      <c r="T6" s="39">
        <f>P6+R6-Q6+M6</f>
        <v>32621.35</v>
      </c>
      <c r="U6" s="39">
        <f>T6-V6-W6-X6</f>
        <v>28873.588</v>
      </c>
      <c r="V6" s="41">
        <f>P6*0.03</f>
        <v>936.9405</v>
      </c>
      <c r="W6" s="41">
        <f>P6*0.04</f>
        <v>1249.254</v>
      </c>
      <c r="X6" s="41">
        <f>P6*0.05</f>
        <v>1561.5675</v>
      </c>
      <c r="Y6" s="42">
        <f>P6*0.05</f>
        <v>1561.5675</v>
      </c>
      <c r="Z6" s="39">
        <f>T6-Y6</f>
        <v>31059.7825</v>
      </c>
      <c r="AA6" s="39">
        <f>U6-Y6</f>
        <v>27312.0205</v>
      </c>
      <c r="AB6" s="43"/>
      <c r="AC6" t="s" s="37">
        <v>0</v>
      </c>
      <c r="AD6" t="s" s="37">
        <v>0</v>
      </c>
      <c r="AE6" t="s" s="37">
        <v>0</v>
      </c>
      <c r="AF6" t="s" s="44">
        <v>0</v>
      </c>
      <c r="AG6" s="45"/>
      <c r="AH6" s="39"/>
      <c r="AI6" s="41">
        <f>AH6-T6-U6</f>
        <v>-61494.938</v>
      </c>
      <c r="AJ6" t="s" s="44">
        <v>0</v>
      </c>
      <c r="AK6" s="45"/>
      <c r="AL6" s="39"/>
      <c r="AM6" s="41">
        <f>AL6-Z6-AA6</f>
        <v>-58371.803</v>
      </c>
      <c r="AN6" t="s" s="44">
        <v>0</v>
      </c>
      <c r="AO6" s="45"/>
      <c r="AP6" s="39"/>
      <c r="AQ6" s="41">
        <f>AP6-Y6</f>
        <v>-1561.5675</v>
      </c>
      <c r="AR6" s="37"/>
      <c r="AS6" s="46">
        <v>0</v>
      </c>
    </row>
    <row r="7" ht="54.85" customHeight="1">
      <c r="A7" t="s" s="2">
        <v>0</v>
      </c>
      <c r="B7" s="33"/>
      <c r="C7" s="34"/>
      <c r="D7" s="35"/>
      <c r="E7" s="49"/>
      <c r="F7" s="50"/>
      <c r="G7" s="49"/>
      <c r="H7" s="49"/>
      <c r="I7" t="s" s="51">
        <v>0</v>
      </c>
      <c r="J7" s="38"/>
      <c r="K7" s="52"/>
      <c r="L7" s="52"/>
      <c r="M7" s="52"/>
      <c r="N7" s="52"/>
      <c r="O7" s="52"/>
      <c r="P7" s="40">
        <f>K7-L7-O7+N7</f>
        <v>0</v>
      </c>
      <c r="Q7" s="52"/>
      <c r="R7" s="52"/>
      <c r="S7" s="40">
        <f>L7</f>
        <v>0</v>
      </c>
      <c r="T7" s="52">
        <f>P7+R7-Q7+M7</f>
        <v>0</v>
      </c>
      <c r="U7" s="52">
        <f>T7-V7-W7-X7</f>
        <v>0</v>
      </c>
      <c r="V7" s="41">
        <f>P7*0.03</f>
        <v>0</v>
      </c>
      <c r="W7" s="41">
        <f>P7*0.04</f>
        <v>0</v>
      </c>
      <c r="X7" s="41">
        <f>P7*0.05</f>
        <v>0</v>
      </c>
      <c r="Y7" s="42">
        <f>P7*0.05</f>
        <v>0</v>
      </c>
      <c r="Z7" s="52">
        <f>T7-Y7</f>
        <v>0</v>
      </c>
      <c r="AA7" s="52">
        <f>U7-Y7</f>
        <v>0</v>
      </c>
      <c r="AB7" s="43"/>
      <c r="AC7" t="s" s="51">
        <v>0</v>
      </c>
      <c r="AD7" t="s" s="51">
        <v>0</v>
      </c>
      <c r="AE7" t="s" s="51">
        <v>0</v>
      </c>
      <c r="AF7" t="s" s="44">
        <v>0</v>
      </c>
      <c r="AG7" s="54"/>
      <c r="AH7" s="52"/>
      <c r="AI7" s="41">
        <f>AH7-T7-U7</f>
        <v>0</v>
      </c>
      <c r="AJ7" t="s" s="44">
        <v>0</v>
      </c>
      <c r="AK7" s="54"/>
      <c r="AL7" s="52"/>
      <c r="AM7" s="41">
        <f>AL7-Z7-AA7</f>
        <v>0</v>
      </c>
      <c r="AN7" t="s" s="44">
        <v>0</v>
      </c>
      <c r="AO7" s="54"/>
      <c r="AP7" s="52"/>
      <c r="AQ7" s="41">
        <f>AP7-Y7</f>
        <v>0</v>
      </c>
      <c r="AR7" s="51"/>
      <c r="AS7" s="55">
        <v>0</v>
      </c>
    </row>
    <row r="8" ht="54.85" customHeight="1">
      <c r="A8" t="s" s="2">
        <v>0</v>
      </c>
      <c r="B8" s="33">
        <v>45693</v>
      </c>
      <c r="C8" t="s" s="34">
        <v>123</v>
      </c>
      <c r="D8" t="s" s="48">
        <v>64</v>
      </c>
      <c r="E8" t="s" s="34">
        <v>124</v>
      </c>
      <c r="F8" s="36"/>
      <c r="G8" s="34"/>
      <c r="H8" t="s" s="34">
        <v>125</v>
      </c>
      <c r="I8" t="s" s="37">
        <v>126</v>
      </c>
      <c r="J8" t="s" s="38">
        <v>127</v>
      </c>
      <c r="K8" s="53">
        <v>104971.38</v>
      </c>
      <c r="L8" s="39">
        <v>21093.43</v>
      </c>
      <c r="M8" s="39">
        <v>2675</v>
      </c>
      <c r="N8" s="39"/>
      <c r="O8" s="39"/>
      <c r="P8" s="40">
        <f>K8-L8-O8+N8</f>
        <v>83877.95</v>
      </c>
      <c r="Q8" s="39"/>
      <c r="R8" s="39"/>
      <c r="S8" s="40">
        <f>L8</f>
        <v>21093.43</v>
      </c>
      <c r="T8" s="39">
        <f>P8+R8-Q8+M8</f>
        <v>86552.95</v>
      </c>
      <c r="U8" s="39">
        <f>T8-V8-W8-X8</f>
        <v>76487.596000000005</v>
      </c>
      <c r="V8" s="41">
        <f>P8*0.03</f>
        <v>2516.3385</v>
      </c>
      <c r="W8" s="41">
        <f>P8*0.04</f>
        <v>3355.118</v>
      </c>
      <c r="X8" s="41">
        <f>P8*0.05</f>
        <v>4193.8975</v>
      </c>
      <c r="Y8" s="42">
        <f>P8*0.05</f>
        <v>4193.8975</v>
      </c>
      <c r="Z8" s="39">
        <f>T8-Y8</f>
        <v>82359.052500000005</v>
      </c>
      <c r="AA8" s="39">
        <f>U8-Y8</f>
        <v>72293.6985</v>
      </c>
      <c r="AB8" s="43"/>
      <c r="AC8" t="s" s="37">
        <v>0</v>
      </c>
      <c r="AD8" t="s" s="37">
        <v>0</v>
      </c>
      <c r="AE8" t="s" s="37">
        <v>0</v>
      </c>
      <c r="AF8" t="s" s="44">
        <v>0</v>
      </c>
      <c r="AG8" s="45"/>
      <c r="AH8" s="39"/>
      <c r="AI8" s="41">
        <f>AH8-T8-U8</f>
        <v>-163040.546</v>
      </c>
      <c r="AJ8" t="s" s="44">
        <v>0</v>
      </c>
      <c r="AK8" s="45"/>
      <c r="AL8" s="39"/>
      <c r="AM8" s="41">
        <f>AL8-Z8-AA8</f>
        <v>-154652.751</v>
      </c>
      <c r="AN8" t="s" s="44">
        <v>0</v>
      </c>
      <c r="AO8" s="45"/>
      <c r="AP8" s="39"/>
      <c r="AQ8" s="41">
        <f>AP8-Y8</f>
        <v>-4193.8975</v>
      </c>
      <c r="AR8" s="37"/>
      <c r="AS8" s="46">
        <v>0</v>
      </c>
    </row>
    <row r="9" ht="54.85" customHeight="1">
      <c r="A9" t="s" s="2">
        <v>0</v>
      </c>
      <c r="B9" s="33">
        <v>45693</v>
      </c>
      <c r="C9" t="s" s="47">
        <v>95</v>
      </c>
      <c r="D9" t="s" s="48">
        <v>64</v>
      </c>
      <c r="E9" t="s" s="49">
        <v>128</v>
      </c>
      <c r="F9" s="50"/>
      <c r="G9" s="49"/>
      <c r="H9" t="s" s="49">
        <v>129</v>
      </c>
      <c r="I9" t="s" s="51">
        <v>67</v>
      </c>
      <c r="J9" t="s" s="38">
        <v>72</v>
      </c>
      <c r="K9" s="52">
        <v>17474.16</v>
      </c>
      <c r="L9" s="52">
        <v>3765.55</v>
      </c>
      <c r="M9" s="52">
        <v>505</v>
      </c>
      <c r="N9" s="52"/>
      <c r="O9" s="52"/>
      <c r="P9" s="40">
        <f>K9-L9-O9+N9</f>
        <v>13708.61</v>
      </c>
      <c r="Q9" s="52"/>
      <c r="R9" s="52"/>
      <c r="S9" s="40">
        <f>L9</f>
        <v>3765.55</v>
      </c>
      <c r="T9" s="52">
        <f>P9+R9-Q9+M9</f>
        <v>14213.61</v>
      </c>
      <c r="U9" s="52">
        <f>T9-V9-W9-X9</f>
        <v>12568.5768</v>
      </c>
      <c r="V9" s="41">
        <f>P9*0.03</f>
        <v>411.2583</v>
      </c>
      <c r="W9" s="41">
        <f>P9*0.04</f>
        <v>548.3444</v>
      </c>
      <c r="X9" s="41">
        <f>P9*0.05</f>
        <v>685.4305000000001</v>
      </c>
      <c r="Y9" s="42">
        <f>P9*0.05</f>
        <v>685.4305000000001</v>
      </c>
      <c r="Z9" s="52">
        <f>T9-Y9</f>
        <v>13528.1795</v>
      </c>
      <c r="AA9" s="52">
        <f>U9-Y9</f>
        <v>11883.1463</v>
      </c>
      <c r="AB9" s="43"/>
      <c r="AC9" t="s" s="51">
        <v>0</v>
      </c>
      <c r="AD9" t="s" s="51">
        <v>0</v>
      </c>
      <c r="AE9" t="s" s="51">
        <v>0</v>
      </c>
      <c r="AF9" t="s" s="44">
        <v>0</v>
      </c>
      <c r="AG9" s="54"/>
      <c r="AH9" s="52"/>
      <c r="AI9" s="41">
        <f>AH9-T9-U9</f>
        <v>-26782.1868</v>
      </c>
      <c r="AJ9" t="s" s="44">
        <v>0</v>
      </c>
      <c r="AK9" s="54"/>
      <c r="AL9" s="52"/>
      <c r="AM9" s="41">
        <f>AL9-Z9-AA9</f>
        <v>-25411.3258</v>
      </c>
      <c r="AN9" t="s" s="44">
        <v>0</v>
      </c>
      <c r="AO9" s="54"/>
      <c r="AP9" s="52"/>
      <c r="AQ9" s="41">
        <f>AP9-Y9</f>
        <v>-685.4305000000001</v>
      </c>
      <c r="AR9" s="51"/>
      <c r="AS9" s="55">
        <v>0</v>
      </c>
    </row>
    <row r="10" ht="54.85" customHeight="1">
      <c r="A10" t="s" s="2">
        <v>0</v>
      </c>
      <c r="B10" s="33">
        <v>45694</v>
      </c>
      <c r="C10" t="s" s="47">
        <v>69</v>
      </c>
      <c r="D10" t="s" s="48">
        <v>64</v>
      </c>
      <c r="E10" t="s" s="34">
        <v>130</v>
      </c>
      <c r="F10" s="36"/>
      <c r="G10" s="34"/>
      <c r="H10" t="s" s="34">
        <v>131</v>
      </c>
      <c r="I10" t="s" s="37">
        <v>67</v>
      </c>
      <c r="J10" t="s" s="38">
        <v>72</v>
      </c>
      <c r="K10" s="39">
        <v>18235.25</v>
      </c>
      <c r="L10" s="39">
        <v>4369.05</v>
      </c>
      <c r="M10" s="39">
        <v>570</v>
      </c>
      <c r="N10" s="39"/>
      <c r="O10" s="39"/>
      <c r="P10" s="40">
        <f>K10-L10-O10+N10</f>
        <v>13866.2</v>
      </c>
      <c r="Q10" s="39"/>
      <c r="R10" s="39"/>
      <c r="S10" s="40">
        <f>L10</f>
        <v>4369.05</v>
      </c>
      <c r="T10" s="39">
        <f>P10+R10-Q10+M10</f>
        <v>14436.2</v>
      </c>
      <c r="U10" s="39">
        <f>T10-V10-W10-X10</f>
        <v>12772.256</v>
      </c>
      <c r="V10" s="41">
        <f>P10*0.03</f>
        <v>415.986</v>
      </c>
      <c r="W10" s="41">
        <f>P10*0.04</f>
        <v>554.648</v>
      </c>
      <c r="X10" s="41">
        <f>P10*0.05</f>
        <v>693.3099999999999</v>
      </c>
      <c r="Y10" s="42">
        <f>P10*0.05</f>
        <v>693.3099999999999</v>
      </c>
      <c r="Z10" s="39">
        <f>T10-Y10</f>
        <v>13742.89</v>
      </c>
      <c r="AA10" s="39">
        <f>U10-Y10</f>
        <v>12078.946</v>
      </c>
      <c r="AB10" s="43"/>
      <c r="AC10" t="s" s="37">
        <v>0</v>
      </c>
      <c r="AD10" t="s" s="37">
        <v>0</v>
      </c>
      <c r="AE10" t="s" s="37">
        <v>0</v>
      </c>
      <c r="AF10" t="s" s="44">
        <v>0</v>
      </c>
      <c r="AG10" s="45"/>
      <c r="AH10" s="39"/>
      <c r="AI10" s="41">
        <f>AH10-T10-U10</f>
        <v>-27208.456</v>
      </c>
      <c r="AJ10" t="s" s="44">
        <v>0</v>
      </c>
      <c r="AK10" s="45"/>
      <c r="AL10" s="39"/>
      <c r="AM10" s="41">
        <f>AL10-Z10-AA10</f>
        <v>-25821.836</v>
      </c>
      <c r="AN10" t="s" s="44">
        <v>0</v>
      </c>
      <c r="AO10" s="45"/>
      <c r="AP10" s="39"/>
      <c r="AQ10" s="41">
        <f>AP10-Y10</f>
        <v>-693.3099999999999</v>
      </c>
      <c r="AR10" t="s" s="37">
        <v>132</v>
      </c>
      <c r="AS10" s="46">
        <v>0</v>
      </c>
    </row>
    <row r="11" ht="54.85" customHeight="1">
      <c r="A11" t="s" s="2">
        <v>0</v>
      </c>
      <c r="B11" s="33">
        <v>45694</v>
      </c>
      <c r="C11" t="s" s="56">
        <v>133</v>
      </c>
      <c r="D11" t="s" s="48">
        <v>64</v>
      </c>
      <c r="E11" t="s" s="49">
        <v>134</v>
      </c>
      <c r="F11" s="50"/>
      <c r="G11" s="49"/>
      <c r="H11" t="s" s="49">
        <v>135</v>
      </c>
      <c r="I11" t="s" s="51">
        <v>136</v>
      </c>
      <c r="J11" t="s" s="38">
        <v>111</v>
      </c>
      <c r="K11" s="52">
        <v>100929.5</v>
      </c>
      <c r="L11" s="52">
        <v>20745.45</v>
      </c>
      <c r="M11" s="52">
        <v>2590</v>
      </c>
      <c r="N11" s="53">
        <v>861</v>
      </c>
      <c r="O11" s="53">
        <v>504</v>
      </c>
      <c r="P11" s="40">
        <f>K11-L11-O11+N11</f>
        <v>80541.05</v>
      </c>
      <c r="Q11" s="52"/>
      <c r="R11" s="52"/>
      <c r="S11" s="40">
        <f>L11</f>
        <v>20745.45</v>
      </c>
      <c r="T11" s="52">
        <f>P11+R11-Q11+M11</f>
        <v>83131.05</v>
      </c>
      <c r="U11" s="52">
        <f>T11-V11-W11-X11</f>
        <v>79103.9975</v>
      </c>
      <c r="V11" s="41"/>
      <c r="W11" s="41"/>
      <c r="X11" s="41">
        <f>P11*0.05</f>
        <v>4027.0525</v>
      </c>
      <c r="Y11" s="42">
        <f>P11*0.05</f>
        <v>4027.0525</v>
      </c>
      <c r="Z11" s="52">
        <f>T11-Y11</f>
        <v>79103.9975</v>
      </c>
      <c r="AA11" s="52">
        <f>U11-Y11</f>
        <v>75076.945000000007</v>
      </c>
      <c r="AB11" s="43"/>
      <c r="AC11" t="s" s="51">
        <v>0</v>
      </c>
      <c r="AD11" t="s" s="51">
        <v>0</v>
      </c>
      <c r="AE11" t="s" s="51">
        <v>0</v>
      </c>
      <c r="AF11" t="s" s="44">
        <v>0</v>
      </c>
      <c r="AG11" s="54"/>
      <c r="AH11" s="52"/>
      <c r="AI11" s="41">
        <f>AH11-T11-U11</f>
        <v>-162235.0475</v>
      </c>
      <c r="AJ11" t="s" s="44">
        <v>0</v>
      </c>
      <c r="AK11" s="54"/>
      <c r="AL11" s="52"/>
      <c r="AM11" s="41">
        <f>AL11-Z11-AA11</f>
        <v>-154180.9425</v>
      </c>
      <c r="AN11" t="s" s="44">
        <v>0</v>
      </c>
      <c r="AO11" s="54"/>
      <c r="AP11" s="52"/>
      <c r="AQ11" s="41">
        <f>AP11-Y11</f>
        <v>-4027.0525</v>
      </c>
      <c r="AR11" s="51"/>
      <c r="AS11" s="55">
        <v>0</v>
      </c>
    </row>
    <row r="12" ht="54.85" customHeight="1">
      <c r="A12" t="s" s="2">
        <v>0</v>
      </c>
      <c r="B12" s="33"/>
      <c r="C12" s="34"/>
      <c r="D12" s="35"/>
      <c r="E12" s="34"/>
      <c r="F12" s="36"/>
      <c r="G12" s="34"/>
      <c r="H12" s="34"/>
      <c r="I12" t="s" s="37">
        <v>0</v>
      </c>
      <c r="J12" s="38"/>
      <c r="K12" s="39"/>
      <c r="L12" s="39"/>
      <c r="M12" s="39"/>
      <c r="N12" s="39"/>
      <c r="O12" s="39"/>
      <c r="P12" s="40">
        <f>K12-L12-O12+N12</f>
        <v>0</v>
      </c>
      <c r="Q12" s="39"/>
      <c r="R12" s="39"/>
      <c r="S12" s="40">
        <f>L12</f>
        <v>0</v>
      </c>
      <c r="T12" s="39">
        <f>P12+R12-Q12+M12</f>
        <v>0</v>
      </c>
      <c r="U12" s="39">
        <f>T12-V12-W12-X12</f>
        <v>0</v>
      </c>
      <c r="V12" s="41">
        <f>P12*0.03</f>
        <v>0</v>
      </c>
      <c r="W12" s="41">
        <f>P12*0.04</f>
        <v>0</v>
      </c>
      <c r="X12" s="41">
        <f>P12*0.05</f>
        <v>0</v>
      </c>
      <c r="Y12" s="42">
        <f>P12*0.05</f>
        <v>0</v>
      </c>
      <c r="Z12" s="39">
        <f>T12-Y12</f>
        <v>0</v>
      </c>
      <c r="AA12" s="39">
        <f>U12-Y12</f>
        <v>0</v>
      </c>
      <c r="AB12" s="43"/>
      <c r="AC12" t="s" s="37">
        <v>0</v>
      </c>
      <c r="AD12" t="s" s="37">
        <v>0</v>
      </c>
      <c r="AE12" t="s" s="37">
        <v>0</v>
      </c>
      <c r="AF12" t="s" s="44">
        <v>0</v>
      </c>
      <c r="AG12" s="45"/>
      <c r="AH12" s="39"/>
      <c r="AI12" s="41">
        <f>AH12-T12-U12</f>
        <v>0</v>
      </c>
      <c r="AJ12" t="s" s="44">
        <v>0</v>
      </c>
      <c r="AK12" s="45"/>
      <c r="AL12" s="39"/>
      <c r="AM12" s="41">
        <f>AL12-Z12-AA12</f>
        <v>0</v>
      </c>
      <c r="AN12" t="s" s="44">
        <v>0</v>
      </c>
      <c r="AO12" s="45"/>
      <c r="AP12" s="39"/>
      <c r="AQ12" s="41">
        <f>AP12-Y12</f>
        <v>0</v>
      </c>
      <c r="AR12" s="37"/>
      <c r="AS12" s="46">
        <v>0</v>
      </c>
    </row>
    <row r="13" ht="54.85" customHeight="1">
      <c r="A13" t="s" s="2">
        <v>0</v>
      </c>
      <c r="B13" s="33">
        <v>45702</v>
      </c>
      <c r="C13" t="s" s="47">
        <v>137</v>
      </c>
      <c r="D13" t="s" s="48">
        <v>64</v>
      </c>
      <c r="E13" t="s" s="49">
        <v>138</v>
      </c>
      <c r="F13" s="50"/>
      <c r="G13" s="49"/>
      <c r="H13" t="s" s="49">
        <v>139</v>
      </c>
      <c r="I13" t="s" s="51">
        <v>126</v>
      </c>
      <c r="J13" t="s" s="38">
        <v>140</v>
      </c>
      <c r="K13" s="52">
        <v>52486.5</v>
      </c>
      <c r="L13" s="52">
        <v>9975.450000000001</v>
      </c>
      <c r="M13" s="52">
        <v>1085</v>
      </c>
      <c r="N13" s="52"/>
      <c r="O13" s="52"/>
      <c r="P13" s="40">
        <f>K13-L13-O13+N13</f>
        <v>42511.05</v>
      </c>
      <c r="Q13" s="52"/>
      <c r="R13" s="52"/>
      <c r="S13" s="40">
        <f>L13</f>
        <v>9975.450000000001</v>
      </c>
      <c r="T13" s="52">
        <f>P13+R13-Q13+M13</f>
        <v>43596.05</v>
      </c>
      <c r="U13" s="52">
        <f>T13-V13-W13-X13</f>
        <v>38494.724</v>
      </c>
      <c r="V13" s="41">
        <f>P13*0.03</f>
        <v>1275.3315</v>
      </c>
      <c r="W13" s="41">
        <f>P13*0.04</f>
        <v>1700.442</v>
      </c>
      <c r="X13" s="41">
        <f>P13*0.05</f>
        <v>2125.5525</v>
      </c>
      <c r="Y13" s="42">
        <f>P13*0.05</f>
        <v>2125.5525</v>
      </c>
      <c r="Z13" s="52">
        <f>T13-Y13</f>
        <v>41470.4975</v>
      </c>
      <c r="AA13" s="52">
        <f>U13-Y13</f>
        <v>36369.1715</v>
      </c>
      <c r="AB13" s="43"/>
      <c r="AC13" t="s" s="51">
        <v>0</v>
      </c>
      <c r="AD13" t="s" s="51">
        <v>0</v>
      </c>
      <c r="AE13" t="s" s="51">
        <v>0</v>
      </c>
      <c r="AF13" t="s" s="44">
        <v>0</v>
      </c>
      <c r="AG13" s="54"/>
      <c r="AH13" s="52"/>
      <c r="AI13" s="41">
        <f>AH13-T13-U13</f>
        <v>-82090.774</v>
      </c>
      <c r="AJ13" t="s" s="44">
        <v>0</v>
      </c>
      <c r="AK13" s="54"/>
      <c r="AL13" s="52"/>
      <c r="AM13" s="41">
        <f>AL13-Z13-AA13</f>
        <v>-77839.668999999994</v>
      </c>
      <c r="AN13" t="s" s="44">
        <v>0</v>
      </c>
      <c r="AO13" s="54"/>
      <c r="AP13" s="52"/>
      <c r="AQ13" s="41">
        <f>AP13-Y13</f>
        <v>-2125.5525</v>
      </c>
      <c r="AR13" s="51"/>
      <c r="AS13" s="55">
        <v>0</v>
      </c>
    </row>
    <row r="14" ht="54.85" customHeight="1">
      <c r="A14" t="s" s="2">
        <v>0</v>
      </c>
      <c r="B14" s="33">
        <v>45702</v>
      </c>
      <c r="C14" t="s" s="47">
        <v>69</v>
      </c>
      <c r="D14" t="s" s="48">
        <v>64</v>
      </c>
      <c r="E14" t="s" s="34">
        <v>130</v>
      </c>
      <c r="F14" s="36"/>
      <c r="G14" s="34"/>
      <c r="H14" t="s" s="34">
        <v>141</v>
      </c>
      <c r="I14" t="s" s="37">
        <v>67</v>
      </c>
      <c r="J14" t="s" s="38">
        <v>72</v>
      </c>
      <c r="K14" s="39">
        <v>21976.5</v>
      </c>
      <c r="L14" s="39">
        <v>2529.45</v>
      </c>
      <c r="M14" s="39">
        <v>245</v>
      </c>
      <c r="N14" s="39"/>
      <c r="O14" s="39"/>
      <c r="P14" s="40">
        <f>K14-L14-O14+N14</f>
        <v>19447.05</v>
      </c>
      <c r="Q14" s="39"/>
      <c r="R14" s="39"/>
      <c r="S14" s="40">
        <f>L14</f>
        <v>2529.45</v>
      </c>
      <c r="T14" s="39">
        <f>P14+R14-Q14+M14</f>
        <v>19692.05</v>
      </c>
      <c r="U14" s="39">
        <f>T14-V14-W14-X14</f>
        <v>17358.404</v>
      </c>
      <c r="V14" s="41">
        <f>P14*0.03</f>
        <v>583.4115</v>
      </c>
      <c r="W14" s="41">
        <f>P14*0.04</f>
        <v>777.8819999999999</v>
      </c>
      <c r="X14" s="41">
        <f>P14*0.05</f>
        <v>972.3525</v>
      </c>
      <c r="Y14" s="42">
        <f>P14*0.05</f>
        <v>972.3525</v>
      </c>
      <c r="Z14" s="39">
        <f>T14-Y14</f>
        <v>18719.6975</v>
      </c>
      <c r="AA14" s="39">
        <f>U14-Y14</f>
        <v>16386.0515</v>
      </c>
      <c r="AB14" s="43"/>
      <c r="AC14" t="s" s="37">
        <v>0</v>
      </c>
      <c r="AD14" t="s" s="37">
        <v>0</v>
      </c>
      <c r="AE14" t="s" s="37">
        <v>0</v>
      </c>
      <c r="AF14" t="s" s="44">
        <v>0</v>
      </c>
      <c r="AG14" s="45"/>
      <c r="AH14" s="39"/>
      <c r="AI14" s="41">
        <f>AH14-T14-U14</f>
        <v>-37050.454</v>
      </c>
      <c r="AJ14" t="s" s="44">
        <v>0</v>
      </c>
      <c r="AK14" s="45"/>
      <c r="AL14" s="39"/>
      <c r="AM14" s="41">
        <f>AL14-Z14-AA14</f>
        <v>-35105.749</v>
      </c>
      <c r="AN14" t="s" s="44">
        <v>0</v>
      </c>
      <c r="AO14" s="45"/>
      <c r="AP14" s="39"/>
      <c r="AQ14" s="41">
        <f>AP14-Y14</f>
        <v>-972.3525</v>
      </c>
      <c r="AR14" s="37"/>
      <c r="AS14" s="46">
        <v>0</v>
      </c>
    </row>
    <row r="15" ht="54.85" customHeight="1">
      <c r="A15" t="s" s="2">
        <v>0</v>
      </c>
      <c r="B15" s="33">
        <v>45702</v>
      </c>
      <c r="C15" t="s" s="47">
        <v>95</v>
      </c>
      <c r="D15" t="s" s="48">
        <v>64</v>
      </c>
      <c r="E15" t="s" s="49">
        <v>128</v>
      </c>
      <c r="F15" s="50"/>
      <c r="G15" s="49"/>
      <c r="H15" t="s" s="49">
        <v>142</v>
      </c>
      <c r="I15" t="s" s="51">
        <v>67</v>
      </c>
      <c r="J15" t="s" s="38">
        <v>72</v>
      </c>
      <c r="K15" s="52">
        <v>9605</v>
      </c>
      <c r="L15" s="52">
        <v>1551.25</v>
      </c>
      <c r="M15" s="52">
        <v>130</v>
      </c>
      <c r="N15" s="52"/>
      <c r="O15" s="52"/>
      <c r="P15" s="40">
        <f>K15-L15-O15+N15</f>
        <v>8053.75</v>
      </c>
      <c r="Q15" s="52"/>
      <c r="R15" s="52"/>
      <c r="S15" s="40">
        <f>L15</f>
        <v>1551.25</v>
      </c>
      <c r="T15" s="52">
        <f>P15+R15-Q15+M15</f>
        <v>8183.75</v>
      </c>
      <c r="U15" s="52">
        <f>T15-V15-W15-X15</f>
        <v>7217.3</v>
      </c>
      <c r="V15" s="41">
        <f>P15*0.03</f>
        <v>241.6125</v>
      </c>
      <c r="W15" s="41">
        <f>P15*0.04</f>
        <v>322.15</v>
      </c>
      <c r="X15" s="41">
        <f>P15*0.05</f>
        <v>402.6875</v>
      </c>
      <c r="Y15" s="42">
        <f>P15*0.05</f>
        <v>402.6875</v>
      </c>
      <c r="Z15" s="52">
        <f>T15-Y15</f>
        <v>7781.0625</v>
      </c>
      <c r="AA15" s="52">
        <f>U15-Y15</f>
        <v>6814.6125</v>
      </c>
      <c r="AB15" s="43"/>
      <c r="AC15" t="s" s="51">
        <v>0</v>
      </c>
      <c r="AD15" t="s" s="51">
        <v>0</v>
      </c>
      <c r="AE15" t="s" s="51">
        <v>0</v>
      </c>
      <c r="AF15" t="s" s="44">
        <v>0</v>
      </c>
      <c r="AG15" s="54"/>
      <c r="AH15" s="52"/>
      <c r="AI15" s="41">
        <f>AH15-T15-U15</f>
        <v>-15401.05</v>
      </c>
      <c r="AJ15" t="s" s="44">
        <v>0</v>
      </c>
      <c r="AK15" s="54"/>
      <c r="AL15" s="52"/>
      <c r="AM15" s="41">
        <f>AL15-Z15-AA15</f>
        <v>-14595.675</v>
      </c>
      <c r="AN15" t="s" s="44">
        <v>0</v>
      </c>
      <c r="AO15" s="54"/>
      <c r="AP15" s="52"/>
      <c r="AQ15" s="41">
        <f>AP15-Y15</f>
        <v>-402.6875</v>
      </c>
      <c r="AR15" s="51"/>
      <c r="AS15" s="55">
        <v>0</v>
      </c>
    </row>
    <row r="16" ht="54.85" customHeight="1">
      <c r="A16" t="s" s="2">
        <v>0</v>
      </c>
      <c r="B16" s="33">
        <v>45702</v>
      </c>
      <c r="C16" t="s" s="47">
        <v>143</v>
      </c>
      <c r="D16" t="s" s="48">
        <v>64</v>
      </c>
      <c r="E16" t="s" s="34">
        <v>144</v>
      </c>
      <c r="F16" s="36"/>
      <c r="G16" s="34"/>
      <c r="H16" t="s" s="34">
        <v>145</v>
      </c>
      <c r="I16" t="s" s="37">
        <v>67</v>
      </c>
      <c r="J16" t="s" s="38">
        <v>77</v>
      </c>
      <c r="K16" s="39">
        <v>13923</v>
      </c>
      <c r="L16" s="39">
        <v>4124.5</v>
      </c>
      <c r="M16" s="39">
        <v>425</v>
      </c>
      <c r="N16" s="39"/>
      <c r="O16" s="39"/>
      <c r="P16" s="40">
        <f>K16-L16-O16+N16</f>
        <v>9798.5</v>
      </c>
      <c r="Q16" s="39"/>
      <c r="R16" s="39"/>
      <c r="S16" s="40">
        <f>L16</f>
        <v>4124.5</v>
      </c>
      <c r="T16" s="39">
        <f>P16+R16-Q16+M16</f>
        <v>10223.5</v>
      </c>
      <c r="U16" s="39">
        <f>T16-V16-W16-X16</f>
        <v>9047.68</v>
      </c>
      <c r="V16" s="41">
        <f>P16*0.03</f>
        <v>293.955</v>
      </c>
      <c r="W16" s="41">
        <f>P16*0.04</f>
        <v>391.94</v>
      </c>
      <c r="X16" s="41">
        <f>P16*0.05</f>
        <v>489.925</v>
      </c>
      <c r="Y16" s="42">
        <f>P16*0.05</f>
        <v>489.925</v>
      </c>
      <c r="Z16" s="39">
        <f>T16-Y16</f>
        <v>9733.575000000001</v>
      </c>
      <c r="AA16" s="39">
        <f>U16-Y16</f>
        <v>8557.754999999999</v>
      </c>
      <c r="AB16" s="43"/>
      <c r="AC16" t="s" s="37">
        <v>0</v>
      </c>
      <c r="AD16" t="s" s="37">
        <v>0</v>
      </c>
      <c r="AE16" t="s" s="37">
        <v>0</v>
      </c>
      <c r="AF16" t="s" s="44">
        <v>0</v>
      </c>
      <c r="AG16" s="45"/>
      <c r="AH16" s="39"/>
      <c r="AI16" s="41">
        <f>AH16-T16-U16</f>
        <v>-19271.18</v>
      </c>
      <c r="AJ16" t="s" s="44">
        <v>0</v>
      </c>
      <c r="AK16" s="45"/>
      <c r="AL16" s="39"/>
      <c r="AM16" s="41">
        <f>AL16-Z16-AA16</f>
        <v>-18291.33</v>
      </c>
      <c r="AN16" t="s" s="44">
        <v>0</v>
      </c>
      <c r="AO16" s="45"/>
      <c r="AP16" s="39"/>
      <c r="AQ16" s="41">
        <f>AP16-Y16</f>
        <v>-489.925</v>
      </c>
      <c r="AR16" s="37"/>
      <c r="AS16" s="46">
        <v>0</v>
      </c>
    </row>
    <row r="17" ht="54.85" customHeight="1">
      <c r="A17" t="s" s="2">
        <v>0</v>
      </c>
      <c r="B17" s="33"/>
      <c r="C17" s="34"/>
      <c r="D17" s="35"/>
      <c r="E17" s="49"/>
      <c r="F17" s="50"/>
      <c r="G17" s="49"/>
      <c r="H17" s="49"/>
      <c r="I17" t="s" s="51">
        <v>0</v>
      </c>
      <c r="J17" s="38"/>
      <c r="K17" s="52"/>
      <c r="L17" s="52"/>
      <c r="M17" s="52"/>
      <c r="N17" s="52"/>
      <c r="O17" s="52"/>
      <c r="P17" s="40">
        <f>K17-L17-O17+N17</f>
        <v>0</v>
      </c>
      <c r="Q17" s="52"/>
      <c r="R17" s="52"/>
      <c r="S17" s="40">
        <f>L17</f>
        <v>0</v>
      </c>
      <c r="T17" s="52">
        <f>P17+R17-Q17+M17</f>
        <v>0</v>
      </c>
      <c r="U17" s="52">
        <f>T17-V17-W17-X17</f>
        <v>0</v>
      </c>
      <c r="V17" s="41">
        <f>P17*0.03</f>
        <v>0</v>
      </c>
      <c r="W17" s="41">
        <f>P17*0.04</f>
        <v>0</v>
      </c>
      <c r="X17" s="41">
        <f>P17*0.05</f>
        <v>0</v>
      </c>
      <c r="Y17" s="42">
        <f>P17*0.05</f>
        <v>0</v>
      </c>
      <c r="Z17" s="52">
        <f>T17-Y17</f>
        <v>0</v>
      </c>
      <c r="AA17" s="52">
        <f>U17-Y17</f>
        <v>0</v>
      </c>
      <c r="AB17" s="43"/>
      <c r="AC17" t="s" s="51">
        <v>0</v>
      </c>
      <c r="AD17" t="s" s="51">
        <v>0</v>
      </c>
      <c r="AE17" t="s" s="51">
        <v>0</v>
      </c>
      <c r="AF17" t="s" s="44">
        <v>0</v>
      </c>
      <c r="AG17" s="54"/>
      <c r="AH17" s="52"/>
      <c r="AI17" s="41">
        <f>AH17-T17-U17</f>
        <v>0</v>
      </c>
      <c r="AJ17" t="s" s="44">
        <v>0</v>
      </c>
      <c r="AK17" s="54"/>
      <c r="AL17" s="52"/>
      <c r="AM17" s="41">
        <f>AL17-Z17-AA17</f>
        <v>0</v>
      </c>
      <c r="AN17" t="s" s="44">
        <v>0</v>
      </c>
      <c r="AO17" s="54"/>
      <c r="AP17" s="52"/>
      <c r="AQ17" s="41">
        <f>AP17-Y17</f>
        <v>0</v>
      </c>
      <c r="AR17" s="51"/>
      <c r="AS17" s="55">
        <v>0</v>
      </c>
    </row>
    <row r="18" ht="54.85" customHeight="1">
      <c r="A18" t="s" s="2">
        <v>0</v>
      </c>
      <c r="B18" s="33">
        <v>45716</v>
      </c>
      <c r="C18" t="s" s="47">
        <v>146</v>
      </c>
      <c r="D18" t="s" s="48">
        <v>64</v>
      </c>
      <c r="E18" t="s" s="34">
        <v>147</v>
      </c>
      <c r="F18" s="36"/>
      <c r="G18" s="34"/>
      <c r="H18" t="s" s="34">
        <v>148</v>
      </c>
      <c r="I18" t="s" s="37">
        <v>126</v>
      </c>
      <c r="J18" t="s" s="38">
        <v>149</v>
      </c>
      <c r="K18" s="39">
        <v>28080.3</v>
      </c>
      <c r="L18" s="39">
        <v>2931.31</v>
      </c>
      <c r="M18" s="39">
        <v>345</v>
      </c>
      <c r="N18" s="39"/>
      <c r="O18" s="39"/>
      <c r="P18" s="40">
        <f>K18-L18-O18+N18</f>
        <v>25148.99</v>
      </c>
      <c r="Q18" s="39"/>
      <c r="R18" s="39"/>
      <c r="S18" s="40">
        <f>L18</f>
        <v>2931.31</v>
      </c>
      <c r="T18" s="39">
        <f>P18+R18-Q18+M18</f>
        <v>25493.99</v>
      </c>
      <c r="U18" s="39">
        <f>T18-V18-W18-X18</f>
        <v>22476.1112</v>
      </c>
      <c r="V18" s="41">
        <f>P18*0.03</f>
        <v>754.4697</v>
      </c>
      <c r="W18" s="41">
        <f>P18*0.04</f>
        <v>1005.9596</v>
      </c>
      <c r="X18" s="41">
        <f>P18*0.05</f>
        <v>1257.4495</v>
      </c>
      <c r="Y18" s="42">
        <f>P18*0.05</f>
        <v>1257.4495</v>
      </c>
      <c r="Z18" s="39">
        <f>T18-Y18</f>
        <v>24236.5405</v>
      </c>
      <c r="AA18" s="39">
        <f>U18-Y18</f>
        <v>21218.6617</v>
      </c>
      <c r="AB18" s="43"/>
      <c r="AC18" t="s" s="37">
        <v>0</v>
      </c>
      <c r="AD18" t="s" s="37">
        <v>0</v>
      </c>
      <c r="AE18" t="s" s="37">
        <v>0</v>
      </c>
      <c r="AF18" t="s" s="44">
        <v>0</v>
      </c>
      <c r="AG18" s="45"/>
      <c r="AH18" s="39"/>
      <c r="AI18" s="41">
        <f>AH18-T18-U18</f>
        <v>-47970.1012</v>
      </c>
      <c r="AJ18" t="s" s="44">
        <v>0</v>
      </c>
      <c r="AK18" s="45"/>
      <c r="AL18" s="39"/>
      <c r="AM18" s="41">
        <f>AL18-Z18-AA18</f>
        <v>-45455.2022</v>
      </c>
      <c r="AN18" t="s" s="44">
        <v>0</v>
      </c>
      <c r="AO18" s="45"/>
      <c r="AP18" s="39"/>
      <c r="AQ18" s="41">
        <f>AP18-Y18</f>
        <v>-1257.4495</v>
      </c>
      <c r="AR18" s="37"/>
      <c r="AS18" s="46">
        <v>0</v>
      </c>
    </row>
    <row r="19" ht="54.85" customHeight="1">
      <c r="A19" t="s" s="2">
        <v>0</v>
      </c>
      <c r="B19" s="33"/>
      <c r="C19" s="34"/>
      <c r="D19" s="35"/>
      <c r="E19" s="49"/>
      <c r="F19" s="50"/>
      <c r="G19" s="49"/>
      <c r="H19" s="49"/>
      <c r="I19" t="s" s="51">
        <v>0</v>
      </c>
      <c r="J19" s="38"/>
      <c r="K19" s="52"/>
      <c r="L19" s="52"/>
      <c r="M19" s="52"/>
      <c r="N19" s="52"/>
      <c r="O19" s="52"/>
      <c r="P19" s="40">
        <f>K19-L19-O19+N19</f>
        <v>0</v>
      </c>
      <c r="Q19" s="52"/>
      <c r="R19" s="52"/>
      <c r="S19" s="40">
        <f>L19</f>
        <v>0</v>
      </c>
      <c r="T19" s="52">
        <f>P19+R19-Q19+M19</f>
        <v>0</v>
      </c>
      <c r="U19" s="52">
        <f>T19-V19-W19-X19</f>
        <v>0</v>
      </c>
      <c r="V19" s="41">
        <f>P19*0.03</f>
        <v>0</v>
      </c>
      <c r="W19" s="41">
        <f>P19*0.04</f>
        <v>0</v>
      </c>
      <c r="X19" s="41">
        <f>P19*0.05</f>
        <v>0</v>
      </c>
      <c r="Y19" s="42">
        <f>P19*0.05</f>
        <v>0</v>
      </c>
      <c r="Z19" s="52">
        <f>T19-Y19</f>
        <v>0</v>
      </c>
      <c r="AA19" s="52">
        <f>U19-Y19</f>
        <v>0</v>
      </c>
      <c r="AB19" s="43"/>
      <c r="AC19" t="s" s="51">
        <v>0</v>
      </c>
      <c r="AD19" t="s" s="51">
        <v>0</v>
      </c>
      <c r="AE19" t="s" s="51">
        <v>0</v>
      </c>
      <c r="AF19" t="s" s="44">
        <v>0</v>
      </c>
      <c r="AG19" s="54"/>
      <c r="AH19" s="52"/>
      <c r="AI19" s="41">
        <f>AH19-T19-U19</f>
        <v>0</v>
      </c>
      <c r="AJ19" t="s" s="44">
        <v>0</v>
      </c>
      <c r="AK19" s="54"/>
      <c r="AL19" s="52"/>
      <c r="AM19" s="41">
        <f>AL19-Z19-AA19</f>
        <v>0</v>
      </c>
      <c r="AN19" t="s" s="44">
        <v>0</v>
      </c>
      <c r="AO19" s="54"/>
      <c r="AP19" s="52"/>
      <c r="AQ19" s="41">
        <f>AP19-Y19</f>
        <v>0</v>
      </c>
      <c r="AR19" s="51"/>
      <c r="AS19" s="55">
        <v>0</v>
      </c>
    </row>
    <row r="20" ht="54.85" customHeight="1">
      <c r="A20" t="s" s="2">
        <v>0</v>
      </c>
      <c r="B20" s="33">
        <v>45770</v>
      </c>
      <c r="C20" t="s" s="58">
        <v>150</v>
      </c>
      <c r="D20" t="s" s="48">
        <v>64</v>
      </c>
      <c r="E20" t="s" s="34">
        <v>151</v>
      </c>
      <c r="F20" s="36"/>
      <c r="G20" s="34"/>
      <c r="H20" t="s" s="34">
        <v>152</v>
      </c>
      <c r="I20" t="s" s="37">
        <v>81</v>
      </c>
      <c r="J20" t="s" s="38">
        <v>153</v>
      </c>
      <c r="K20" s="39">
        <v>12000</v>
      </c>
      <c r="L20" s="39">
        <v>1169</v>
      </c>
      <c r="M20" s="77">
        <v>150</v>
      </c>
      <c r="N20" s="39"/>
      <c r="O20" s="39"/>
      <c r="P20" s="40">
        <f>K20-L20-O20+N20</f>
        <v>10831</v>
      </c>
      <c r="Q20" s="39"/>
      <c r="R20" s="39"/>
      <c r="S20" s="40">
        <f>L20</f>
        <v>1169</v>
      </c>
      <c r="T20" s="39">
        <f>P20+R20-Q20+M20</f>
        <v>10981</v>
      </c>
      <c r="U20" s="39">
        <f>T20-V20-W20-X20</f>
        <v>9681.280000000001</v>
      </c>
      <c r="V20" s="41">
        <f>P20*0.03</f>
        <v>324.93</v>
      </c>
      <c r="W20" s="41">
        <f>P20*0.04</f>
        <v>433.24</v>
      </c>
      <c r="X20" s="41">
        <f>P20*0.05</f>
        <v>541.55</v>
      </c>
      <c r="Y20" s="42">
        <f>P20*0.05</f>
        <v>541.55</v>
      </c>
      <c r="Z20" s="39">
        <f>T20-Y20</f>
        <v>10439.45</v>
      </c>
      <c r="AA20" s="39">
        <f>U20-Y20</f>
        <v>9139.73</v>
      </c>
      <c r="AB20" s="43"/>
      <c r="AC20" t="s" s="37">
        <v>0</v>
      </c>
      <c r="AD20" t="s" s="37">
        <v>0</v>
      </c>
      <c r="AE20" t="s" s="37">
        <v>0</v>
      </c>
      <c r="AF20" t="s" s="44">
        <v>0</v>
      </c>
      <c r="AG20" s="45"/>
      <c r="AH20" s="39"/>
      <c r="AI20" s="41">
        <f>AH20-T20-U20</f>
        <v>-20662.28</v>
      </c>
      <c r="AJ20" t="s" s="44">
        <v>0</v>
      </c>
      <c r="AK20" s="45"/>
      <c r="AL20" s="39"/>
      <c r="AM20" s="41">
        <f>AL20-Z20-AA20</f>
        <v>-19579.18</v>
      </c>
      <c r="AN20" t="s" s="44">
        <v>0</v>
      </c>
      <c r="AO20" s="45"/>
      <c r="AP20" s="39"/>
      <c r="AQ20" s="41">
        <f>AP20-Y20</f>
        <v>-541.55</v>
      </c>
      <c r="AR20" s="37"/>
      <c r="AS20" s="46">
        <v>0</v>
      </c>
    </row>
    <row r="21" ht="54.85" customHeight="1">
      <c r="A21" t="s" s="2">
        <v>0</v>
      </c>
      <c r="B21" s="33">
        <v>45770</v>
      </c>
      <c r="C21" t="s" s="47">
        <v>123</v>
      </c>
      <c r="D21" t="s" s="48">
        <v>64</v>
      </c>
      <c r="E21" s="49"/>
      <c r="F21" s="50"/>
      <c r="G21" s="49"/>
      <c r="H21" s="49"/>
      <c r="I21" t="s" s="51">
        <v>154</v>
      </c>
      <c r="J21" t="s" s="38">
        <v>127</v>
      </c>
      <c r="K21" s="52">
        <v>468</v>
      </c>
      <c r="L21" s="52"/>
      <c r="M21" s="52"/>
      <c r="N21" s="52"/>
      <c r="O21" s="52"/>
      <c r="P21" s="40">
        <f>K21-L21-O21+N21</f>
        <v>468</v>
      </c>
      <c r="Q21" s="52"/>
      <c r="R21" s="52"/>
      <c r="S21" s="40">
        <f>L21</f>
        <v>0</v>
      </c>
      <c r="T21" s="52">
        <f>P21+R21-Q21+M21</f>
        <v>468</v>
      </c>
      <c r="U21" s="52">
        <f>T21-V21-W21-X21</f>
        <v>411.84</v>
      </c>
      <c r="V21" s="41">
        <f>P21*0.03</f>
        <v>14.04</v>
      </c>
      <c r="W21" s="41">
        <f>P21*0.04</f>
        <v>18.72</v>
      </c>
      <c r="X21" s="41">
        <f>P21*0.05</f>
        <v>23.4</v>
      </c>
      <c r="Y21" s="42">
        <f>P21*0.05</f>
        <v>23.4</v>
      </c>
      <c r="Z21" s="52">
        <f>T21-Y21</f>
        <v>444.6</v>
      </c>
      <c r="AA21" s="52">
        <f>U21-Y21</f>
        <v>388.44</v>
      </c>
      <c r="AB21" s="43"/>
      <c r="AC21" t="s" s="51">
        <v>0</v>
      </c>
      <c r="AD21" t="s" s="51">
        <v>0</v>
      </c>
      <c r="AE21" t="s" s="51">
        <v>0</v>
      </c>
      <c r="AF21" t="s" s="44">
        <v>0</v>
      </c>
      <c r="AG21" s="54"/>
      <c r="AH21" s="52"/>
      <c r="AI21" s="41">
        <f>AH21-T21-U21</f>
        <v>-879.84</v>
      </c>
      <c r="AJ21" t="s" s="44">
        <v>0</v>
      </c>
      <c r="AK21" s="54"/>
      <c r="AL21" s="52"/>
      <c r="AM21" s="41">
        <f>AL21-Z21-AA21</f>
        <v>-833.04</v>
      </c>
      <c r="AN21" t="s" s="44">
        <v>0</v>
      </c>
      <c r="AO21" s="54"/>
      <c r="AP21" s="52"/>
      <c r="AQ21" s="41">
        <f>AP21-Y21</f>
        <v>-23.4</v>
      </c>
      <c r="AR21" s="51"/>
      <c r="AS21" s="55">
        <v>0</v>
      </c>
    </row>
    <row r="22" ht="54.85" customHeight="1">
      <c r="A22" t="s" s="2">
        <v>0</v>
      </c>
      <c r="B22" s="33"/>
      <c r="C22" s="34"/>
      <c r="D22" s="35"/>
      <c r="E22" s="34"/>
      <c r="F22" s="36"/>
      <c r="G22" s="34"/>
      <c r="H22" s="34"/>
      <c r="I22" t="s" s="37">
        <v>0</v>
      </c>
      <c r="J22" s="38"/>
      <c r="K22" s="39"/>
      <c r="L22" s="39"/>
      <c r="M22" s="39"/>
      <c r="N22" s="39"/>
      <c r="O22" s="39"/>
      <c r="P22" s="40">
        <f>K22-L22-O22+N22</f>
        <v>0</v>
      </c>
      <c r="Q22" s="39"/>
      <c r="R22" s="39"/>
      <c r="S22" s="40">
        <f>L22</f>
        <v>0</v>
      </c>
      <c r="T22" s="39">
        <f>P22+R22-Q22+M22</f>
        <v>0</v>
      </c>
      <c r="U22" s="39">
        <f>T22-V22-W22-X22</f>
        <v>0</v>
      </c>
      <c r="V22" s="41">
        <f>P22*0.03</f>
        <v>0</v>
      </c>
      <c r="W22" s="41">
        <f>P22*0.04</f>
        <v>0</v>
      </c>
      <c r="X22" s="41">
        <f>P22*0.05</f>
        <v>0</v>
      </c>
      <c r="Y22" s="42">
        <f>P22*0.05</f>
        <v>0</v>
      </c>
      <c r="Z22" s="39">
        <f>T22-Y22</f>
        <v>0</v>
      </c>
      <c r="AA22" s="39">
        <f>U22-Y22</f>
        <v>0</v>
      </c>
      <c r="AB22" s="43"/>
      <c r="AC22" t="s" s="37">
        <v>0</v>
      </c>
      <c r="AD22" t="s" s="37">
        <v>0</v>
      </c>
      <c r="AE22" t="s" s="37">
        <v>0</v>
      </c>
      <c r="AF22" t="s" s="44">
        <v>0</v>
      </c>
      <c r="AG22" s="45"/>
      <c r="AH22" s="39"/>
      <c r="AI22" s="41">
        <f>AH22-T22-U22</f>
        <v>0</v>
      </c>
      <c r="AJ22" t="s" s="44">
        <v>0</v>
      </c>
      <c r="AK22" s="45"/>
      <c r="AL22" s="39"/>
      <c r="AM22" s="41">
        <f>AL22-Z22-AA22</f>
        <v>0</v>
      </c>
      <c r="AN22" t="s" s="44">
        <v>0</v>
      </c>
      <c r="AO22" s="45"/>
      <c r="AP22" s="39"/>
      <c r="AQ22" s="41">
        <f>AP22-Y22</f>
        <v>0</v>
      </c>
      <c r="AR22" s="37"/>
      <c r="AS22" s="46">
        <v>0</v>
      </c>
    </row>
    <row r="23" ht="54.85" customHeight="1">
      <c r="A23" t="s" s="2">
        <v>0</v>
      </c>
      <c r="B23" s="33">
        <v>45786</v>
      </c>
      <c r="C23" t="s" s="47">
        <v>69</v>
      </c>
      <c r="D23" t="s" s="48">
        <v>64</v>
      </c>
      <c r="E23" t="s" s="49">
        <v>155</v>
      </c>
      <c r="F23" s="50"/>
      <c r="G23" s="49"/>
      <c r="H23" t="s" s="49">
        <v>156</v>
      </c>
      <c r="I23" t="s" s="51">
        <v>67</v>
      </c>
      <c r="J23" t="s" s="38">
        <v>72</v>
      </c>
      <c r="K23" s="52">
        <v>82089.600000000006</v>
      </c>
      <c r="L23" s="52">
        <v>18547.2</v>
      </c>
      <c r="M23" s="52">
        <v>2815</v>
      </c>
      <c r="N23" s="52"/>
      <c r="O23" s="53">
        <v>1593.6</v>
      </c>
      <c r="P23" s="40">
        <f>K23-L23-O23+N23</f>
        <v>61948.8</v>
      </c>
      <c r="Q23" s="52"/>
      <c r="R23" s="52"/>
      <c r="S23" s="40">
        <f>L23</f>
        <v>18547.2</v>
      </c>
      <c r="T23" s="52">
        <f>P23+R23-Q23+M23</f>
        <v>64763.8</v>
      </c>
      <c r="U23" s="52">
        <f>T23-V23-W23-X23</f>
        <v>57329.944</v>
      </c>
      <c r="V23" s="41">
        <f>P23*0.03</f>
        <v>1858.464</v>
      </c>
      <c r="W23" s="41">
        <f>P23*0.04</f>
        <v>2477.952</v>
      </c>
      <c r="X23" s="41">
        <f>P23*0.05</f>
        <v>3097.44</v>
      </c>
      <c r="Y23" s="42">
        <f>P23*0.05</f>
        <v>3097.44</v>
      </c>
      <c r="Z23" s="52">
        <f>T23-Y23</f>
        <v>61666.36</v>
      </c>
      <c r="AA23" s="52">
        <f>U23-Y23</f>
        <v>54232.504</v>
      </c>
      <c r="AB23" s="43"/>
      <c r="AC23" t="s" s="51">
        <v>0</v>
      </c>
      <c r="AD23" t="s" s="51">
        <v>0</v>
      </c>
      <c r="AE23" t="s" s="51">
        <v>0</v>
      </c>
      <c r="AF23" t="s" s="44">
        <v>0</v>
      </c>
      <c r="AG23" s="54"/>
      <c r="AH23" s="52"/>
      <c r="AI23" s="41">
        <f>AH23-T23-U23</f>
        <v>-122093.744</v>
      </c>
      <c r="AJ23" t="s" s="44">
        <v>0</v>
      </c>
      <c r="AK23" s="54"/>
      <c r="AL23" s="52"/>
      <c r="AM23" s="41">
        <f>AL23-Z23-AA23</f>
        <v>-115898.864</v>
      </c>
      <c r="AN23" t="s" s="44">
        <v>0</v>
      </c>
      <c r="AO23" s="54"/>
      <c r="AP23" s="52"/>
      <c r="AQ23" s="41">
        <f>AP23-Y23</f>
        <v>-3097.44</v>
      </c>
      <c r="AR23" s="51"/>
      <c r="AS23" s="55">
        <v>0</v>
      </c>
    </row>
    <row r="24" ht="54.85" customHeight="1">
      <c r="A24" t="s" s="2">
        <v>0</v>
      </c>
      <c r="B24" s="33">
        <v>45808</v>
      </c>
      <c r="C24" t="s" s="47">
        <v>137</v>
      </c>
      <c r="D24" t="s" s="48">
        <v>64</v>
      </c>
      <c r="E24" t="s" s="34">
        <v>157</v>
      </c>
      <c r="F24" s="36"/>
      <c r="G24" s="34"/>
      <c r="H24" t="s" s="34">
        <v>158</v>
      </c>
      <c r="I24" t="s" s="37">
        <v>126</v>
      </c>
      <c r="J24" t="s" s="38">
        <v>140</v>
      </c>
      <c r="K24" s="53">
        <v>62896.45</v>
      </c>
      <c r="L24" s="39">
        <v>12004.56</v>
      </c>
      <c r="M24" s="39">
        <v>1270</v>
      </c>
      <c r="N24" s="39"/>
      <c r="O24" s="39"/>
      <c r="P24" s="40">
        <f>K24-L24-O24+N24</f>
        <v>50891.89</v>
      </c>
      <c r="Q24" s="39"/>
      <c r="R24" s="39"/>
      <c r="S24" s="40">
        <f>L24</f>
        <v>12004.56</v>
      </c>
      <c r="T24" s="39">
        <f>P24+R24-Q24+M24</f>
        <v>52161.89</v>
      </c>
      <c r="U24" s="39">
        <f>T24-V24-W24-X24</f>
        <v>46054.8632</v>
      </c>
      <c r="V24" s="41">
        <f>P24*0.03</f>
        <v>1526.7567</v>
      </c>
      <c r="W24" s="41">
        <f>P24*0.04</f>
        <v>2035.6756</v>
      </c>
      <c r="X24" s="41">
        <f>P24*0.05</f>
        <v>2544.5945</v>
      </c>
      <c r="Y24" s="42">
        <f>P24*0.05</f>
        <v>2544.5945</v>
      </c>
      <c r="Z24" s="39">
        <f>T24-Y24</f>
        <v>49617.2955</v>
      </c>
      <c r="AA24" s="39">
        <f>U24-Y24</f>
        <v>43510.2687</v>
      </c>
      <c r="AB24" s="43"/>
      <c r="AC24" t="s" s="37">
        <v>0</v>
      </c>
      <c r="AD24" t="s" s="37">
        <v>0</v>
      </c>
      <c r="AE24" t="s" s="37">
        <v>0</v>
      </c>
      <c r="AF24" t="s" s="44">
        <v>0</v>
      </c>
      <c r="AG24" s="45"/>
      <c r="AH24" s="39"/>
      <c r="AI24" s="41">
        <f>AH24-T24-U24</f>
        <v>-98216.753200000006</v>
      </c>
      <c r="AJ24" t="s" s="44">
        <v>0</v>
      </c>
      <c r="AK24" s="45"/>
      <c r="AL24" s="39"/>
      <c r="AM24" s="41">
        <f>AL24-Z24-AA24</f>
        <v>-93127.564199999993</v>
      </c>
      <c r="AN24" t="s" s="44">
        <v>0</v>
      </c>
      <c r="AO24" s="45"/>
      <c r="AP24" s="39"/>
      <c r="AQ24" s="41">
        <f>AP24-Y24</f>
        <v>-2544.5945</v>
      </c>
      <c r="AR24" s="37"/>
      <c r="AS24" s="46">
        <v>0</v>
      </c>
    </row>
    <row r="25" ht="54.85" customHeight="1">
      <c r="A25" t="s" s="2">
        <v>0</v>
      </c>
      <c r="B25" s="33">
        <v>45808</v>
      </c>
      <c r="C25" t="s" s="47">
        <v>159</v>
      </c>
      <c r="D25" t="s" s="48">
        <v>64</v>
      </c>
      <c r="E25" t="s" s="49">
        <v>160</v>
      </c>
      <c r="F25" s="50"/>
      <c r="G25" s="49"/>
      <c r="H25" t="s" s="49">
        <v>161</v>
      </c>
      <c r="I25" t="s" s="51">
        <v>76</v>
      </c>
      <c r="J25" t="s" s="38">
        <v>162</v>
      </c>
      <c r="K25" s="52">
        <v>6648</v>
      </c>
      <c r="L25" s="52">
        <v>671.76</v>
      </c>
      <c r="M25" s="52">
        <v>100</v>
      </c>
      <c r="N25" s="52"/>
      <c r="O25" s="52"/>
      <c r="P25" s="40">
        <f>K25-L25-O25+N25</f>
        <v>5976.24</v>
      </c>
      <c r="Q25" s="52"/>
      <c r="R25" s="52"/>
      <c r="S25" s="40">
        <f>L25</f>
        <v>671.76</v>
      </c>
      <c r="T25" s="52">
        <f>P25+R25-Q25+M25</f>
        <v>6076.24</v>
      </c>
      <c r="U25" s="52">
        <f>T25-V25-W25-X25</f>
        <v>5359.0912</v>
      </c>
      <c r="V25" s="41">
        <f>P25*0.03</f>
        <v>179.2872</v>
      </c>
      <c r="W25" s="41">
        <f>P25*0.04</f>
        <v>239.0496</v>
      </c>
      <c r="X25" s="41">
        <f>P25*0.05</f>
        <v>298.812</v>
      </c>
      <c r="Y25" s="42">
        <f>P25*0.05</f>
        <v>298.812</v>
      </c>
      <c r="Z25" s="52">
        <f>T25-Y25</f>
        <v>5777.428</v>
      </c>
      <c r="AA25" s="52">
        <f>U25-Y25</f>
        <v>5060.2792</v>
      </c>
      <c r="AB25" s="43"/>
      <c r="AC25" t="s" s="51">
        <v>0</v>
      </c>
      <c r="AD25" t="s" s="51">
        <v>0</v>
      </c>
      <c r="AE25" t="s" s="51">
        <v>0</v>
      </c>
      <c r="AF25" t="s" s="44">
        <v>0</v>
      </c>
      <c r="AG25" s="54"/>
      <c r="AH25" s="52"/>
      <c r="AI25" s="41">
        <f>AH25-T25-U25</f>
        <v>-11435.3312</v>
      </c>
      <c r="AJ25" t="s" s="44">
        <v>0</v>
      </c>
      <c r="AK25" s="54"/>
      <c r="AL25" s="52"/>
      <c r="AM25" s="41">
        <f>AL25-Z25-AA25</f>
        <v>-10837.7072</v>
      </c>
      <c r="AN25" t="s" s="44">
        <v>0</v>
      </c>
      <c r="AO25" s="54"/>
      <c r="AP25" s="52"/>
      <c r="AQ25" s="41">
        <f>AP25-Y25</f>
        <v>-298.812</v>
      </c>
      <c r="AR25" s="51"/>
      <c r="AS25" s="55">
        <v>0</v>
      </c>
    </row>
    <row r="26" ht="54.85" customHeight="1">
      <c r="A26" t="s" s="2">
        <v>0</v>
      </c>
      <c r="B26" s="33"/>
      <c r="C26" s="34"/>
      <c r="D26" s="35"/>
      <c r="E26" s="34"/>
      <c r="F26" s="36"/>
      <c r="G26" s="34"/>
      <c r="H26" s="34"/>
      <c r="I26" t="s" s="37">
        <v>0</v>
      </c>
      <c r="J26" s="38"/>
      <c r="K26" s="39"/>
      <c r="L26" s="39"/>
      <c r="M26" s="39"/>
      <c r="N26" s="39"/>
      <c r="O26" s="39"/>
      <c r="P26" s="40">
        <f>K26-L26-O26+N26</f>
        <v>0</v>
      </c>
      <c r="Q26" s="39"/>
      <c r="R26" s="39"/>
      <c r="S26" s="40">
        <f>L26</f>
        <v>0</v>
      </c>
      <c r="T26" s="39">
        <f>P26+R26-Q26+M26</f>
        <v>0</v>
      </c>
      <c r="U26" s="39">
        <f>T26-V26-W26-X26</f>
        <v>0</v>
      </c>
      <c r="V26" s="41">
        <f>P26*0.03</f>
        <v>0</v>
      </c>
      <c r="W26" s="41">
        <f>P26*0.04</f>
        <v>0</v>
      </c>
      <c r="X26" s="41">
        <f>P26*0.05</f>
        <v>0</v>
      </c>
      <c r="Y26" s="42">
        <f>P26*0.05</f>
        <v>0</v>
      </c>
      <c r="Z26" s="39">
        <f>T26-Y26</f>
        <v>0</v>
      </c>
      <c r="AA26" s="39">
        <f>U26-Y26</f>
        <v>0</v>
      </c>
      <c r="AB26" s="43"/>
      <c r="AC26" t="s" s="37">
        <v>0</v>
      </c>
      <c r="AD26" t="s" s="37">
        <v>0</v>
      </c>
      <c r="AE26" t="s" s="37">
        <v>0</v>
      </c>
      <c r="AF26" t="s" s="44">
        <v>0</v>
      </c>
      <c r="AG26" s="45"/>
      <c r="AH26" s="39"/>
      <c r="AI26" s="41">
        <f>AH26-T26-U26</f>
        <v>0</v>
      </c>
      <c r="AJ26" t="s" s="44">
        <v>0</v>
      </c>
      <c r="AK26" s="45"/>
      <c r="AL26" s="39"/>
      <c r="AM26" s="41">
        <f>AL26-Z26-AA26</f>
        <v>0</v>
      </c>
      <c r="AN26" t="s" s="44">
        <v>0</v>
      </c>
      <c r="AO26" s="45"/>
      <c r="AP26" s="39"/>
      <c r="AQ26" s="41">
        <f>AP26-Y26</f>
        <v>0</v>
      </c>
      <c r="AR26" s="37"/>
      <c r="AS26" s="46">
        <v>0</v>
      </c>
    </row>
    <row r="27" ht="54.85" customHeight="1">
      <c r="A27" t="s" s="2">
        <v>0</v>
      </c>
      <c r="B27" s="33">
        <v>45919</v>
      </c>
      <c r="C27" t="s" s="47">
        <v>163</v>
      </c>
      <c r="D27" t="s" s="48">
        <v>64</v>
      </c>
      <c r="E27" s="58"/>
      <c r="F27" s="50"/>
      <c r="G27" s="49"/>
      <c r="H27" t="s" s="49">
        <v>164</v>
      </c>
      <c r="I27" t="s" s="51">
        <v>67</v>
      </c>
      <c r="J27" t="s" s="38">
        <v>77</v>
      </c>
      <c r="K27" s="52">
        <v>9392.16</v>
      </c>
      <c r="L27" s="52">
        <v>1143.45</v>
      </c>
      <c r="M27" s="52"/>
      <c r="N27" s="52"/>
      <c r="O27" s="52"/>
      <c r="P27" s="40">
        <f>K27-L27-O27+N27</f>
        <v>8248.709999999999</v>
      </c>
      <c r="Q27" s="52"/>
      <c r="R27" s="52"/>
      <c r="S27" s="40">
        <f>L27</f>
        <v>1143.45</v>
      </c>
      <c r="T27" s="52">
        <f>P27+R27-Q27+M27</f>
        <v>8248.709999999999</v>
      </c>
      <c r="U27" s="52">
        <f>T27-V27-W27-X27</f>
        <v>7258.8648</v>
      </c>
      <c r="V27" s="41">
        <f>P27*0.03</f>
        <v>247.4613</v>
      </c>
      <c r="W27" s="41">
        <f>P27*0.04</f>
        <v>329.9484</v>
      </c>
      <c r="X27" s="41">
        <f>P27*0.05</f>
        <v>412.4355</v>
      </c>
      <c r="Y27" s="42">
        <f>P27*0.05</f>
        <v>412.4355</v>
      </c>
      <c r="Z27" s="52">
        <f>T27-Y27</f>
        <v>7836.2745</v>
      </c>
      <c r="AA27" s="52">
        <f>U27-Y27</f>
        <v>6846.4293</v>
      </c>
      <c r="AB27" s="43"/>
      <c r="AC27" t="s" s="51">
        <v>0</v>
      </c>
      <c r="AD27" t="s" s="51">
        <v>0</v>
      </c>
      <c r="AE27" t="s" s="51">
        <v>0</v>
      </c>
      <c r="AF27" t="s" s="44">
        <v>0</v>
      </c>
      <c r="AG27" s="54"/>
      <c r="AH27" s="52"/>
      <c r="AI27" s="41">
        <f>AH27-T27-U27</f>
        <v>-15507.5748</v>
      </c>
      <c r="AJ27" t="s" s="44">
        <v>0</v>
      </c>
      <c r="AK27" s="54"/>
      <c r="AL27" s="52"/>
      <c r="AM27" s="41">
        <f>AL27-Z27-AA27</f>
        <v>-14682.7038</v>
      </c>
      <c r="AN27" t="s" s="44">
        <v>0</v>
      </c>
      <c r="AO27" s="54"/>
      <c r="AP27" s="52"/>
      <c r="AQ27" s="41">
        <f>AP27-Y27</f>
        <v>-412.4355</v>
      </c>
      <c r="AR27" s="51"/>
      <c r="AS27" s="55">
        <v>0</v>
      </c>
    </row>
    <row r="28" ht="54.85" customHeight="1">
      <c r="A28" t="s" s="2">
        <v>0</v>
      </c>
      <c r="B28" s="33"/>
      <c r="C28" s="34"/>
      <c r="D28" s="35"/>
      <c r="E28" s="34"/>
      <c r="F28" s="36"/>
      <c r="G28" s="34"/>
      <c r="H28" s="34"/>
      <c r="I28" t="s" s="37">
        <v>0</v>
      </c>
      <c r="J28" s="38"/>
      <c r="K28" s="39"/>
      <c r="L28" s="39"/>
      <c r="M28" s="39"/>
      <c r="N28" s="39"/>
      <c r="O28" s="39"/>
      <c r="P28" s="40">
        <f>K28-L28-O28+N28</f>
        <v>0</v>
      </c>
      <c r="Q28" s="39"/>
      <c r="R28" s="39"/>
      <c r="S28" s="40">
        <f>L28</f>
        <v>0</v>
      </c>
      <c r="T28" s="39">
        <f>P28+R28-Q28+M28</f>
        <v>0</v>
      </c>
      <c r="U28" s="39">
        <f>T28-V28-W28-X28</f>
        <v>0</v>
      </c>
      <c r="V28" s="41">
        <f>P28*0.03</f>
        <v>0</v>
      </c>
      <c r="W28" s="41">
        <f>P28*0.04</f>
        <v>0</v>
      </c>
      <c r="X28" s="41">
        <f>P28*0.05</f>
        <v>0</v>
      </c>
      <c r="Y28" s="42">
        <f>P28*0.05</f>
        <v>0</v>
      </c>
      <c r="Z28" s="39">
        <f>T28-Y28</f>
        <v>0</v>
      </c>
      <c r="AA28" s="39">
        <f>U28-Y28</f>
        <v>0</v>
      </c>
      <c r="AB28" s="43"/>
      <c r="AC28" t="s" s="37">
        <v>0</v>
      </c>
      <c r="AD28" t="s" s="37">
        <v>0</v>
      </c>
      <c r="AE28" t="s" s="37">
        <v>0</v>
      </c>
      <c r="AF28" t="s" s="44">
        <v>0</v>
      </c>
      <c r="AG28" s="45"/>
      <c r="AH28" s="39"/>
      <c r="AI28" s="41">
        <f>AH28-T28-U28</f>
        <v>0</v>
      </c>
      <c r="AJ28" t="s" s="44">
        <v>0</v>
      </c>
      <c r="AK28" s="45"/>
      <c r="AL28" s="39"/>
      <c r="AM28" s="41">
        <f>AL28-Z28-AA28</f>
        <v>0</v>
      </c>
      <c r="AN28" t="s" s="44">
        <v>0</v>
      </c>
      <c r="AO28" s="45"/>
      <c r="AP28" s="39"/>
      <c r="AQ28" s="41">
        <f>AP28-Y28</f>
        <v>0</v>
      </c>
      <c r="AR28" s="37"/>
      <c r="AS28" s="46">
        <v>0</v>
      </c>
    </row>
    <row r="29" ht="54.85" customHeight="1">
      <c r="A29" t="s" s="2">
        <v>0</v>
      </c>
      <c r="B29" s="33">
        <v>45989</v>
      </c>
      <c r="C29" t="s" s="47">
        <v>89</v>
      </c>
      <c r="D29" t="s" s="48">
        <v>64</v>
      </c>
      <c r="E29" t="s" s="49">
        <v>165</v>
      </c>
      <c r="F29" s="50"/>
      <c r="G29" s="49"/>
      <c r="H29" t="s" s="49">
        <v>166</v>
      </c>
      <c r="I29" t="s" s="51">
        <v>81</v>
      </c>
      <c r="J29" t="s" s="38">
        <v>167</v>
      </c>
      <c r="K29" s="52">
        <v>9752</v>
      </c>
      <c r="L29" s="52">
        <v>1842.75</v>
      </c>
      <c r="M29" s="52">
        <v>204</v>
      </c>
      <c r="N29" s="52"/>
      <c r="O29" s="52"/>
      <c r="P29" s="40">
        <f>K29-L29-O29+N29</f>
        <v>7909.25</v>
      </c>
      <c r="Q29" s="52"/>
      <c r="R29" s="52"/>
      <c r="S29" s="40">
        <f>L29+M29</f>
        <v>2046.75</v>
      </c>
      <c r="T29" s="78">
        <f>P29+R29-Q29</f>
        <v>7909.25</v>
      </c>
      <c r="U29" s="52">
        <f>T29-V29-W29-X29</f>
        <v>6960.14</v>
      </c>
      <c r="V29" s="41">
        <f>P29*0.03</f>
        <v>237.2775</v>
      </c>
      <c r="W29" s="41">
        <f>P29*0.04</f>
        <v>316.37</v>
      </c>
      <c r="X29" s="41">
        <f>P29*0.05</f>
        <v>395.4625</v>
      </c>
      <c r="Y29" s="42">
        <f>P29*0.05</f>
        <v>395.4625</v>
      </c>
      <c r="Z29" s="78">
        <f>T29-Y29</f>
        <v>7513.7875</v>
      </c>
      <c r="AA29" s="52">
        <f>U29-Y29</f>
        <v>6564.6775</v>
      </c>
      <c r="AB29" s="43"/>
      <c r="AC29" t="s" s="51">
        <v>0</v>
      </c>
      <c r="AD29" t="s" s="51">
        <v>0</v>
      </c>
      <c r="AE29" t="s" s="51">
        <v>0</v>
      </c>
      <c r="AF29" t="s" s="44">
        <v>0</v>
      </c>
      <c r="AG29" s="54"/>
      <c r="AH29" s="52"/>
      <c r="AI29" s="41">
        <f>AH29-T29-U29</f>
        <v>-14869.39</v>
      </c>
      <c r="AJ29" t="s" s="44">
        <v>0</v>
      </c>
      <c r="AK29" s="54"/>
      <c r="AL29" s="52"/>
      <c r="AM29" s="41">
        <f>AL29-Z29-AA29</f>
        <v>-14078.465</v>
      </c>
      <c r="AN29" t="s" s="44">
        <v>0</v>
      </c>
      <c r="AO29" s="54"/>
      <c r="AP29" s="52"/>
      <c r="AQ29" s="41">
        <f>AP29-Y29</f>
        <v>-395.4625</v>
      </c>
      <c r="AR29" s="51"/>
      <c r="AS29" s="55">
        <v>0</v>
      </c>
    </row>
    <row r="30" ht="54.85" customHeight="1">
      <c r="A30" t="s" s="2">
        <v>0</v>
      </c>
      <c r="B30" s="33">
        <v>45989</v>
      </c>
      <c r="C30" t="s" s="47">
        <v>168</v>
      </c>
      <c r="D30" t="s" s="48">
        <v>64</v>
      </c>
      <c r="E30" t="s" s="34">
        <v>169</v>
      </c>
      <c r="F30" s="36"/>
      <c r="G30" s="34"/>
      <c r="H30" t="s" s="34">
        <v>170</v>
      </c>
      <c r="I30" t="s" s="37">
        <v>81</v>
      </c>
      <c r="J30" t="s" s="38">
        <v>171</v>
      </c>
      <c r="K30" s="39">
        <v>14899.2</v>
      </c>
      <c r="L30" s="39">
        <v>1248.75</v>
      </c>
      <c r="M30" s="39">
        <v>116</v>
      </c>
      <c r="N30" s="39"/>
      <c r="O30" s="39"/>
      <c r="P30" s="40">
        <f>K30-L30-O30+N30</f>
        <v>13650.45</v>
      </c>
      <c r="Q30" s="39"/>
      <c r="R30" s="39"/>
      <c r="S30" s="40">
        <f>L30+M30</f>
        <v>1364.75</v>
      </c>
      <c r="T30" s="79">
        <f>P30+R30-Q30</f>
        <v>13650.45</v>
      </c>
      <c r="U30" s="39">
        <f>T30-V30-W30-X30</f>
        <v>12012.396</v>
      </c>
      <c r="V30" s="41">
        <f>P30*0.03</f>
        <v>409.5135</v>
      </c>
      <c r="W30" s="41">
        <f>P30*0.04</f>
        <v>546.018</v>
      </c>
      <c r="X30" s="41">
        <f>P30*0.05</f>
        <v>682.5225</v>
      </c>
      <c r="Y30" s="42">
        <f>P30*0.05</f>
        <v>682.5225</v>
      </c>
      <c r="Z30" s="79">
        <f>T30-Y30</f>
        <v>12967.9275</v>
      </c>
      <c r="AA30" s="39">
        <f>U30-Y30</f>
        <v>11329.8735</v>
      </c>
      <c r="AB30" s="43"/>
      <c r="AC30" t="s" s="37">
        <v>0</v>
      </c>
      <c r="AD30" t="s" s="37">
        <v>0</v>
      </c>
      <c r="AE30" t="s" s="37">
        <v>0</v>
      </c>
      <c r="AF30" t="s" s="44">
        <v>0</v>
      </c>
      <c r="AG30" s="45"/>
      <c r="AH30" s="39"/>
      <c r="AI30" s="41">
        <f>AH30-T30-U30</f>
        <v>-25662.846</v>
      </c>
      <c r="AJ30" t="s" s="44">
        <v>0</v>
      </c>
      <c r="AK30" s="45"/>
      <c r="AL30" s="39"/>
      <c r="AM30" s="41">
        <f>AL30-Z30-AA30</f>
        <v>-24297.801</v>
      </c>
      <c r="AN30" t="s" s="44">
        <v>0</v>
      </c>
      <c r="AO30" s="45"/>
      <c r="AP30" s="39"/>
      <c r="AQ30" s="41">
        <f>AP30-Y30</f>
        <v>-682.5225</v>
      </c>
      <c r="AR30" s="37"/>
      <c r="AS30" s="46">
        <v>0</v>
      </c>
    </row>
    <row r="31" ht="54.85" customHeight="1">
      <c r="A31" t="s" s="2">
        <v>0</v>
      </c>
      <c r="B31" s="33">
        <v>45989</v>
      </c>
      <c r="C31" t="s" s="47">
        <v>172</v>
      </c>
      <c r="D31" t="s" s="48">
        <v>64</v>
      </c>
      <c r="E31" t="s" s="49">
        <v>173</v>
      </c>
      <c r="F31" s="50"/>
      <c r="G31" s="49"/>
      <c r="H31" t="s" s="49">
        <v>174</v>
      </c>
      <c r="I31" t="s" s="51">
        <v>67</v>
      </c>
      <c r="J31" t="s" s="38">
        <v>171</v>
      </c>
      <c r="K31" s="52">
        <v>31438.8</v>
      </c>
      <c r="L31" s="52">
        <v>7148.25</v>
      </c>
      <c r="M31" s="52">
        <v>688</v>
      </c>
      <c r="N31" s="52"/>
      <c r="O31" s="52"/>
      <c r="P31" s="40">
        <f>K31-L31-O31+N31</f>
        <v>24290.55</v>
      </c>
      <c r="Q31" s="52"/>
      <c r="R31" s="52"/>
      <c r="S31" s="40">
        <f>L31+M31</f>
        <v>7836.25</v>
      </c>
      <c r="T31" s="78">
        <f>P31+R31-Q31</f>
        <v>24290.55</v>
      </c>
      <c r="U31" s="52">
        <f>T31-V31-W31-X31</f>
        <v>21375.684</v>
      </c>
      <c r="V31" s="41">
        <f>P31*0.03</f>
        <v>728.7165</v>
      </c>
      <c r="W31" s="41">
        <f>P31*0.04</f>
        <v>971.622</v>
      </c>
      <c r="X31" s="41">
        <f>P31*0.05</f>
        <v>1214.5275</v>
      </c>
      <c r="Y31" s="42">
        <f>P31*0.05</f>
        <v>1214.5275</v>
      </c>
      <c r="Z31" s="78">
        <f>T31-Y31</f>
        <v>23076.0225</v>
      </c>
      <c r="AA31" s="52">
        <f>U31-Y31</f>
        <v>20161.1565</v>
      </c>
      <c r="AB31" s="43"/>
      <c r="AC31" t="s" s="51">
        <v>0</v>
      </c>
      <c r="AD31" t="s" s="51">
        <v>0</v>
      </c>
      <c r="AE31" t="s" s="51">
        <v>0</v>
      </c>
      <c r="AF31" t="s" s="44">
        <v>0</v>
      </c>
      <c r="AG31" s="54"/>
      <c r="AH31" s="52"/>
      <c r="AI31" s="41">
        <f>AH31-T31-U31</f>
        <v>-45666.234</v>
      </c>
      <c r="AJ31" t="s" s="44">
        <v>0</v>
      </c>
      <c r="AK31" s="54"/>
      <c r="AL31" s="52"/>
      <c r="AM31" s="41">
        <f>AL31-Z31-AA31</f>
        <v>-43237.179</v>
      </c>
      <c r="AN31" t="s" s="44">
        <v>0</v>
      </c>
      <c r="AO31" s="54"/>
      <c r="AP31" s="52"/>
      <c r="AQ31" s="41">
        <f>AP31-Y31</f>
        <v>-1214.5275</v>
      </c>
      <c r="AR31" s="51"/>
      <c r="AS31" s="55">
        <v>0</v>
      </c>
    </row>
    <row r="32" ht="54.85" customHeight="1">
      <c r="A32" t="s" s="2">
        <v>0</v>
      </c>
      <c r="B32" s="33">
        <v>45989</v>
      </c>
      <c r="C32" t="s" s="47">
        <v>104</v>
      </c>
      <c r="D32" t="s" s="48">
        <v>64</v>
      </c>
      <c r="E32" t="s" s="34">
        <v>175</v>
      </c>
      <c r="F32" s="36"/>
      <c r="G32" s="34"/>
      <c r="H32" t="s" s="34">
        <v>176</v>
      </c>
      <c r="I32" t="s" s="37">
        <v>67</v>
      </c>
      <c r="J32" t="s" s="38">
        <v>107</v>
      </c>
      <c r="K32" s="39">
        <v>25484</v>
      </c>
      <c r="L32" s="39">
        <v>5109.75</v>
      </c>
      <c r="M32" s="39">
        <v>556</v>
      </c>
      <c r="N32" s="39"/>
      <c r="O32" s="39"/>
      <c r="P32" s="40">
        <f>K32-L32-O32+N32</f>
        <v>20374.25</v>
      </c>
      <c r="Q32" s="39"/>
      <c r="R32" s="39"/>
      <c r="S32" s="40">
        <f>L32+M32</f>
        <v>5665.75</v>
      </c>
      <c r="T32" s="79">
        <f>P32+R32-Q32</f>
        <v>20374.25</v>
      </c>
      <c r="U32" s="39">
        <f>T32-V32-W32-X32</f>
        <v>17929.34</v>
      </c>
      <c r="V32" s="41">
        <f>P32*0.03</f>
        <v>611.2275</v>
      </c>
      <c r="W32" s="41">
        <f>P32*0.04</f>
        <v>814.97</v>
      </c>
      <c r="X32" s="41">
        <f>P32*0.05</f>
        <v>1018.7125</v>
      </c>
      <c r="Y32" s="42">
        <f>P32*0.05</f>
        <v>1018.7125</v>
      </c>
      <c r="Z32" s="79">
        <f>T32-Y32</f>
        <v>19355.5375</v>
      </c>
      <c r="AA32" s="39">
        <f>U32-Y32</f>
        <v>16910.6275</v>
      </c>
      <c r="AB32" s="43"/>
      <c r="AC32" t="s" s="37">
        <v>0</v>
      </c>
      <c r="AD32" t="s" s="37">
        <v>0</v>
      </c>
      <c r="AE32" t="s" s="37">
        <v>0</v>
      </c>
      <c r="AF32" t="s" s="44">
        <v>0</v>
      </c>
      <c r="AG32" s="45"/>
      <c r="AH32" s="39"/>
      <c r="AI32" s="41">
        <f>AH32-T32-U32</f>
        <v>-38303.59</v>
      </c>
      <c r="AJ32" t="s" s="44">
        <v>0</v>
      </c>
      <c r="AK32" s="45"/>
      <c r="AL32" s="39"/>
      <c r="AM32" s="41">
        <f>AL32-Z32-AA32</f>
        <v>-36266.165</v>
      </c>
      <c r="AN32" t="s" s="44">
        <v>0</v>
      </c>
      <c r="AO32" s="45"/>
      <c r="AP32" s="39"/>
      <c r="AQ32" s="41">
        <f>AP32-Y32</f>
        <v>-1018.7125</v>
      </c>
      <c r="AR32" s="37"/>
      <c r="AS32" s="46">
        <v>0</v>
      </c>
    </row>
    <row r="33" ht="54.85" customHeight="1">
      <c r="A33" t="s" s="2">
        <v>0</v>
      </c>
      <c r="B33" s="33"/>
      <c r="C33" s="37"/>
      <c r="D33" s="35"/>
      <c r="E33" s="49"/>
      <c r="F33" s="50"/>
      <c r="G33" s="49"/>
      <c r="H33" s="49"/>
      <c r="I33" s="51"/>
      <c r="J33" s="38"/>
      <c r="K33" s="52"/>
      <c r="L33" s="52"/>
      <c r="M33" s="52"/>
      <c r="N33" s="52"/>
      <c r="O33" s="52"/>
      <c r="P33" s="40">
        <f>K33-L33-O33+N33</f>
        <v>0</v>
      </c>
      <c r="Q33" s="52"/>
      <c r="R33" s="52"/>
      <c r="S33" s="40">
        <f>L33</f>
        <v>0</v>
      </c>
      <c r="T33" s="52">
        <f>P33+R33-Q33+M33</f>
        <v>0</v>
      </c>
      <c r="U33" s="52">
        <f>T33-V33-W33-X33</f>
        <v>0</v>
      </c>
      <c r="V33" s="41">
        <f>P33*0.03</f>
        <v>0</v>
      </c>
      <c r="W33" s="41">
        <f>P33*0.04</f>
        <v>0</v>
      </c>
      <c r="X33" s="41">
        <f>P33*0.05</f>
        <v>0</v>
      </c>
      <c r="Y33" s="42">
        <f>P33*0.05</f>
        <v>0</v>
      </c>
      <c r="Z33" s="52">
        <f>T33-Y33</f>
        <v>0</v>
      </c>
      <c r="AA33" s="52">
        <f>U33-Y33</f>
        <v>0</v>
      </c>
      <c r="AB33" s="43"/>
      <c r="AC33" t="s" s="51">
        <v>0</v>
      </c>
      <c r="AD33" t="s" s="51">
        <v>0</v>
      </c>
      <c r="AE33" t="s" s="51">
        <v>0</v>
      </c>
      <c r="AF33" t="s" s="44">
        <v>0</v>
      </c>
      <c r="AG33" s="54"/>
      <c r="AH33" s="52"/>
      <c r="AI33" s="41">
        <f>AH33-T33-U33</f>
        <v>0</v>
      </c>
      <c r="AJ33" t="s" s="44">
        <v>0</v>
      </c>
      <c r="AK33" s="54"/>
      <c r="AL33" s="52"/>
      <c r="AM33" s="41">
        <f>AL33-Z33-AA33</f>
        <v>0</v>
      </c>
      <c r="AN33" t="s" s="44">
        <v>0</v>
      </c>
      <c r="AO33" s="54"/>
      <c r="AP33" s="52"/>
      <c r="AQ33" s="41">
        <f>AP33-Y33</f>
        <v>0</v>
      </c>
      <c r="AR33" s="51"/>
      <c r="AS33" s="55">
        <v>0</v>
      </c>
    </row>
    <row r="34" ht="54.85" customHeight="1">
      <c r="A34" t="s" s="2">
        <v>0</v>
      </c>
      <c r="B34" s="33">
        <v>46003</v>
      </c>
      <c r="C34" t="s" s="47">
        <v>73</v>
      </c>
      <c r="D34" t="s" s="48">
        <v>64</v>
      </c>
      <c r="E34" t="s" s="34">
        <v>173</v>
      </c>
      <c r="F34" s="36"/>
      <c r="G34" s="34"/>
      <c r="H34" t="s" s="34">
        <v>177</v>
      </c>
      <c r="I34" t="s" s="37">
        <v>67</v>
      </c>
      <c r="J34" t="s" s="38">
        <v>77</v>
      </c>
      <c r="K34" s="39">
        <v>24660.9</v>
      </c>
      <c r="L34" s="39">
        <v>2948.4</v>
      </c>
      <c r="M34" s="39">
        <v>390</v>
      </c>
      <c r="N34" s="39"/>
      <c r="O34" s="39"/>
      <c r="P34" s="40">
        <f>K34-L34-O34+N34</f>
        <v>21712.5</v>
      </c>
      <c r="Q34" s="39"/>
      <c r="R34" s="39"/>
      <c r="S34" s="40">
        <f>L34</f>
        <v>2948.4</v>
      </c>
      <c r="T34" s="39">
        <f>P34+R34-Q34+M34</f>
        <v>22102.5</v>
      </c>
      <c r="U34" s="39">
        <f>T34-V34-W34-X34</f>
        <v>19497</v>
      </c>
      <c r="V34" s="41">
        <f>P34*0.03</f>
        <v>651.375</v>
      </c>
      <c r="W34" s="41">
        <f>P34*0.04</f>
        <v>868.5</v>
      </c>
      <c r="X34" s="41">
        <f>P34*0.05</f>
        <v>1085.625</v>
      </c>
      <c r="Y34" s="42">
        <f>P34*0.05</f>
        <v>1085.625</v>
      </c>
      <c r="Z34" s="39">
        <f>T34-Y34</f>
        <v>21016.875</v>
      </c>
      <c r="AA34" s="39">
        <f>U34-Y34</f>
        <v>18411.375</v>
      </c>
      <c r="AB34" s="43"/>
      <c r="AC34" t="s" s="37">
        <v>0</v>
      </c>
      <c r="AD34" t="s" s="37">
        <v>0</v>
      </c>
      <c r="AE34" t="s" s="37">
        <v>0</v>
      </c>
      <c r="AF34" t="s" s="44">
        <v>0</v>
      </c>
      <c r="AG34" s="45"/>
      <c r="AH34" s="39"/>
      <c r="AI34" s="41">
        <f>AH34-T34-U34</f>
        <v>-41599.5</v>
      </c>
      <c r="AJ34" t="s" s="44">
        <v>0</v>
      </c>
      <c r="AK34" s="45"/>
      <c r="AL34" s="39"/>
      <c r="AM34" s="41">
        <f>AL34-Z34-AA34</f>
        <v>-39428.25</v>
      </c>
      <c r="AN34" t="s" s="44">
        <v>0</v>
      </c>
      <c r="AO34" s="45"/>
      <c r="AP34" s="39"/>
      <c r="AQ34" s="41">
        <f>AP34-Y34</f>
        <v>-1085.625</v>
      </c>
      <c r="AR34" s="37"/>
      <c r="AS34" s="46">
        <v>0</v>
      </c>
    </row>
    <row r="35" ht="54.85" customHeight="1">
      <c r="A35" t="s" s="2">
        <v>0</v>
      </c>
      <c r="B35" s="33">
        <v>46003</v>
      </c>
      <c r="C35" t="s" s="47">
        <v>63</v>
      </c>
      <c r="D35" t="s" s="48">
        <v>64</v>
      </c>
      <c r="E35" t="s" s="49">
        <v>178</v>
      </c>
      <c r="F35" s="50"/>
      <c r="G35" s="49"/>
      <c r="H35" t="s" s="49">
        <v>179</v>
      </c>
      <c r="I35" t="s" s="51">
        <v>67</v>
      </c>
      <c r="J35" t="s" s="38">
        <v>68</v>
      </c>
      <c r="K35" s="52">
        <v>77481</v>
      </c>
      <c r="L35" s="52">
        <v>19417.86</v>
      </c>
      <c r="M35" s="52">
        <v>2365</v>
      </c>
      <c r="N35" s="52"/>
      <c r="O35" s="52"/>
      <c r="P35" s="40">
        <f>K35-L35-O35+N35</f>
        <v>58063.14</v>
      </c>
      <c r="Q35" s="52"/>
      <c r="R35" s="52"/>
      <c r="S35" s="40">
        <f>L35</f>
        <v>19417.86</v>
      </c>
      <c r="T35" s="52">
        <f>P35+R35-Q35+M35</f>
        <v>60428.14</v>
      </c>
      <c r="U35" s="52">
        <f>T35-V35-W35-X35</f>
        <v>53460.5632</v>
      </c>
      <c r="V35" s="41">
        <f>P35*0.03</f>
        <v>1741.8942</v>
      </c>
      <c r="W35" s="41">
        <f>P35*0.04</f>
        <v>2322.5256</v>
      </c>
      <c r="X35" s="41">
        <f>P35*0.05</f>
        <v>2903.157</v>
      </c>
      <c r="Y35" s="42">
        <f>P35*0.05</f>
        <v>2903.157</v>
      </c>
      <c r="Z35" s="52">
        <f>T35-Y35</f>
        <v>57524.983</v>
      </c>
      <c r="AA35" s="52">
        <f>U35-Y35</f>
        <v>50557.4062</v>
      </c>
      <c r="AB35" s="43"/>
      <c r="AC35" t="s" s="51">
        <v>0</v>
      </c>
      <c r="AD35" t="s" s="51">
        <v>0</v>
      </c>
      <c r="AE35" t="s" s="51">
        <v>0</v>
      </c>
      <c r="AF35" t="s" s="44">
        <v>0</v>
      </c>
      <c r="AG35" s="54"/>
      <c r="AH35" s="52"/>
      <c r="AI35" s="41">
        <f>AH35-T35-U35</f>
        <v>-113888.7032</v>
      </c>
      <c r="AJ35" t="s" s="44">
        <v>0</v>
      </c>
      <c r="AK35" s="54"/>
      <c r="AL35" s="52"/>
      <c r="AM35" s="41">
        <f>AL35-Z35-AA35</f>
        <v>-108082.3892</v>
      </c>
      <c r="AN35" t="s" s="44">
        <v>0</v>
      </c>
      <c r="AO35" s="54"/>
      <c r="AP35" s="52"/>
      <c r="AQ35" s="41">
        <f>AP35-Y35</f>
        <v>-2903.157</v>
      </c>
      <c r="AR35" s="51"/>
      <c r="AS35" s="55">
        <v>0</v>
      </c>
    </row>
    <row r="36" ht="54.85" customHeight="1">
      <c r="A36" t="s" s="2">
        <v>0</v>
      </c>
      <c r="B36" s="33">
        <v>46003</v>
      </c>
      <c r="C36" t="s" s="47">
        <v>180</v>
      </c>
      <c r="D36" t="s" s="48">
        <v>64</v>
      </c>
      <c r="E36" t="s" s="34">
        <v>181</v>
      </c>
      <c r="F36" s="36"/>
      <c r="G36" s="34"/>
      <c r="H36" t="s" s="34">
        <v>182</v>
      </c>
      <c r="I36" t="s" s="37">
        <v>67</v>
      </c>
      <c r="J36" t="s" s="38">
        <v>171</v>
      </c>
      <c r="K36" s="53">
        <v>33205.5</v>
      </c>
      <c r="L36" s="39">
        <v>3471.3</v>
      </c>
      <c r="M36" s="39">
        <v>455</v>
      </c>
      <c r="N36" s="39"/>
      <c r="O36" s="53">
        <v>1609.75</v>
      </c>
      <c r="P36" s="40">
        <f>K36-L36-O36+N36</f>
        <v>28124.45</v>
      </c>
      <c r="Q36" s="39"/>
      <c r="R36" s="39"/>
      <c r="S36" s="40">
        <f>L36</f>
        <v>3471.3</v>
      </c>
      <c r="T36" s="39">
        <f>P36+R36-Q36+M36</f>
        <v>28579.45</v>
      </c>
      <c r="U36" s="39">
        <f>T36-V36-W36-X36</f>
        <v>25204.516</v>
      </c>
      <c r="V36" s="41">
        <f>P36*0.03</f>
        <v>843.7335</v>
      </c>
      <c r="W36" s="41">
        <f>P36*0.04</f>
        <v>1124.978</v>
      </c>
      <c r="X36" s="41">
        <f>P36*0.05</f>
        <v>1406.2225</v>
      </c>
      <c r="Y36" s="42">
        <f>P36*0.05</f>
        <v>1406.2225</v>
      </c>
      <c r="Z36" s="39">
        <f>T36-Y36</f>
        <v>27173.2275</v>
      </c>
      <c r="AA36" s="39">
        <f>U36-Y36</f>
        <v>23798.2935</v>
      </c>
      <c r="AB36" s="43"/>
      <c r="AC36" t="s" s="37">
        <v>0</v>
      </c>
      <c r="AD36" t="s" s="37">
        <v>0</v>
      </c>
      <c r="AE36" t="s" s="37">
        <v>0</v>
      </c>
      <c r="AF36" t="s" s="44">
        <v>0</v>
      </c>
      <c r="AG36" s="45"/>
      <c r="AH36" s="39"/>
      <c r="AI36" s="41">
        <f>AH36-T36-U36</f>
        <v>-53783.966</v>
      </c>
      <c r="AJ36" t="s" s="44">
        <v>0</v>
      </c>
      <c r="AK36" s="45"/>
      <c r="AL36" s="39"/>
      <c r="AM36" s="41">
        <f>AL36-Z36-AA36</f>
        <v>-50971.521</v>
      </c>
      <c r="AN36" t="s" s="44">
        <v>0</v>
      </c>
      <c r="AO36" s="45"/>
      <c r="AP36" s="39"/>
      <c r="AQ36" s="41">
        <f>AP36-Y36</f>
        <v>-1406.2225</v>
      </c>
      <c r="AR36" s="37"/>
      <c r="AS36" s="46">
        <v>0</v>
      </c>
    </row>
    <row r="37" ht="54.85" customHeight="1">
      <c r="A37" t="s" s="2">
        <v>0</v>
      </c>
      <c r="B37" s="33"/>
      <c r="C37" s="37"/>
      <c r="D37" s="35"/>
      <c r="E37" s="49"/>
      <c r="F37" s="50"/>
      <c r="G37" s="49"/>
      <c r="H37" s="49"/>
      <c r="I37" t="s" s="51">
        <v>0</v>
      </c>
      <c r="J37" s="38"/>
      <c r="K37" s="52"/>
      <c r="L37" s="52"/>
      <c r="M37" s="52"/>
      <c r="N37" s="52"/>
      <c r="O37" s="52"/>
      <c r="P37" s="40">
        <f>K37-L37-O37+N37</f>
        <v>0</v>
      </c>
      <c r="Q37" s="52"/>
      <c r="R37" s="52"/>
      <c r="S37" s="40">
        <f>L37</f>
        <v>0</v>
      </c>
      <c r="T37" s="52">
        <f>P37+R37-Q37+M37</f>
        <v>0</v>
      </c>
      <c r="U37" s="52">
        <f>T37-V37-W37-X37</f>
        <v>0</v>
      </c>
      <c r="V37" s="41">
        <f>P37*0.03</f>
        <v>0</v>
      </c>
      <c r="W37" s="41">
        <f>P37*0.04</f>
        <v>0</v>
      </c>
      <c r="X37" s="41">
        <f>P37*0.05</f>
        <v>0</v>
      </c>
      <c r="Y37" s="42">
        <f>P37*0.05</f>
        <v>0</v>
      </c>
      <c r="Z37" s="52">
        <f>T37-Y37</f>
        <v>0</v>
      </c>
      <c r="AA37" s="52">
        <f>U37-Y37</f>
        <v>0</v>
      </c>
      <c r="AB37" s="43"/>
      <c r="AC37" t="s" s="51">
        <v>0</v>
      </c>
      <c r="AD37" t="s" s="51">
        <v>0</v>
      </c>
      <c r="AE37" t="s" s="51">
        <v>0</v>
      </c>
      <c r="AF37" t="s" s="44">
        <v>0</v>
      </c>
      <c r="AG37" s="54"/>
      <c r="AH37" s="52"/>
      <c r="AI37" s="41">
        <f>AH37-T37-U37</f>
        <v>0</v>
      </c>
      <c r="AJ37" t="s" s="44">
        <v>0</v>
      </c>
      <c r="AK37" s="54"/>
      <c r="AL37" s="52"/>
      <c r="AM37" s="41">
        <f>AL37-Z37-AA37</f>
        <v>0</v>
      </c>
      <c r="AN37" t="s" s="44">
        <v>0</v>
      </c>
      <c r="AO37" s="54"/>
      <c r="AP37" s="52"/>
      <c r="AQ37" s="41">
        <f>AP37-Y37</f>
        <v>0</v>
      </c>
      <c r="AR37" s="51"/>
      <c r="AS37" s="55">
        <v>0</v>
      </c>
    </row>
    <row r="38" ht="54.85" customHeight="1">
      <c r="A38" t="s" s="2">
        <v>0</v>
      </c>
      <c r="B38" s="33"/>
      <c r="C38" s="37"/>
      <c r="D38" s="35"/>
      <c r="E38" s="34"/>
      <c r="F38" s="36"/>
      <c r="G38" s="34"/>
      <c r="H38" s="34"/>
      <c r="I38" t="s" s="37">
        <v>0</v>
      </c>
      <c r="J38" s="38"/>
      <c r="K38" s="39"/>
      <c r="L38" s="39"/>
      <c r="M38" s="39"/>
      <c r="N38" s="39"/>
      <c r="O38" s="39"/>
      <c r="P38" s="40">
        <f>K38-L38-O38+N38</f>
        <v>0</v>
      </c>
      <c r="Q38" s="39"/>
      <c r="R38" s="39"/>
      <c r="S38" s="40">
        <f>L38</f>
        <v>0</v>
      </c>
      <c r="T38" s="39">
        <f>P38+R38-Q38+M38</f>
        <v>0</v>
      </c>
      <c r="U38" s="39">
        <f>T38-V38-W38-X38</f>
        <v>0</v>
      </c>
      <c r="V38" s="41">
        <f>P38*0.03</f>
        <v>0</v>
      </c>
      <c r="W38" s="41">
        <f>P38*0.04</f>
        <v>0</v>
      </c>
      <c r="X38" s="41">
        <f>P38*0.05</f>
        <v>0</v>
      </c>
      <c r="Y38" s="42">
        <f>P38*0.05</f>
        <v>0</v>
      </c>
      <c r="Z38" s="39">
        <f>T38-Y38</f>
        <v>0</v>
      </c>
      <c r="AA38" s="39">
        <f>U38-Y38</f>
        <v>0</v>
      </c>
      <c r="AB38" s="43"/>
      <c r="AC38" t="s" s="37">
        <v>0</v>
      </c>
      <c r="AD38" t="s" s="37">
        <v>0</v>
      </c>
      <c r="AE38" t="s" s="37">
        <v>0</v>
      </c>
      <c r="AF38" t="s" s="44">
        <v>0</v>
      </c>
      <c r="AG38" s="45"/>
      <c r="AH38" s="39"/>
      <c r="AI38" s="41">
        <f>AH38-T38-U38</f>
        <v>0</v>
      </c>
      <c r="AJ38" t="s" s="44">
        <v>0</v>
      </c>
      <c r="AK38" s="45"/>
      <c r="AL38" s="39"/>
      <c r="AM38" s="41">
        <f>AL38-Z38-AA38</f>
        <v>0</v>
      </c>
      <c r="AN38" t="s" s="44">
        <v>0</v>
      </c>
      <c r="AO38" s="45"/>
      <c r="AP38" s="39"/>
      <c r="AQ38" s="41">
        <f>AP38-Y38</f>
        <v>0</v>
      </c>
      <c r="AR38" s="37"/>
      <c r="AS38" s="46">
        <v>0</v>
      </c>
    </row>
    <row r="39" ht="54.85" customHeight="1">
      <c r="A39" t="s" s="2">
        <v>0</v>
      </c>
      <c r="B39" s="33"/>
      <c r="C39" s="37"/>
      <c r="D39" s="35"/>
      <c r="E39" s="49"/>
      <c r="F39" s="50"/>
      <c r="G39" s="49"/>
      <c r="H39" s="49"/>
      <c r="I39" t="s" s="51">
        <v>0</v>
      </c>
      <c r="J39" s="38"/>
      <c r="K39" s="52"/>
      <c r="L39" s="52"/>
      <c r="M39" s="52"/>
      <c r="N39" s="52"/>
      <c r="O39" s="52"/>
      <c r="P39" s="40">
        <f>K39-L39-O39+N39</f>
        <v>0</v>
      </c>
      <c r="Q39" s="52"/>
      <c r="R39" s="52"/>
      <c r="S39" s="40">
        <f>L39</f>
        <v>0</v>
      </c>
      <c r="T39" s="52">
        <f>P39+R39-Q39+M39</f>
        <v>0</v>
      </c>
      <c r="U39" s="52">
        <f>T39-V39-W39-X39</f>
        <v>0</v>
      </c>
      <c r="V39" s="41">
        <f>P39*0.03</f>
        <v>0</v>
      </c>
      <c r="W39" s="41">
        <f>P39*0.04</f>
        <v>0</v>
      </c>
      <c r="X39" s="41">
        <f>P39*0.05</f>
        <v>0</v>
      </c>
      <c r="Y39" s="42">
        <f>P39*0.05</f>
        <v>0</v>
      </c>
      <c r="Z39" s="52">
        <f>T39-Y39</f>
        <v>0</v>
      </c>
      <c r="AA39" s="52">
        <f>U39-Y39</f>
        <v>0</v>
      </c>
      <c r="AB39" s="43"/>
      <c r="AC39" t="s" s="51">
        <v>0</v>
      </c>
      <c r="AD39" t="s" s="51">
        <v>0</v>
      </c>
      <c r="AE39" t="s" s="51">
        <v>0</v>
      </c>
      <c r="AF39" t="s" s="44">
        <v>0</v>
      </c>
      <c r="AG39" s="54"/>
      <c r="AH39" s="52"/>
      <c r="AI39" s="41">
        <f>AH39-T39-U39</f>
        <v>0</v>
      </c>
      <c r="AJ39" t="s" s="44">
        <v>0</v>
      </c>
      <c r="AK39" s="54"/>
      <c r="AL39" s="52"/>
      <c r="AM39" s="41">
        <f>AL39-Z39-AA39</f>
        <v>0</v>
      </c>
      <c r="AN39" t="s" s="44">
        <v>0</v>
      </c>
      <c r="AO39" s="54"/>
      <c r="AP39" s="52"/>
      <c r="AQ39" s="41">
        <f>AP39-Y39</f>
        <v>0</v>
      </c>
      <c r="AR39" s="51"/>
      <c r="AS39" s="55">
        <v>0</v>
      </c>
    </row>
    <row r="40" ht="54.85" customHeight="1">
      <c r="A40" t="s" s="2">
        <v>0</v>
      </c>
      <c r="B40" s="33"/>
      <c r="C40" s="34"/>
      <c r="D40" s="35"/>
      <c r="E40" s="34"/>
      <c r="F40" s="36"/>
      <c r="G40" s="34"/>
      <c r="H40" s="34"/>
      <c r="I40" t="s" s="37">
        <v>0</v>
      </c>
      <c r="J40" s="38"/>
      <c r="K40" s="39"/>
      <c r="L40" s="39"/>
      <c r="M40" s="39"/>
      <c r="N40" s="39"/>
      <c r="O40" s="39"/>
      <c r="P40" s="40">
        <f>K40-L40-O40+N40</f>
        <v>0</v>
      </c>
      <c r="Q40" s="39"/>
      <c r="R40" s="39"/>
      <c r="S40" s="40">
        <f>L40</f>
        <v>0</v>
      </c>
      <c r="T40" s="39">
        <f>P40+R40-Q40+M40</f>
        <v>0</v>
      </c>
      <c r="U40" s="39">
        <f>T40-V40-W40-X40</f>
        <v>0</v>
      </c>
      <c r="V40" s="41">
        <f>P40*0.03</f>
        <v>0</v>
      </c>
      <c r="W40" s="41">
        <f>P40*0.04</f>
        <v>0</v>
      </c>
      <c r="X40" s="41">
        <f>P40*0.05</f>
        <v>0</v>
      </c>
      <c r="Y40" s="42">
        <f>P40*0.05</f>
        <v>0</v>
      </c>
      <c r="Z40" s="39">
        <f>T40-Y40</f>
        <v>0</v>
      </c>
      <c r="AA40" s="39">
        <f>U40-Y40</f>
        <v>0</v>
      </c>
      <c r="AB40" s="43"/>
      <c r="AC40" t="s" s="37">
        <v>0</v>
      </c>
      <c r="AD40" t="s" s="37">
        <v>0</v>
      </c>
      <c r="AE40" t="s" s="37">
        <v>0</v>
      </c>
      <c r="AF40" t="s" s="44">
        <v>0</v>
      </c>
      <c r="AG40" s="45"/>
      <c r="AH40" s="39"/>
      <c r="AI40" s="41">
        <f>AH40-T40-U40</f>
        <v>0</v>
      </c>
      <c r="AJ40" t="s" s="44">
        <v>0</v>
      </c>
      <c r="AK40" s="45"/>
      <c r="AL40" s="39"/>
      <c r="AM40" s="41">
        <f>AL40-Z40-AA40</f>
        <v>0</v>
      </c>
      <c r="AN40" t="s" s="44">
        <v>0</v>
      </c>
      <c r="AO40" s="45"/>
      <c r="AP40" s="39"/>
      <c r="AQ40" s="41">
        <f>AP40-Y40</f>
        <v>0</v>
      </c>
      <c r="AR40" s="37"/>
      <c r="AS40" s="46">
        <v>0</v>
      </c>
    </row>
    <row r="41" ht="59.85" customHeight="1">
      <c r="A41" t="s" s="59">
        <v>0</v>
      </c>
      <c r="B41" t="s" s="60">
        <v>115</v>
      </c>
      <c r="C41" s="61"/>
      <c r="D41" s="62"/>
      <c r="E41" s="71"/>
      <c r="F41" s="71"/>
      <c r="G41" s="71"/>
      <c r="H41" s="71"/>
      <c r="I41" s="71"/>
      <c r="J41" s="71"/>
      <c r="K41" s="64">
        <f>SUM(K4:K40)</f>
        <v>850485.5</v>
      </c>
      <c r="L41" s="64">
        <f>SUM(L4:L40)</f>
        <v>171082.18</v>
      </c>
      <c r="M41" s="64">
        <f>SUM(M4:M40)</f>
        <v>20794</v>
      </c>
      <c r="N41" s="64">
        <f>SUM(N4:N40)</f>
        <v>861</v>
      </c>
      <c r="O41" s="64">
        <f>SUM(O4:O40)</f>
        <v>6200.45</v>
      </c>
      <c r="P41" s="65">
        <f>SUM(P4:P40)</f>
        <v>674063.87</v>
      </c>
      <c r="Q41" s="64">
        <f>SUM(Q4:Q40)</f>
        <v>0</v>
      </c>
      <c r="R41" s="64">
        <f>SUM(R4:R40)</f>
        <v>0</v>
      </c>
      <c r="S41" s="64">
        <f>SUM(S4:S40)</f>
        <v>172646.18</v>
      </c>
      <c r="T41" s="64">
        <f>SUM(T4:T40)</f>
        <v>693293.87</v>
      </c>
      <c r="U41" s="64">
        <f>SUM(U4:U40)</f>
        <v>618044.0791</v>
      </c>
      <c r="V41" s="64">
        <f>SUM(V4:V40)</f>
        <v>17805.6846</v>
      </c>
      <c r="W41" s="64">
        <f>SUM(W4:W40)</f>
        <v>23740.9128</v>
      </c>
      <c r="X41" s="64">
        <f>SUM(X4:X40)</f>
        <v>33703.1935</v>
      </c>
      <c r="Y41" s="66">
        <f>SUM(Y4:Y40)</f>
        <v>33703.1935</v>
      </c>
      <c r="Z41" s="64">
        <f>SUM(Z4:Z40)</f>
        <v>659590.6764999999</v>
      </c>
      <c r="AA41" s="64">
        <f>SUM(AA4:AA40)</f>
        <v>584340.8856</v>
      </c>
      <c r="AB41" s="64"/>
      <c r="AC41" s="64"/>
      <c r="AD41" s="64"/>
      <c r="AE41" s="64"/>
      <c r="AF41" s="64"/>
      <c r="AG41" s="64"/>
      <c r="AH41" s="64">
        <f>SUM(AH4:AH40)</f>
        <v>0</v>
      </c>
      <c r="AI41" s="64">
        <f>SUM(AI4:AI40)</f>
        <v>-1311337.9491</v>
      </c>
      <c r="AJ41" s="64"/>
      <c r="AK41" s="64"/>
      <c r="AL41" s="64">
        <f>SUM(AL4:AL40)</f>
        <v>0</v>
      </c>
      <c r="AM41" s="64">
        <f>SUM(AM4:AM40)</f>
        <v>-1243931.5621</v>
      </c>
      <c r="AN41" s="64"/>
      <c r="AO41" s="64"/>
      <c r="AP41" s="64">
        <f>SUM(AP4:AP40)</f>
        <v>0</v>
      </c>
      <c r="AQ41" s="64">
        <f>SUM(AQ4:AQ40)</f>
        <v>-33703.1935</v>
      </c>
      <c r="AR41" s="67"/>
      <c r="AS41" s="67"/>
    </row>
    <row r="42" ht="59.85" customHeight="1">
      <c r="A42" s="59"/>
      <c r="B42" s="68"/>
      <c r="C42" s="69"/>
      <c r="D42" s="68"/>
      <c r="E42" s="63"/>
      <c r="F42" s="63"/>
      <c r="G42" s="63"/>
      <c r="H42" s="63"/>
      <c r="I42" s="63"/>
      <c r="J42" s="63"/>
      <c r="K42" s="68"/>
      <c r="L42" s="63"/>
      <c r="M42" s="63"/>
      <c r="N42" s="63"/>
      <c r="O42" s="63"/>
      <c r="P42" s="63"/>
      <c r="Q42" s="68"/>
      <c r="R42" s="63"/>
      <c r="S42" s="63"/>
      <c r="T42" s="63"/>
      <c r="U42" s="63"/>
      <c r="V42" s="63"/>
      <c r="W42" s="63"/>
      <c r="X42" s="80"/>
      <c r="Y42" s="68"/>
      <c r="Z42" s="68"/>
      <c r="AA42" s="63"/>
      <c r="AB42" s="81"/>
      <c r="AC42" s="63"/>
      <c r="AD42" s="82"/>
      <c r="AE42" s="63"/>
      <c r="AF42" s="68"/>
      <c r="AG42" s="63"/>
      <c r="AH42" s="80"/>
      <c r="AI42" s="63"/>
      <c r="AJ42" s="68"/>
      <c r="AK42" s="63"/>
      <c r="AL42" s="80"/>
      <c r="AM42" s="63"/>
      <c r="AN42" s="68"/>
      <c r="AO42" s="63"/>
      <c r="AP42" s="80"/>
      <c r="AQ42" s="63"/>
      <c r="AR42" s="83"/>
      <c r="AS42" s="83"/>
    </row>
  </sheetData>
  <mergeCells count="29">
    <mergeCell ref="K2:M2"/>
    <mergeCell ref="N2:O2"/>
    <mergeCell ref="K1:P1"/>
    <mergeCell ref="S2:U2"/>
    <mergeCell ref="Q2:R2"/>
    <mergeCell ref="D2:F2"/>
    <mergeCell ref="D1:J1"/>
    <mergeCell ref="G2:I2"/>
    <mergeCell ref="V2:X2"/>
    <mergeCell ref="Q1:X1"/>
    <mergeCell ref="D41:J41"/>
    <mergeCell ref="A2:A3"/>
    <mergeCell ref="AR1:AR3"/>
    <mergeCell ref="D42:J42"/>
    <mergeCell ref="B42:C42"/>
    <mergeCell ref="K42:P42"/>
    <mergeCell ref="Q42:X42"/>
    <mergeCell ref="Z42:AA42"/>
    <mergeCell ref="AF42:AI42"/>
    <mergeCell ref="AN42:AQ42"/>
    <mergeCell ref="AJ42:AM42"/>
    <mergeCell ref="AC1:AE2"/>
    <mergeCell ref="AF1:AI2"/>
    <mergeCell ref="AN1:AQ2"/>
    <mergeCell ref="AJ1:AM2"/>
    <mergeCell ref="AB1:AB2"/>
    <mergeCell ref="B1:C1"/>
    <mergeCell ref="Z1:AA1"/>
    <mergeCell ref="AS1:AS3"/>
  </mergeCells>
  <conditionalFormatting sqref="A1 A4:A42">
    <cfRule type="cellIs" dxfId="19" priority="1" operator="equal" stopIfTrue="1">
      <formula>"..."</formula>
    </cfRule>
    <cfRule type="cellIs" dxfId="20" priority="2" operator="equal" stopIfTrue="1">
      <formula>"OK"</formula>
    </cfRule>
    <cfRule type="cellIs" dxfId="21" priority="3" operator="equal" stopIfTrue="1">
      <formula>"!"</formula>
    </cfRule>
    <cfRule type="cellIs" dxfId="22" priority="4" operator="equal" stopIfTrue="1">
      <formula>"!!"</formula>
    </cfRule>
    <cfRule type="cellIs" dxfId="23" priority="5" operator="equal" stopIfTrue="1">
      <formula>"!!!"</formula>
    </cfRule>
    <cfRule type="cellIs" dxfId="24" priority="6" operator="equal" stopIfTrue="1">
      <formula>"?"</formula>
    </cfRule>
    <cfRule type="cellIs" dxfId="25" priority="7" operator="equal" stopIfTrue="1">
      <formula>"?!"</formula>
    </cfRule>
    <cfRule type="cellIs" dxfId="26" priority="8" operator="equal" stopIfTrue="1">
      <formula>"[ ]"</formula>
    </cfRule>
  </conditionalFormatting>
  <conditionalFormatting sqref="AC4:AC40">
    <cfRule type="cellIs" dxfId="27" priority="1" operator="equal" stopIfTrue="1">
      <formula>"AO REPRESENTANTE"</formula>
    </cfRule>
  </conditionalFormatting>
  <conditionalFormatting sqref="AF4:AF40 AJ4:AJ40 AN4:AN40">
    <cfRule type="cellIs" dxfId="28" priority="1" operator="equal" stopIfTrue="1">
      <formula>"PENDENTE"</formula>
    </cfRule>
    <cfRule type="cellIs" dxfId="29" priority="2" operator="equal" stopIfTrue="1">
      <formula>"PAGO"</formula>
    </cfRule>
    <cfRule type="cellIs" dxfId="30" priority="3" operator="equal" stopIfTrue="1">
      <formula>"ATRASADO"</formula>
    </cfRule>
    <cfRule type="cellIs" dxfId="31" priority="4" operator="equal" stopIfTrue="1">
      <formula>"REVISÃO"</formula>
    </cfRule>
    <cfRule type="cellIs" dxfId="32" priority="5" operator="equal" stopIfTrue="1">
      <formula>"EM CRÉDITO"</formula>
    </cfRule>
  </conditionalFormatting>
  <conditionalFormatting sqref="AS4:AS40">
    <cfRule type="cellIs" dxfId="33" priority="1" operator="equal" stopIfTrue="1">
      <formula>5</formula>
    </cfRule>
    <cfRule type="cellIs" dxfId="34" priority="2" operator="equal" stopIfTrue="1">
      <formula>4</formula>
    </cfRule>
    <cfRule type="cellIs" dxfId="35" priority="3" operator="equal" stopIfTrue="1">
      <formula>3</formula>
    </cfRule>
    <cfRule type="cellIs" dxfId="36" priority="4" operator="equal" stopIfTrue="1">
      <formula>2</formula>
    </cfRule>
    <cfRule type="cellIs" dxfId="37" priority="5" operator="equal" stopIfTrue="1">
      <formula>1</formula>
    </cfRule>
  </conditionalFormatting>
  <dataValidations count="7">
    <dataValidation type="list" allowBlank="1" showInputMessage="1" showErrorMessage="1" sqref="A1 A4:A41">
      <formula1>"-,...,OK,!,!!,!!!,?,?!,[ ]"</formula1>
    </dataValidation>
    <dataValidation type="list" allowBlank="1" showInputMessage="1" showErrorMessage="1" sqref="D4:D40">
      <formula1>",OG,LR"</formula1>
    </dataValidation>
    <dataValidation type="list" allowBlank="1" showInputMessage="1" showErrorMessage="1" sqref="I4 AE4:AE16 I7 I12 I17 AE17:AE25 I19 I21:I23 I26:I28 AE26:AE36 I31 I34 I37:I40 AE37:AE40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AC4:AC40">
      <formula1>"-,AO FORNECEDOR,AO REPRESENTANTE,AO MOTORISTA,EM REVISÃO"</formula1>
    </dataValidation>
    <dataValidation type="list" allowBlank="1" showInputMessage="1" showErrorMessage="1" sqref="AD4:AD40">
      <formula1>"-,BOLETO,CHEQUE,DINHEIRO,DEPÓSITO,TRANSFERÊNCIA,PIX,MISTO,SALDO,TROCA,DIRETO (Fornecedor),EM REVISÃO"</formula1>
    </dataValidation>
    <dataValidation type="list" allowBlank="1" showInputMessage="1" showErrorMessage="1" sqref="AF4:AF40 AJ4:AJ40 AN4:AN40">
      <formula1>"-,PENDENTE,PAGO,ATRASADO,EM CRÉDITO,REVISÃO"</formula1>
    </dataValidation>
    <dataValidation type="list" allowBlank="1" showInputMessage="1" showErrorMessage="1" sqref="I5:I6 I8:I11 I13:I16 I18 I20 I24:I25">
      <formula1>"-,A VISTA,30/60/90,30/60/90/120,30/60/90/120/135,30/60/90/120/150,30/60/90/120/150/180,30/45/60,30/45/60/75,30/45/60/75/90,30/45/60/75/90/105,30/45/60/75/90/105/120,30/45/60/75/90/105/120/135,30/45/60/75/90/105/120/135/150"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S206"/>
  <sheetViews>
    <sheetView workbookViewId="0" showGridLines="0" defaultGridColor="1">
      <pane topLeftCell="D4" xSplit="3" ySplit="3" activePane="bottomRight" state="frozen"/>
    </sheetView>
  </sheetViews>
  <sheetFormatPr defaultColWidth="16.3333" defaultRowHeight="15.4" customHeight="1" outlineLevelRow="0" outlineLevelCol="0"/>
  <cols>
    <col min="1" max="1" width="7.5" style="84" customWidth="1"/>
    <col min="2" max="2" width="14.1094" style="84" customWidth="1"/>
    <col min="3" max="3" width="41.6719" style="84" customWidth="1"/>
    <col min="4" max="4" width="6.67188" style="84" customWidth="1"/>
    <col min="5" max="5" width="11.6094" style="84" customWidth="1"/>
    <col min="6" max="6" width="7.5" style="84" customWidth="1"/>
    <col min="7" max="8" width="10" style="84" customWidth="1"/>
    <col min="9" max="9" width="24.9375" style="84" customWidth="1"/>
    <col min="10" max="10" width="20" style="84" customWidth="1"/>
    <col min="11" max="15" width="16.6719" style="84" customWidth="1"/>
    <col min="16" max="16" width="18.3516" style="84" customWidth="1"/>
    <col min="17" max="24" width="16.6719" style="84" customWidth="1"/>
    <col min="25" max="27" width="18.3516" style="84" customWidth="1"/>
    <col min="28" max="28" width="16.6719" style="84" customWidth="1"/>
    <col min="29" max="31" width="20" style="84" customWidth="1"/>
    <col min="32" max="43" width="16.6719" style="84" customWidth="1"/>
    <col min="44" max="44" width="93.3906" style="84" customWidth="1"/>
    <col min="45" max="45" width="16.6719" style="84" customWidth="1"/>
    <col min="46" max="16384" width="16.3516" style="84" customWidth="1"/>
  </cols>
  <sheetData>
    <row r="1" ht="50" customHeight="1">
      <c r="A1" t="s" s="2">
        <v>0</v>
      </c>
      <c r="B1" t="s" s="3">
        <v>1</v>
      </c>
      <c r="C1" s="4"/>
      <c r="D1" t="s" s="5">
        <v>2</v>
      </c>
      <c r="E1" s="4"/>
      <c r="F1" s="4"/>
      <c r="G1" s="4"/>
      <c r="H1" s="4"/>
      <c r="I1" s="4"/>
      <c r="J1" s="4"/>
      <c r="K1" t="s" s="6">
        <v>3</v>
      </c>
      <c r="L1" s="4"/>
      <c r="M1" s="4"/>
      <c r="N1" s="4"/>
      <c r="O1" s="4"/>
      <c r="P1" s="4"/>
      <c r="Q1" t="s" s="7">
        <v>4</v>
      </c>
      <c r="R1" s="4"/>
      <c r="S1" s="4"/>
      <c r="T1" s="4"/>
      <c r="U1" s="4"/>
      <c r="V1" s="4"/>
      <c r="W1" s="4"/>
      <c r="X1" s="4"/>
      <c r="Y1" t="s" s="8">
        <v>5</v>
      </c>
      <c r="Z1" t="s" s="9">
        <v>6</v>
      </c>
      <c r="AA1" s="4"/>
      <c r="AB1" t="s" s="10">
        <v>7</v>
      </c>
      <c r="AC1" t="s" s="11">
        <v>8</v>
      </c>
      <c r="AD1" s="4"/>
      <c r="AE1" s="4"/>
      <c r="AF1" t="s" s="12">
        <v>9</v>
      </c>
      <c r="AG1" s="4"/>
      <c r="AH1" s="4"/>
      <c r="AI1" s="4"/>
      <c r="AJ1" t="s" s="13">
        <v>6</v>
      </c>
      <c r="AK1" s="4"/>
      <c r="AL1" s="4"/>
      <c r="AM1" s="4"/>
      <c r="AN1" t="s" s="14">
        <v>10</v>
      </c>
      <c r="AO1" s="4"/>
      <c r="AP1" s="4"/>
      <c r="AQ1" s="4"/>
      <c r="AR1" t="s" s="15">
        <v>11</v>
      </c>
      <c r="AS1" t="s" s="16">
        <v>12</v>
      </c>
    </row>
    <row r="2" ht="50" customHeight="1">
      <c r="A2" t="s" s="17">
        <v>13</v>
      </c>
      <c r="B2" t="s" s="18">
        <v>14</v>
      </c>
      <c r="C2" t="s" s="18">
        <v>15</v>
      </c>
      <c r="D2" t="s" s="19">
        <v>16</v>
      </c>
      <c r="E2" s="4"/>
      <c r="F2" s="4"/>
      <c r="G2" t="s" s="20">
        <v>17</v>
      </c>
      <c r="H2" s="4"/>
      <c r="I2" s="4"/>
      <c r="J2" t="s" s="21">
        <v>18</v>
      </c>
      <c r="K2" t="s" s="22">
        <v>19</v>
      </c>
      <c r="L2" s="4"/>
      <c r="M2" s="4"/>
      <c r="N2" t="s" s="23">
        <v>20</v>
      </c>
      <c r="O2" s="4"/>
      <c r="P2" t="s" s="24">
        <v>21</v>
      </c>
      <c r="Q2" t="s" s="12">
        <v>22</v>
      </c>
      <c r="R2" s="4"/>
      <c r="S2" t="s" s="25">
        <v>23</v>
      </c>
      <c r="T2" s="4"/>
      <c r="U2" s="4"/>
      <c r="V2" t="s" s="26">
        <v>24</v>
      </c>
      <c r="W2" s="4"/>
      <c r="X2" s="4"/>
      <c r="Y2" t="s" s="27">
        <v>25</v>
      </c>
      <c r="Z2" t="s" s="13">
        <v>26</v>
      </c>
      <c r="AA2" t="s" s="28">
        <v>27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54.85" customHeight="1">
      <c r="A3" s="4"/>
      <c r="B3" t="s" s="29">
        <v>28</v>
      </c>
      <c r="C3" t="s" s="29">
        <v>29</v>
      </c>
      <c r="D3" t="s" s="30">
        <v>30</v>
      </c>
      <c r="E3" t="s" s="30">
        <v>31</v>
      </c>
      <c r="F3" t="s" s="31">
        <v>32</v>
      </c>
      <c r="G3" t="s" s="30">
        <v>33</v>
      </c>
      <c r="H3" t="s" s="30">
        <v>34</v>
      </c>
      <c r="I3" t="s" s="30">
        <v>35</v>
      </c>
      <c r="J3" t="s" s="30">
        <v>36</v>
      </c>
      <c r="K3" t="s" s="30">
        <v>37</v>
      </c>
      <c r="L3" t="s" s="30">
        <v>38</v>
      </c>
      <c r="M3" t="s" s="30">
        <v>39</v>
      </c>
      <c r="N3" t="s" s="30">
        <v>40</v>
      </c>
      <c r="O3" t="s" s="30">
        <v>41</v>
      </c>
      <c r="P3" t="s" s="30">
        <v>42</v>
      </c>
      <c r="Q3" t="s" s="30">
        <v>43</v>
      </c>
      <c r="R3" t="s" s="30">
        <v>44</v>
      </c>
      <c r="S3" t="s" s="30">
        <v>45</v>
      </c>
      <c r="T3" t="s" s="30">
        <v>46</v>
      </c>
      <c r="U3" t="s" s="30">
        <v>47</v>
      </c>
      <c r="V3" t="s" s="30">
        <v>48</v>
      </c>
      <c r="W3" t="s" s="30">
        <v>49</v>
      </c>
      <c r="X3" t="s" s="30">
        <v>50</v>
      </c>
      <c r="Y3" s="32">
        <v>0.05</v>
      </c>
      <c r="Z3" t="s" s="30">
        <v>51</v>
      </c>
      <c r="AA3" t="s" s="30">
        <v>51</v>
      </c>
      <c r="AB3" t="s" s="30">
        <v>52</v>
      </c>
      <c r="AC3" t="s" s="30">
        <v>53</v>
      </c>
      <c r="AD3" t="s" s="30">
        <v>54</v>
      </c>
      <c r="AE3" t="s" s="30">
        <v>55</v>
      </c>
      <c r="AF3" t="s" s="30">
        <v>56</v>
      </c>
      <c r="AG3" t="s" s="30">
        <v>52</v>
      </c>
      <c r="AH3" t="s" s="30">
        <v>57</v>
      </c>
      <c r="AI3" t="s" s="30">
        <v>58</v>
      </c>
      <c r="AJ3" t="s" s="30">
        <v>59</v>
      </c>
      <c r="AK3" t="s" s="30">
        <v>52</v>
      </c>
      <c r="AL3" t="s" s="30">
        <v>60</v>
      </c>
      <c r="AM3" t="s" s="30">
        <v>58</v>
      </c>
      <c r="AN3" t="s" s="30">
        <v>61</v>
      </c>
      <c r="AO3" t="s" s="30">
        <v>52</v>
      </c>
      <c r="AP3" t="s" s="30">
        <v>57</v>
      </c>
      <c r="AQ3" t="s" s="30">
        <v>58</v>
      </c>
      <c r="AR3" s="4"/>
      <c r="AS3" s="4"/>
    </row>
    <row r="4" ht="54.85" customHeight="1">
      <c r="A4" t="s" s="2">
        <v>0</v>
      </c>
      <c r="B4" s="33"/>
      <c r="C4" s="34"/>
      <c r="D4" s="35"/>
      <c r="E4" s="34"/>
      <c r="F4" s="36"/>
      <c r="G4" s="34"/>
      <c r="H4" s="34"/>
      <c r="I4" t="s" s="37">
        <v>0</v>
      </c>
      <c r="J4" s="38"/>
      <c r="K4" s="39"/>
      <c r="L4" s="39"/>
      <c r="M4" s="39"/>
      <c r="N4" s="39"/>
      <c r="O4" s="39"/>
      <c r="P4" s="40">
        <f>K4-L4-O4+N4</f>
        <v>0</v>
      </c>
      <c r="Q4" s="39"/>
      <c r="R4" s="39"/>
      <c r="S4" s="40">
        <f>L4</f>
        <v>0</v>
      </c>
      <c r="T4" s="39">
        <f>P4+R4-Q4+M4</f>
        <v>0</v>
      </c>
      <c r="U4" s="39">
        <f>T4-V4-W4-X4</f>
        <v>0</v>
      </c>
      <c r="V4" s="41">
        <f>P4*0.03</f>
        <v>0</v>
      </c>
      <c r="W4" s="41">
        <f>P4*0.04</f>
        <v>0</v>
      </c>
      <c r="X4" s="41">
        <f>P4*0.05</f>
        <v>0</v>
      </c>
      <c r="Y4" s="42">
        <f>P4*0.05</f>
        <v>0</v>
      </c>
      <c r="Z4" s="39">
        <f>T4-Y4</f>
        <v>0</v>
      </c>
      <c r="AA4" s="39">
        <f>U4-Y4</f>
        <v>0</v>
      </c>
      <c r="AB4" s="43"/>
      <c r="AC4" t="s" s="37">
        <v>0</v>
      </c>
      <c r="AD4" t="s" s="37">
        <v>0</v>
      </c>
      <c r="AE4" t="s" s="37">
        <v>0</v>
      </c>
      <c r="AF4" t="s" s="44">
        <v>0</v>
      </c>
      <c r="AG4" s="45"/>
      <c r="AH4" s="39"/>
      <c r="AI4" s="41">
        <f>AH4-T4-U4</f>
        <v>0</v>
      </c>
      <c r="AJ4" t="s" s="44">
        <v>0</v>
      </c>
      <c r="AK4" s="45"/>
      <c r="AL4" s="39"/>
      <c r="AM4" s="41">
        <f>AL4-Z4-AA4</f>
        <v>0</v>
      </c>
      <c r="AN4" t="s" s="44">
        <v>0</v>
      </c>
      <c r="AO4" s="45"/>
      <c r="AP4" s="39"/>
      <c r="AQ4" s="41">
        <f>AP4-Y4</f>
        <v>0</v>
      </c>
      <c r="AR4" s="37"/>
      <c r="AS4" s="46">
        <v>0</v>
      </c>
    </row>
    <row r="5" ht="54.85" customHeight="1">
      <c r="A5" t="s" s="2">
        <v>0</v>
      </c>
      <c r="B5" s="33">
        <v>45402</v>
      </c>
      <c r="C5" t="s" s="34">
        <v>183</v>
      </c>
      <c r="D5" t="s" s="48">
        <v>64</v>
      </c>
      <c r="E5" t="s" s="49">
        <v>184</v>
      </c>
      <c r="F5" s="50"/>
      <c r="G5" t="s" s="49">
        <v>185</v>
      </c>
      <c r="H5" t="s" s="49">
        <v>186</v>
      </c>
      <c r="I5" t="s" s="51">
        <v>76</v>
      </c>
      <c r="J5" t="s" s="38">
        <v>127</v>
      </c>
      <c r="K5" s="52">
        <v>57874.7</v>
      </c>
      <c r="L5" s="52">
        <v>11604.45</v>
      </c>
      <c r="M5" s="52">
        <v>2115</v>
      </c>
      <c r="N5" s="52"/>
      <c r="O5" s="52"/>
      <c r="P5" s="40">
        <f>K5-L5-O5+N5</f>
        <v>46270.25</v>
      </c>
      <c r="Q5" s="52"/>
      <c r="R5" s="52"/>
      <c r="S5" s="40">
        <f>L5</f>
        <v>11604.45</v>
      </c>
      <c r="T5" s="52">
        <f>P5+R5-Q5+M5</f>
        <v>48385.25</v>
      </c>
      <c r="U5" s="52">
        <f>T5-V5-W5-X5</f>
        <v>42832.82</v>
      </c>
      <c r="V5" s="41">
        <f>P5*0.03</f>
        <v>1388.1075</v>
      </c>
      <c r="W5" s="41">
        <f>P5*0.04</f>
        <v>1850.81</v>
      </c>
      <c r="X5" s="41">
        <f>P5*0.05</f>
        <v>2313.5125</v>
      </c>
      <c r="Y5" s="42">
        <f>P5*0.05</f>
        <v>2313.5125</v>
      </c>
      <c r="Z5" s="52">
        <f>T5-Y5</f>
        <v>46071.7375</v>
      </c>
      <c r="AA5" s="52">
        <f>U5-Y5</f>
        <v>40519.3075</v>
      </c>
      <c r="AB5" s="43"/>
      <c r="AC5" t="s" s="51">
        <v>0</v>
      </c>
      <c r="AD5" t="s" s="51">
        <v>0</v>
      </c>
      <c r="AE5" t="s" s="51">
        <v>0</v>
      </c>
      <c r="AF5" t="s" s="44">
        <v>0</v>
      </c>
      <c r="AG5" s="54"/>
      <c r="AH5" s="52"/>
      <c r="AI5" s="41">
        <f>AH5-T5-U5</f>
        <v>-91218.070000000007</v>
      </c>
      <c r="AJ5" t="s" s="44">
        <v>0</v>
      </c>
      <c r="AK5" s="54"/>
      <c r="AL5" s="52"/>
      <c r="AM5" s="41">
        <f>AL5-Z5-AA5</f>
        <v>-86591.045</v>
      </c>
      <c r="AN5" t="s" s="44">
        <v>0</v>
      </c>
      <c r="AO5" s="54"/>
      <c r="AP5" s="52"/>
      <c r="AQ5" s="41">
        <f>AP5-Y5</f>
        <v>-2313.5125</v>
      </c>
      <c r="AR5" s="51"/>
      <c r="AS5" s="55">
        <v>0</v>
      </c>
    </row>
    <row r="6" ht="54.85" customHeight="1">
      <c r="A6" t="s" s="2">
        <v>0</v>
      </c>
      <c r="B6" s="33">
        <v>45402</v>
      </c>
      <c r="C6" t="s" s="34">
        <v>187</v>
      </c>
      <c r="D6" t="s" s="48">
        <v>64</v>
      </c>
      <c r="E6" t="s" s="34">
        <v>188</v>
      </c>
      <c r="F6" s="36"/>
      <c r="G6" t="s" s="34">
        <v>189</v>
      </c>
      <c r="H6" t="s" s="34">
        <v>190</v>
      </c>
      <c r="I6" t="s" s="37">
        <v>76</v>
      </c>
      <c r="J6" t="s" s="38">
        <v>127</v>
      </c>
      <c r="K6" s="39">
        <v>52276.3</v>
      </c>
      <c r="L6" s="39">
        <v>9195.549999999999</v>
      </c>
      <c r="M6" s="39">
        <v>1665</v>
      </c>
      <c r="N6" s="53">
        <v>1067.2</v>
      </c>
      <c r="O6" s="53">
        <v>2098.8</v>
      </c>
      <c r="P6" s="40">
        <f>K6-L6-O6+N6</f>
        <v>42049.15</v>
      </c>
      <c r="Q6" s="39"/>
      <c r="R6" s="39"/>
      <c r="S6" s="40">
        <f>L6</f>
        <v>9195.549999999999</v>
      </c>
      <c r="T6" s="39">
        <f>P6+R6-Q6+M6</f>
        <v>43714.15</v>
      </c>
      <c r="U6" s="39">
        <f>T6-V6-W6-X6</f>
        <v>38668.252</v>
      </c>
      <c r="V6" s="41">
        <f>P6*0.03</f>
        <v>1261.4745</v>
      </c>
      <c r="W6" s="41">
        <f>P6*0.04</f>
        <v>1681.966</v>
      </c>
      <c r="X6" s="41">
        <f>P6*0.05</f>
        <v>2102.4575</v>
      </c>
      <c r="Y6" s="42">
        <f>P6*0.05</f>
        <v>2102.4575</v>
      </c>
      <c r="Z6" s="39">
        <f>T6-Y6</f>
        <v>41611.6925</v>
      </c>
      <c r="AA6" s="39">
        <f>U6-Y6</f>
        <v>36565.7945</v>
      </c>
      <c r="AB6" s="43"/>
      <c r="AC6" t="s" s="37">
        <v>0</v>
      </c>
      <c r="AD6" t="s" s="37">
        <v>0</v>
      </c>
      <c r="AE6" t="s" s="37">
        <v>0</v>
      </c>
      <c r="AF6" t="s" s="44">
        <v>0</v>
      </c>
      <c r="AG6" s="45"/>
      <c r="AH6" s="39"/>
      <c r="AI6" s="41">
        <f>AH6-T6-U6</f>
        <v>-82382.402</v>
      </c>
      <c r="AJ6" t="s" s="44">
        <v>0</v>
      </c>
      <c r="AK6" s="45"/>
      <c r="AL6" s="39"/>
      <c r="AM6" s="41">
        <f>AL6-Z6-AA6</f>
        <v>-78177.486999999994</v>
      </c>
      <c r="AN6" t="s" s="44">
        <v>0</v>
      </c>
      <c r="AO6" s="45"/>
      <c r="AP6" s="39"/>
      <c r="AQ6" s="41">
        <f>AP6-Y6</f>
        <v>-2102.4575</v>
      </c>
      <c r="AR6" s="37"/>
      <c r="AS6" s="46">
        <v>0</v>
      </c>
    </row>
    <row r="7" ht="54.85" customHeight="1">
      <c r="A7" t="s" s="2">
        <v>0</v>
      </c>
      <c r="B7" s="33"/>
      <c r="C7" s="34"/>
      <c r="D7" s="35"/>
      <c r="E7" s="49"/>
      <c r="F7" s="50"/>
      <c r="G7" s="49"/>
      <c r="H7" s="49"/>
      <c r="I7" t="s" s="51">
        <v>0</v>
      </c>
      <c r="J7" s="38"/>
      <c r="K7" s="52"/>
      <c r="L7" s="52"/>
      <c r="M7" s="52"/>
      <c r="N7" s="52"/>
      <c r="O7" s="52"/>
      <c r="P7" s="40">
        <f>K7-L7-O7+N7</f>
        <v>0</v>
      </c>
      <c r="Q7" s="52"/>
      <c r="R7" s="52"/>
      <c r="S7" s="40">
        <f>L7</f>
        <v>0</v>
      </c>
      <c r="T7" s="52">
        <f>P7+R7-Q7+M7</f>
        <v>0</v>
      </c>
      <c r="U7" s="52">
        <f>T7-V7-W7-X7</f>
        <v>0</v>
      </c>
      <c r="V7" s="41">
        <f>P7*0.03</f>
        <v>0</v>
      </c>
      <c r="W7" s="41">
        <f>P7*0.04</f>
        <v>0</v>
      </c>
      <c r="X7" s="41">
        <f>P7*0.05</f>
        <v>0</v>
      </c>
      <c r="Y7" s="42">
        <f>P7*0.05</f>
        <v>0</v>
      </c>
      <c r="Z7" s="52">
        <f>T7-Y7</f>
        <v>0</v>
      </c>
      <c r="AA7" s="52">
        <f>U7-Y7</f>
        <v>0</v>
      </c>
      <c r="AB7" s="43"/>
      <c r="AC7" t="s" s="51">
        <v>0</v>
      </c>
      <c r="AD7" t="s" s="51">
        <v>0</v>
      </c>
      <c r="AE7" t="s" s="51">
        <v>0</v>
      </c>
      <c r="AF7" t="s" s="44">
        <v>0</v>
      </c>
      <c r="AG7" s="54"/>
      <c r="AH7" s="52"/>
      <c r="AI7" s="41">
        <f>AH7-T7-U7</f>
        <v>0</v>
      </c>
      <c r="AJ7" t="s" s="44">
        <v>0</v>
      </c>
      <c r="AK7" s="54"/>
      <c r="AL7" s="52"/>
      <c r="AM7" s="41">
        <f>AL7-Z7-AA7</f>
        <v>0</v>
      </c>
      <c r="AN7" t="s" s="44">
        <v>0</v>
      </c>
      <c r="AO7" s="54"/>
      <c r="AP7" s="52"/>
      <c r="AQ7" s="41">
        <f>AP7-Y7</f>
        <v>0</v>
      </c>
      <c r="AR7" s="51"/>
      <c r="AS7" s="55">
        <v>0</v>
      </c>
    </row>
    <row r="8" ht="54.85" customHeight="1">
      <c r="A8" t="s" s="2">
        <v>0</v>
      </c>
      <c r="B8" s="33">
        <v>45429</v>
      </c>
      <c r="C8" t="s" s="34">
        <v>137</v>
      </c>
      <c r="D8" t="s" s="48">
        <v>64</v>
      </c>
      <c r="E8" t="s" s="34">
        <v>191</v>
      </c>
      <c r="F8" s="36"/>
      <c r="G8" t="s" s="34">
        <v>192</v>
      </c>
      <c r="H8" t="s" s="34">
        <v>193</v>
      </c>
      <c r="I8" t="s" s="37">
        <v>76</v>
      </c>
      <c r="J8" t="s" s="38">
        <v>140</v>
      </c>
      <c r="K8" s="39">
        <v>28968.85</v>
      </c>
      <c r="L8" s="39">
        <v>2269.98</v>
      </c>
      <c r="M8" s="39">
        <v>380</v>
      </c>
      <c r="N8" s="39"/>
      <c r="O8" s="39"/>
      <c r="P8" s="40">
        <f>K8-L8-O8+N8</f>
        <v>26698.87</v>
      </c>
      <c r="Q8" s="39"/>
      <c r="R8" s="39"/>
      <c r="S8" s="40">
        <f>L8</f>
        <v>2269.98</v>
      </c>
      <c r="T8" s="39">
        <f>P8+R8-Q8+M8</f>
        <v>27078.87</v>
      </c>
      <c r="U8" s="39">
        <f>T8-V8-W8-X8</f>
        <v>23875.0056</v>
      </c>
      <c r="V8" s="41">
        <f>P8*0.03</f>
        <v>800.9661</v>
      </c>
      <c r="W8" s="41">
        <f>P8*0.04</f>
        <v>1067.9548</v>
      </c>
      <c r="X8" s="41">
        <f>P8*0.05</f>
        <v>1334.9435</v>
      </c>
      <c r="Y8" s="42">
        <f>P8*0.05</f>
        <v>1334.9435</v>
      </c>
      <c r="Z8" s="39">
        <f>T8-Y8</f>
        <v>25743.9265</v>
      </c>
      <c r="AA8" s="39">
        <f>U8-Y8</f>
        <v>22540.0621</v>
      </c>
      <c r="AB8" s="43"/>
      <c r="AC8" t="s" s="37">
        <v>0</v>
      </c>
      <c r="AD8" t="s" s="37">
        <v>0</v>
      </c>
      <c r="AE8" t="s" s="37">
        <v>0</v>
      </c>
      <c r="AF8" t="s" s="44">
        <v>0</v>
      </c>
      <c r="AG8" s="45"/>
      <c r="AH8" s="39"/>
      <c r="AI8" s="41">
        <f>AH8-T8-U8</f>
        <v>-50953.8756</v>
      </c>
      <c r="AJ8" t="s" s="44">
        <v>0</v>
      </c>
      <c r="AK8" s="45"/>
      <c r="AL8" s="39"/>
      <c r="AM8" s="41">
        <f>AL8-Z8-AA8</f>
        <v>-48283.9886</v>
      </c>
      <c r="AN8" t="s" s="44">
        <v>0</v>
      </c>
      <c r="AO8" s="45"/>
      <c r="AP8" s="39"/>
      <c r="AQ8" s="41">
        <f>AP8-Y8</f>
        <v>-1334.9435</v>
      </c>
      <c r="AR8" s="37"/>
      <c r="AS8" s="46">
        <v>0</v>
      </c>
    </row>
    <row r="9" ht="54.85" customHeight="1">
      <c r="A9" t="s" s="2">
        <v>0</v>
      </c>
      <c r="B9" s="33">
        <v>45429</v>
      </c>
      <c r="C9" t="s" s="34">
        <v>98</v>
      </c>
      <c r="D9" t="s" s="48">
        <v>64</v>
      </c>
      <c r="E9" t="s" s="49">
        <v>194</v>
      </c>
      <c r="F9" s="50"/>
      <c r="G9" t="s" s="49">
        <v>195</v>
      </c>
      <c r="H9" t="s" s="49">
        <v>196</v>
      </c>
      <c r="I9" t="s" s="51">
        <v>76</v>
      </c>
      <c r="J9" t="s" s="38">
        <v>197</v>
      </c>
      <c r="K9" s="53">
        <v>17332</v>
      </c>
      <c r="L9" s="52">
        <v>2860.13</v>
      </c>
      <c r="M9" s="52">
        <v>450</v>
      </c>
      <c r="N9" s="52"/>
      <c r="O9" s="52"/>
      <c r="P9" s="40">
        <f>K9-L9-O9+N9</f>
        <v>14471.87</v>
      </c>
      <c r="Q9" s="52"/>
      <c r="R9" s="52"/>
      <c r="S9" s="40">
        <f>L9</f>
        <v>2860.13</v>
      </c>
      <c r="T9" s="52">
        <f>P9+R9-Q9+M9</f>
        <v>14921.87</v>
      </c>
      <c r="U9" s="52">
        <f>T9-V9-W9-X9</f>
        <v>13185.2456</v>
      </c>
      <c r="V9" s="41">
        <f>P9*0.03</f>
        <v>434.1561</v>
      </c>
      <c r="W9" s="41">
        <f>P9*0.04</f>
        <v>578.8748000000001</v>
      </c>
      <c r="X9" s="41">
        <f>P9*0.05</f>
        <v>723.5934999999999</v>
      </c>
      <c r="Y9" s="42">
        <f>P9*0.05</f>
        <v>723.5934999999999</v>
      </c>
      <c r="Z9" s="52">
        <f>T9-Y9</f>
        <v>14198.2765</v>
      </c>
      <c r="AA9" s="52">
        <f>U9-Y9</f>
        <v>12461.6521</v>
      </c>
      <c r="AB9" s="43"/>
      <c r="AC9" t="s" s="51">
        <v>0</v>
      </c>
      <c r="AD9" t="s" s="51">
        <v>0</v>
      </c>
      <c r="AE9" t="s" s="51">
        <v>0</v>
      </c>
      <c r="AF9" t="s" s="44">
        <v>0</v>
      </c>
      <c r="AG9" s="54"/>
      <c r="AH9" s="52"/>
      <c r="AI9" s="41">
        <f>AH9-T9-U9</f>
        <v>-28107.1156</v>
      </c>
      <c r="AJ9" t="s" s="44">
        <v>0</v>
      </c>
      <c r="AK9" s="54"/>
      <c r="AL9" s="52"/>
      <c r="AM9" s="41">
        <f>AL9-Z9-AA9</f>
        <v>-26659.9286</v>
      </c>
      <c r="AN9" t="s" s="44">
        <v>0</v>
      </c>
      <c r="AO9" s="54"/>
      <c r="AP9" s="52"/>
      <c r="AQ9" s="41">
        <f>AP9-Y9</f>
        <v>-723.5934999999999</v>
      </c>
      <c r="AR9" s="51"/>
      <c r="AS9" s="55">
        <v>0</v>
      </c>
    </row>
    <row r="10" ht="54.85" customHeight="1">
      <c r="A10" t="s" s="2">
        <v>0</v>
      </c>
      <c r="B10" s="33">
        <v>45429</v>
      </c>
      <c r="C10" t="s" s="34">
        <v>198</v>
      </c>
      <c r="D10" t="s" s="48">
        <v>64</v>
      </c>
      <c r="E10" t="s" s="34">
        <v>199</v>
      </c>
      <c r="F10" s="36"/>
      <c r="G10" t="s" s="34">
        <v>200</v>
      </c>
      <c r="H10" t="s" s="34">
        <v>201</v>
      </c>
      <c r="I10" t="s" s="37">
        <v>67</v>
      </c>
      <c r="J10" t="s" s="38">
        <v>171</v>
      </c>
      <c r="K10" s="39">
        <v>35913.5</v>
      </c>
      <c r="L10" s="39">
        <v>5699.95</v>
      </c>
      <c r="M10" s="39">
        <v>905</v>
      </c>
      <c r="N10" s="39"/>
      <c r="O10" s="39"/>
      <c r="P10" s="40">
        <f>K10-L10-O10+N10</f>
        <v>30213.55</v>
      </c>
      <c r="Q10" s="39"/>
      <c r="R10" s="39"/>
      <c r="S10" s="40">
        <f>L10</f>
        <v>5699.95</v>
      </c>
      <c r="T10" s="39">
        <f>P10+R10-Q10+M10</f>
        <v>31118.55</v>
      </c>
      <c r="U10" s="39">
        <f>T10-V10-W10-X10</f>
        <v>27492.924</v>
      </c>
      <c r="V10" s="41">
        <f>P10*0.03</f>
        <v>906.4065000000001</v>
      </c>
      <c r="W10" s="41">
        <f>P10*0.04</f>
        <v>1208.542</v>
      </c>
      <c r="X10" s="41">
        <f>P10*0.05</f>
        <v>1510.6775</v>
      </c>
      <c r="Y10" s="42">
        <f>P10*0.05</f>
        <v>1510.6775</v>
      </c>
      <c r="Z10" s="39">
        <f>T10-Y10</f>
        <v>29607.8725</v>
      </c>
      <c r="AA10" s="39">
        <f>U10-Y10</f>
        <v>25982.2465</v>
      </c>
      <c r="AB10" s="43"/>
      <c r="AC10" t="s" s="37">
        <v>0</v>
      </c>
      <c r="AD10" t="s" s="37">
        <v>0</v>
      </c>
      <c r="AE10" t="s" s="37">
        <v>0</v>
      </c>
      <c r="AF10" t="s" s="44">
        <v>0</v>
      </c>
      <c r="AG10" s="45"/>
      <c r="AH10" s="39"/>
      <c r="AI10" s="41">
        <f>AH10-T10-U10</f>
        <v>-58611.474</v>
      </c>
      <c r="AJ10" t="s" s="44">
        <v>0</v>
      </c>
      <c r="AK10" s="45"/>
      <c r="AL10" s="39"/>
      <c r="AM10" s="41">
        <f>AL10-Z10-AA10</f>
        <v>-55590.119</v>
      </c>
      <c r="AN10" t="s" s="44">
        <v>0</v>
      </c>
      <c r="AO10" s="45"/>
      <c r="AP10" s="39"/>
      <c r="AQ10" s="41">
        <f>AP10-Y10</f>
        <v>-1510.6775</v>
      </c>
      <c r="AR10" s="37"/>
      <c r="AS10" s="46">
        <v>0</v>
      </c>
    </row>
    <row r="11" ht="54.85" customHeight="1">
      <c r="A11" t="s" s="2">
        <v>0</v>
      </c>
      <c r="B11" s="33">
        <v>45429</v>
      </c>
      <c r="C11" t="s" s="34">
        <v>202</v>
      </c>
      <c r="D11" t="s" s="48">
        <v>64</v>
      </c>
      <c r="E11" t="s" s="49">
        <v>203</v>
      </c>
      <c r="F11" s="50"/>
      <c r="G11" t="s" s="49">
        <v>204</v>
      </c>
      <c r="H11" t="s" s="49">
        <v>205</v>
      </c>
      <c r="I11" t="s" s="51">
        <v>67</v>
      </c>
      <c r="J11" t="s" s="38">
        <v>206</v>
      </c>
      <c r="K11" s="52">
        <v>34251</v>
      </c>
      <c r="L11" s="52">
        <v>5745.63</v>
      </c>
      <c r="M11" s="52">
        <v>910</v>
      </c>
      <c r="N11" s="52"/>
      <c r="O11" s="52"/>
      <c r="P11" s="40">
        <f>K11-L11-O11+N11</f>
        <v>28505.37</v>
      </c>
      <c r="Q11" s="52"/>
      <c r="R11" s="52"/>
      <c r="S11" s="40">
        <f>L11</f>
        <v>5745.63</v>
      </c>
      <c r="T11" s="52">
        <f>P11+R11-Q11+M11</f>
        <v>29415.37</v>
      </c>
      <c r="U11" s="52">
        <f>T11-V11-W11-X11</f>
        <v>25994.7256</v>
      </c>
      <c r="V11" s="41">
        <f>P11*0.03</f>
        <v>855.1611</v>
      </c>
      <c r="W11" s="41">
        <f>P11*0.04</f>
        <v>1140.2148</v>
      </c>
      <c r="X11" s="41">
        <f>P11*0.05</f>
        <v>1425.2685</v>
      </c>
      <c r="Y11" s="42">
        <f>P11*0.05</f>
        <v>1425.2685</v>
      </c>
      <c r="Z11" s="52">
        <f>T11-Y11</f>
        <v>27990.1015</v>
      </c>
      <c r="AA11" s="52">
        <f>U11-Y11</f>
        <v>24569.4571</v>
      </c>
      <c r="AB11" s="43"/>
      <c r="AC11" t="s" s="51">
        <v>0</v>
      </c>
      <c r="AD11" t="s" s="51">
        <v>0</v>
      </c>
      <c r="AE11" t="s" s="51">
        <v>0</v>
      </c>
      <c r="AF11" t="s" s="44">
        <v>0</v>
      </c>
      <c r="AG11" s="54"/>
      <c r="AH11" s="52"/>
      <c r="AI11" s="41">
        <f>AH11-T11-U11</f>
        <v>-55410.0956</v>
      </c>
      <c r="AJ11" t="s" s="44">
        <v>0</v>
      </c>
      <c r="AK11" s="54"/>
      <c r="AL11" s="52"/>
      <c r="AM11" s="41">
        <f>AL11-Z11-AA11</f>
        <v>-52559.5586</v>
      </c>
      <c r="AN11" t="s" s="44">
        <v>0</v>
      </c>
      <c r="AO11" s="54"/>
      <c r="AP11" s="52"/>
      <c r="AQ11" s="41">
        <f>AP11-Y11</f>
        <v>-1425.2685</v>
      </c>
      <c r="AR11" s="51"/>
      <c r="AS11" s="55">
        <v>0</v>
      </c>
    </row>
    <row r="12" ht="54.85" customHeight="1">
      <c r="A12" t="s" s="2">
        <v>0</v>
      </c>
      <c r="B12" s="33"/>
      <c r="C12" s="34"/>
      <c r="D12" s="35"/>
      <c r="E12" s="34"/>
      <c r="F12" s="36"/>
      <c r="G12" s="34"/>
      <c r="H12" s="34"/>
      <c r="I12" t="s" s="37">
        <v>0</v>
      </c>
      <c r="J12" s="38"/>
      <c r="K12" s="39"/>
      <c r="L12" s="39"/>
      <c r="M12" s="39"/>
      <c r="N12" s="39"/>
      <c r="O12" s="39"/>
      <c r="P12" s="40">
        <f>K12-L12-O12+N12</f>
        <v>0</v>
      </c>
      <c r="Q12" s="39"/>
      <c r="R12" s="39"/>
      <c r="S12" s="40">
        <f>L12</f>
        <v>0</v>
      </c>
      <c r="T12" s="39">
        <f>P12+R12-Q12+M12</f>
        <v>0</v>
      </c>
      <c r="U12" s="39">
        <f>T12-V12-W12-X12</f>
        <v>0</v>
      </c>
      <c r="V12" s="41">
        <f>P12*0.03</f>
        <v>0</v>
      </c>
      <c r="W12" s="41">
        <f>P12*0.04</f>
        <v>0</v>
      </c>
      <c r="X12" s="41">
        <f>P12*0.05</f>
        <v>0</v>
      </c>
      <c r="Y12" s="42">
        <f>P12*0.05</f>
        <v>0</v>
      </c>
      <c r="Z12" s="39">
        <f>T12-Y12</f>
        <v>0</v>
      </c>
      <c r="AA12" s="39">
        <f>U12-Y12</f>
        <v>0</v>
      </c>
      <c r="AB12" s="43"/>
      <c r="AC12" t="s" s="37">
        <v>0</v>
      </c>
      <c r="AD12" t="s" s="37">
        <v>0</v>
      </c>
      <c r="AE12" t="s" s="37">
        <v>0</v>
      </c>
      <c r="AF12" t="s" s="44">
        <v>0</v>
      </c>
      <c r="AG12" s="45"/>
      <c r="AH12" s="39"/>
      <c r="AI12" s="41">
        <f>AH12-T12-U12</f>
        <v>0</v>
      </c>
      <c r="AJ12" t="s" s="44">
        <v>0</v>
      </c>
      <c r="AK12" s="45"/>
      <c r="AL12" s="39"/>
      <c r="AM12" s="41">
        <f>AL12-Z12-AA12</f>
        <v>0</v>
      </c>
      <c r="AN12" t="s" s="44">
        <v>0</v>
      </c>
      <c r="AO12" s="45"/>
      <c r="AP12" s="39"/>
      <c r="AQ12" s="41">
        <f>AP12-Y12</f>
        <v>0</v>
      </c>
      <c r="AR12" s="37"/>
      <c r="AS12" s="46">
        <v>0</v>
      </c>
    </row>
    <row r="13" ht="54.85" customHeight="1">
      <c r="A13" t="s" s="2">
        <v>0</v>
      </c>
      <c r="B13" s="33">
        <v>45486</v>
      </c>
      <c r="C13" t="s" s="34">
        <v>202</v>
      </c>
      <c r="D13" t="s" s="48">
        <v>64</v>
      </c>
      <c r="E13" t="s" s="49">
        <v>207</v>
      </c>
      <c r="F13" s="50"/>
      <c r="G13" t="s" s="49">
        <v>208</v>
      </c>
      <c r="H13" t="s" s="49">
        <v>209</v>
      </c>
      <c r="I13" t="s" s="51">
        <v>67</v>
      </c>
      <c r="J13" t="s" s="38">
        <v>206</v>
      </c>
      <c r="K13" s="52">
        <v>46242</v>
      </c>
      <c r="L13" s="52">
        <v>7643.1</v>
      </c>
      <c r="M13" s="52">
        <v>1430</v>
      </c>
      <c r="N13" s="52"/>
      <c r="O13" s="52"/>
      <c r="P13" s="40">
        <f>K13-L13-O13+N13</f>
        <v>38598.9</v>
      </c>
      <c r="Q13" s="52"/>
      <c r="R13" s="52"/>
      <c r="S13" s="40">
        <f>L13</f>
        <v>7643.1</v>
      </c>
      <c r="T13" s="52">
        <f>P13+R13-Q13+M13</f>
        <v>40028.9</v>
      </c>
      <c r="U13" s="52">
        <f>T13-V13-W13-X13</f>
        <v>35397.032</v>
      </c>
      <c r="V13" s="41">
        <f>P13*0.03</f>
        <v>1157.967</v>
      </c>
      <c r="W13" s="41">
        <f>P13*0.04</f>
        <v>1543.956</v>
      </c>
      <c r="X13" s="41">
        <f>P13*0.05</f>
        <v>1929.945</v>
      </c>
      <c r="Y13" s="42">
        <f>P13*0.05</f>
        <v>1929.945</v>
      </c>
      <c r="Z13" s="52">
        <f>T13-Y13</f>
        <v>38098.955</v>
      </c>
      <c r="AA13" s="52">
        <f>U13-Y13</f>
        <v>33467.087</v>
      </c>
      <c r="AB13" s="43"/>
      <c r="AC13" t="s" s="51">
        <v>0</v>
      </c>
      <c r="AD13" t="s" s="51">
        <v>0</v>
      </c>
      <c r="AE13" t="s" s="51">
        <v>0</v>
      </c>
      <c r="AF13" t="s" s="44">
        <v>0</v>
      </c>
      <c r="AG13" s="54"/>
      <c r="AH13" s="52"/>
      <c r="AI13" s="41">
        <f>AH13-T13-U13</f>
        <v>-75425.932</v>
      </c>
      <c r="AJ13" t="s" s="44">
        <v>0</v>
      </c>
      <c r="AK13" s="54"/>
      <c r="AL13" s="52"/>
      <c r="AM13" s="41">
        <f>AL13-Z13-AA13</f>
        <v>-71566.042</v>
      </c>
      <c r="AN13" t="s" s="44">
        <v>0</v>
      </c>
      <c r="AO13" s="54"/>
      <c r="AP13" s="52"/>
      <c r="AQ13" s="41">
        <f>AP13-Y13</f>
        <v>-1929.945</v>
      </c>
      <c r="AR13" s="51"/>
      <c r="AS13" s="55">
        <v>0</v>
      </c>
    </row>
    <row r="14" ht="54.85" customHeight="1">
      <c r="A14" t="s" s="2">
        <v>0</v>
      </c>
      <c r="B14" s="33">
        <v>45486</v>
      </c>
      <c r="C14" t="s" s="34">
        <v>183</v>
      </c>
      <c r="D14" t="s" s="48">
        <v>64</v>
      </c>
      <c r="E14" t="s" s="34">
        <v>210</v>
      </c>
      <c r="F14" s="36"/>
      <c r="G14" t="s" s="34">
        <v>211</v>
      </c>
      <c r="H14" t="s" s="34">
        <v>212</v>
      </c>
      <c r="I14" t="s" s="37">
        <v>67</v>
      </c>
      <c r="J14" t="s" s="38">
        <v>127</v>
      </c>
      <c r="K14" s="39">
        <v>58254</v>
      </c>
      <c r="L14" s="39">
        <v>12863.9</v>
      </c>
      <c r="M14" s="39">
        <v>1610</v>
      </c>
      <c r="N14" s="39"/>
      <c r="O14" s="39"/>
      <c r="P14" s="40">
        <f>K14-L14-O14+N14</f>
        <v>45390.1</v>
      </c>
      <c r="Q14" s="39"/>
      <c r="R14" s="39"/>
      <c r="S14" s="40">
        <f>L14</f>
        <v>12863.9</v>
      </c>
      <c r="T14" s="39">
        <f>P14+R14-Q14+M14</f>
        <v>47000.1</v>
      </c>
      <c r="U14" s="39">
        <f>T14-V14-W14-X14</f>
        <v>41553.288</v>
      </c>
      <c r="V14" s="41">
        <f>P14*0.03</f>
        <v>1361.703</v>
      </c>
      <c r="W14" s="41">
        <f>P14*0.04</f>
        <v>1815.604</v>
      </c>
      <c r="X14" s="41">
        <f>P14*0.05</f>
        <v>2269.505</v>
      </c>
      <c r="Y14" s="42">
        <f>P14*0.05</f>
        <v>2269.505</v>
      </c>
      <c r="Z14" s="39">
        <f>T14-Y14</f>
        <v>44730.595</v>
      </c>
      <c r="AA14" s="39">
        <f>U14-Y14</f>
        <v>39283.783</v>
      </c>
      <c r="AB14" s="43"/>
      <c r="AC14" t="s" s="37">
        <v>0</v>
      </c>
      <c r="AD14" t="s" s="37">
        <v>0</v>
      </c>
      <c r="AE14" t="s" s="37">
        <v>0</v>
      </c>
      <c r="AF14" t="s" s="44">
        <v>0</v>
      </c>
      <c r="AG14" s="45"/>
      <c r="AH14" s="39"/>
      <c r="AI14" s="41">
        <f>AH14-T14-U14</f>
        <v>-88553.388000000006</v>
      </c>
      <c r="AJ14" t="s" s="44">
        <v>0</v>
      </c>
      <c r="AK14" s="45"/>
      <c r="AL14" s="39"/>
      <c r="AM14" s="41">
        <f>AL14-Z14-AA14</f>
        <v>-84014.378</v>
      </c>
      <c r="AN14" t="s" s="44">
        <v>0</v>
      </c>
      <c r="AO14" s="45"/>
      <c r="AP14" s="39"/>
      <c r="AQ14" s="41">
        <f>AP14-Y14</f>
        <v>-2269.505</v>
      </c>
      <c r="AR14" s="37"/>
      <c r="AS14" s="46">
        <v>0</v>
      </c>
    </row>
    <row r="15" ht="54.85" customHeight="1">
      <c r="A15" t="s" s="2">
        <v>0</v>
      </c>
      <c r="B15" s="33">
        <v>45486</v>
      </c>
      <c r="C15" t="s" s="34">
        <v>213</v>
      </c>
      <c r="D15" t="s" s="48">
        <v>64</v>
      </c>
      <c r="E15" t="s" s="49">
        <v>214</v>
      </c>
      <c r="F15" s="50"/>
      <c r="G15" t="s" s="49">
        <v>215</v>
      </c>
      <c r="H15" t="s" s="49">
        <v>216</v>
      </c>
      <c r="I15" t="s" s="51">
        <v>67</v>
      </c>
      <c r="J15" t="s" s="38">
        <v>217</v>
      </c>
      <c r="K15" s="52">
        <v>20396.25</v>
      </c>
      <c r="L15" s="52">
        <v>1732.5</v>
      </c>
      <c r="M15" s="52">
        <v>302</v>
      </c>
      <c r="N15" s="52"/>
      <c r="O15" s="52"/>
      <c r="P15" s="40">
        <f>K15-L15-O15+N15</f>
        <v>18663.75</v>
      </c>
      <c r="Q15" s="52"/>
      <c r="R15" s="52"/>
      <c r="S15" s="40">
        <f>L15</f>
        <v>1732.5</v>
      </c>
      <c r="T15" s="52">
        <f>P15+R15-Q15+M15</f>
        <v>18965.75</v>
      </c>
      <c r="U15" s="52">
        <f>T15-V15-W15-X15</f>
        <v>16726.1</v>
      </c>
      <c r="V15" s="41">
        <f>P15*0.03</f>
        <v>559.9125</v>
      </c>
      <c r="W15" s="41">
        <f>P15*0.04</f>
        <v>746.55</v>
      </c>
      <c r="X15" s="41">
        <f>P15*0.05</f>
        <v>933.1875</v>
      </c>
      <c r="Y15" s="42">
        <f>P15*0.05</f>
        <v>933.1875</v>
      </c>
      <c r="Z15" s="52">
        <f>T15-Y15</f>
        <v>18032.5625</v>
      </c>
      <c r="AA15" s="52">
        <f>U15-Y15</f>
        <v>15792.9125</v>
      </c>
      <c r="AB15" s="43"/>
      <c r="AC15" t="s" s="51">
        <v>0</v>
      </c>
      <c r="AD15" t="s" s="51">
        <v>0</v>
      </c>
      <c r="AE15" t="s" s="51">
        <v>0</v>
      </c>
      <c r="AF15" t="s" s="44">
        <v>0</v>
      </c>
      <c r="AG15" s="54"/>
      <c r="AH15" s="52"/>
      <c r="AI15" s="41">
        <f>AH15-T15-U15</f>
        <v>-35691.85</v>
      </c>
      <c r="AJ15" t="s" s="44">
        <v>0</v>
      </c>
      <c r="AK15" s="54"/>
      <c r="AL15" s="52"/>
      <c r="AM15" s="41">
        <f>AL15-Z15-AA15</f>
        <v>-33825.475</v>
      </c>
      <c r="AN15" t="s" s="44">
        <v>0</v>
      </c>
      <c r="AO15" s="54"/>
      <c r="AP15" s="52"/>
      <c r="AQ15" s="41">
        <f>AP15-Y15</f>
        <v>-933.1875</v>
      </c>
      <c r="AR15" s="51"/>
      <c r="AS15" s="55">
        <v>0</v>
      </c>
    </row>
    <row r="16" ht="54.85" customHeight="1">
      <c r="A16" t="s" s="2">
        <v>0</v>
      </c>
      <c r="B16" s="33">
        <v>45486</v>
      </c>
      <c r="C16" t="s" s="34">
        <v>218</v>
      </c>
      <c r="D16" t="s" s="48">
        <v>64</v>
      </c>
      <c r="E16" t="s" s="34">
        <v>219</v>
      </c>
      <c r="F16" s="36"/>
      <c r="G16" t="s" s="34">
        <v>220</v>
      </c>
      <c r="H16" t="s" s="34">
        <v>216</v>
      </c>
      <c r="I16" t="s" s="37">
        <v>221</v>
      </c>
      <c r="J16" t="s" s="38">
        <v>171</v>
      </c>
      <c r="K16" s="39">
        <v>2338.7</v>
      </c>
      <c r="L16" s="39">
        <v>229.95</v>
      </c>
      <c r="M16" s="39">
        <v>58</v>
      </c>
      <c r="N16" s="39"/>
      <c r="O16" s="39"/>
      <c r="P16" s="40">
        <f>K16-L16-O16+N16</f>
        <v>2108.75</v>
      </c>
      <c r="Q16" s="39"/>
      <c r="R16" s="39"/>
      <c r="S16" s="40">
        <f>L16</f>
        <v>229.95</v>
      </c>
      <c r="T16" s="39">
        <f>P16+R16-Q16+M16</f>
        <v>2166.75</v>
      </c>
      <c r="U16" s="39">
        <f>T16-V16-W16-X16</f>
        <v>1913.7</v>
      </c>
      <c r="V16" s="41">
        <f>P16*0.03</f>
        <v>63.2625</v>
      </c>
      <c r="W16" s="41">
        <f>P16*0.04</f>
        <v>84.34999999999999</v>
      </c>
      <c r="X16" s="41">
        <f>P16*0.05</f>
        <v>105.4375</v>
      </c>
      <c r="Y16" s="42">
        <f>P16*0.05</f>
        <v>105.4375</v>
      </c>
      <c r="Z16" s="39">
        <f>T16-Y16</f>
        <v>2061.3125</v>
      </c>
      <c r="AA16" s="39">
        <f>U16-Y16</f>
        <v>1808.2625</v>
      </c>
      <c r="AB16" s="43"/>
      <c r="AC16" t="s" s="37">
        <v>0</v>
      </c>
      <c r="AD16" t="s" s="37">
        <v>0</v>
      </c>
      <c r="AE16" t="s" s="37">
        <v>0</v>
      </c>
      <c r="AF16" t="s" s="44">
        <v>0</v>
      </c>
      <c r="AG16" s="45"/>
      <c r="AH16" s="39"/>
      <c r="AI16" s="41">
        <f>AH16-T16-U16</f>
        <v>-4080.45</v>
      </c>
      <c r="AJ16" t="s" s="44">
        <v>0</v>
      </c>
      <c r="AK16" s="45"/>
      <c r="AL16" s="39"/>
      <c r="AM16" s="41">
        <f>AL16-Z16-AA16</f>
        <v>-3869.575</v>
      </c>
      <c r="AN16" t="s" s="44">
        <v>0</v>
      </c>
      <c r="AO16" s="45"/>
      <c r="AP16" s="39"/>
      <c r="AQ16" s="41">
        <f>AP16-Y16</f>
        <v>-105.4375</v>
      </c>
      <c r="AR16" s="37"/>
      <c r="AS16" s="46">
        <v>0</v>
      </c>
    </row>
    <row r="17" ht="54.85" customHeight="1">
      <c r="A17" t="s" s="2">
        <v>0</v>
      </c>
      <c r="B17" s="33"/>
      <c r="C17" s="34"/>
      <c r="D17" s="35"/>
      <c r="E17" s="49"/>
      <c r="F17" s="50"/>
      <c r="G17" s="49"/>
      <c r="H17" s="49"/>
      <c r="I17" t="s" s="51">
        <v>0</v>
      </c>
      <c r="J17" s="38"/>
      <c r="K17" s="52"/>
      <c r="L17" s="52"/>
      <c r="M17" s="52"/>
      <c r="N17" s="52"/>
      <c r="O17" s="52"/>
      <c r="P17" s="40">
        <f>K17-L17-O17+N17</f>
        <v>0</v>
      </c>
      <c r="Q17" s="52"/>
      <c r="R17" s="52"/>
      <c r="S17" s="40">
        <f>L17</f>
        <v>0</v>
      </c>
      <c r="T17" s="52">
        <f>P17+R17-Q17+M17</f>
        <v>0</v>
      </c>
      <c r="U17" s="52">
        <f>T17-V17-W17-X17</f>
        <v>0</v>
      </c>
      <c r="V17" s="41">
        <f>P17*0.03</f>
        <v>0</v>
      </c>
      <c r="W17" s="41">
        <f>P17*0.04</f>
        <v>0</v>
      </c>
      <c r="X17" s="41">
        <f>P17*0.05</f>
        <v>0</v>
      </c>
      <c r="Y17" s="42">
        <f>P17*0.05</f>
        <v>0</v>
      </c>
      <c r="Z17" s="52">
        <f>T17-Y17</f>
        <v>0</v>
      </c>
      <c r="AA17" s="52">
        <f>U17-Y17</f>
        <v>0</v>
      </c>
      <c r="AB17" s="43"/>
      <c r="AC17" t="s" s="51">
        <v>0</v>
      </c>
      <c r="AD17" t="s" s="51">
        <v>0</v>
      </c>
      <c r="AE17" t="s" s="51">
        <v>0</v>
      </c>
      <c r="AF17" t="s" s="44">
        <v>0</v>
      </c>
      <c r="AG17" s="54"/>
      <c r="AH17" s="52"/>
      <c r="AI17" s="41">
        <f>AH17-T17-U17</f>
        <v>0</v>
      </c>
      <c r="AJ17" t="s" s="44">
        <v>0</v>
      </c>
      <c r="AK17" s="54"/>
      <c r="AL17" s="52"/>
      <c r="AM17" s="41">
        <f>AL17-Z17-AA17</f>
        <v>0</v>
      </c>
      <c r="AN17" t="s" s="44">
        <v>0</v>
      </c>
      <c r="AO17" s="54"/>
      <c r="AP17" s="52"/>
      <c r="AQ17" s="41">
        <f>AP17-Y17</f>
        <v>0</v>
      </c>
      <c r="AR17" s="51"/>
      <c r="AS17" s="55">
        <v>0</v>
      </c>
    </row>
    <row r="18" ht="54.85" customHeight="1">
      <c r="A18" t="s" s="2">
        <v>0</v>
      </c>
      <c r="B18" s="33">
        <v>45576</v>
      </c>
      <c r="C18" t="s" s="47">
        <v>222</v>
      </c>
      <c r="D18" t="s" s="48">
        <v>64</v>
      </c>
      <c r="E18" t="s" s="34">
        <v>223</v>
      </c>
      <c r="F18" s="36"/>
      <c r="G18" t="s" s="34">
        <v>224</v>
      </c>
      <c r="H18" t="s" s="34">
        <v>225</v>
      </c>
      <c r="I18" t="s" s="37">
        <v>226</v>
      </c>
      <c r="J18" t="s" s="38">
        <v>227</v>
      </c>
      <c r="K18" s="39">
        <v>9388.6</v>
      </c>
      <c r="L18" s="39">
        <v>2265.9</v>
      </c>
      <c r="M18" s="39">
        <v>415</v>
      </c>
      <c r="N18" s="39"/>
      <c r="O18" s="53">
        <v>531.3</v>
      </c>
      <c r="P18" s="40">
        <f>K18-L18-O18+N18</f>
        <v>6591.4</v>
      </c>
      <c r="Q18" s="39"/>
      <c r="R18" s="39"/>
      <c r="S18" s="40">
        <f>L18</f>
        <v>2265.9</v>
      </c>
      <c r="T18" s="39">
        <f>P18+R18-Q18+M18</f>
        <v>7006.4</v>
      </c>
      <c r="U18" s="39">
        <f>T18-V18-W18-X18</f>
        <v>6215.432</v>
      </c>
      <c r="V18" s="41">
        <f>P18*0.03</f>
        <v>197.742</v>
      </c>
      <c r="W18" s="41">
        <f>P18*0.04</f>
        <v>263.656</v>
      </c>
      <c r="X18" s="41">
        <f>P18*0.05</f>
        <v>329.57</v>
      </c>
      <c r="Y18" s="42">
        <f>P18*0.05</f>
        <v>329.57</v>
      </c>
      <c r="Z18" s="39">
        <f>T18-Y18</f>
        <v>6676.83</v>
      </c>
      <c r="AA18" s="39">
        <f>U18-Y18</f>
        <v>5885.862</v>
      </c>
      <c r="AB18" s="43"/>
      <c r="AC18" t="s" s="37">
        <v>0</v>
      </c>
      <c r="AD18" t="s" s="37">
        <v>0</v>
      </c>
      <c r="AE18" t="s" s="37">
        <v>0</v>
      </c>
      <c r="AF18" t="s" s="44">
        <v>0</v>
      </c>
      <c r="AG18" s="45"/>
      <c r="AH18" s="39"/>
      <c r="AI18" s="41">
        <f>AH18-T18-U18</f>
        <v>-13221.832</v>
      </c>
      <c r="AJ18" t="s" s="44">
        <v>0</v>
      </c>
      <c r="AK18" s="45"/>
      <c r="AL18" s="39"/>
      <c r="AM18" s="41">
        <f>AL18-Z18-AA18</f>
        <v>-12562.692</v>
      </c>
      <c r="AN18" t="s" s="44">
        <v>0</v>
      </c>
      <c r="AO18" s="45"/>
      <c r="AP18" s="39"/>
      <c r="AQ18" s="41">
        <f>AP18-Y18</f>
        <v>-329.57</v>
      </c>
      <c r="AR18" s="37"/>
      <c r="AS18" s="46">
        <v>0</v>
      </c>
    </row>
    <row r="19" ht="54.85" customHeight="1">
      <c r="A19" t="s" s="2">
        <v>0</v>
      </c>
      <c r="B19" s="33">
        <v>45576</v>
      </c>
      <c r="C19" t="s" s="47">
        <v>119</v>
      </c>
      <c r="D19" t="s" s="48">
        <v>64</v>
      </c>
      <c r="E19" t="s" s="49">
        <v>228</v>
      </c>
      <c r="F19" s="50"/>
      <c r="G19" t="s" s="49">
        <v>229</v>
      </c>
      <c r="H19" t="s" s="49">
        <v>230</v>
      </c>
      <c r="I19" t="s" s="51">
        <v>67</v>
      </c>
      <c r="J19" t="s" s="38">
        <v>122</v>
      </c>
      <c r="K19" s="52">
        <v>28568.4</v>
      </c>
      <c r="L19" s="52">
        <v>9163</v>
      </c>
      <c r="M19" s="52">
        <v>1565</v>
      </c>
      <c r="N19" s="52"/>
      <c r="O19" s="52"/>
      <c r="P19" s="40">
        <f>K19-L19-O19+N19</f>
        <v>19405.4</v>
      </c>
      <c r="Q19" s="52"/>
      <c r="R19" s="52"/>
      <c r="S19" s="40">
        <f>L19</f>
        <v>9163</v>
      </c>
      <c r="T19" s="52">
        <f>P19+R19-Q19+M19</f>
        <v>20970.4</v>
      </c>
      <c r="U19" s="52">
        <f>T19-V19-W19-X19</f>
        <v>18641.752</v>
      </c>
      <c r="V19" s="41">
        <f>P19*0.03</f>
        <v>582.162</v>
      </c>
      <c r="W19" s="41">
        <f>P19*0.04</f>
        <v>776.216</v>
      </c>
      <c r="X19" s="41">
        <f>P19*0.05</f>
        <v>970.27</v>
      </c>
      <c r="Y19" s="42">
        <f>P19*0.05</f>
        <v>970.27</v>
      </c>
      <c r="Z19" s="52">
        <f>T19-Y19</f>
        <v>20000.13</v>
      </c>
      <c r="AA19" s="52">
        <f>U19-Y19</f>
        <v>17671.482</v>
      </c>
      <c r="AB19" s="43"/>
      <c r="AC19" t="s" s="51">
        <v>0</v>
      </c>
      <c r="AD19" t="s" s="51">
        <v>0</v>
      </c>
      <c r="AE19" t="s" s="51">
        <v>0</v>
      </c>
      <c r="AF19" t="s" s="44">
        <v>0</v>
      </c>
      <c r="AG19" s="54"/>
      <c r="AH19" s="52"/>
      <c r="AI19" s="41">
        <f>AH19-T19-U19</f>
        <v>-39612.152</v>
      </c>
      <c r="AJ19" t="s" s="44">
        <v>0</v>
      </c>
      <c r="AK19" s="54"/>
      <c r="AL19" s="52"/>
      <c r="AM19" s="41">
        <f>AL19-Z19-AA19</f>
        <v>-37671.612</v>
      </c>
      <c r="AN19" t="s" s="44">
        <v>0</v>
      </c>
      <c r="AO19" s="54"/>
      <c r="AP19" s="52"/>
      <c r="AQ19" s="41">
        <f>AP19-Y19</f>
        <v>-970.27</v>
      </c>
      <c r="AR19" s="51"/>
      <c r="AS19" s="55">
        <v>0</v>
      </c>
    </row>
    <row r="20" ht="54.85" customHeight="1">
      <c r="A20" t="s" s="2">
        <v>0</v>
      </c>
      <c r="B20" s="33">
        <v>45576</v>
      </c>
      <c r="C20" t="s" s="47">
        <v>73</v>
      </c>
      <c r="D20" t="s" s="48">
        <v>64</v>
      </c>
      <c r="E20" t="s" s="34">
        <v>231</v>
      </c>
      <c r="F20" s="36"/>
      <c r="G20" t="s" s="34">
        <v>232</v>
      </c>
      <c r="H20" t="s" s="34">
        <v>233</v>
      </c>
      <c r="I20" t="s" s="37">
        <v>81</v>
      </c>
      <c r="J20" t="s" s="38">
        <v>77</v>
      </c>
      <c r="K20" s="39">
        <v>4340.7</v>
      </c>
      <c r="L20" s="39">
        <v>346.5</v>
      </c>
      <c r="M20" s="39">
        <v>70</v>
      </c>
      <c r="N20" s="39"/>
      <c r="O20" s="39"/>
      <c r="P20" s="40">
        <f>K20-L20-O20+N20</f>
        <v>3994.2</v>
      </c>
      <c r="Q20" s="39"/>
      <c r="R20" s="39"/>
      <c r="S20" s="40">
        <f>L20</f>
        <v>346.5</v>
      </c>
      <c r="T20" s="39">
        <f>P20+R20-Q20+M20</f>
        <v>4064.2</v>
      </c>
      <c r="U20" s="39">
        <f>T20-V20-W20-X20</f>
        <v>3584.896</v>
      </c>
      <c r="V20" s="41">
        <f>P20*0.03</f>
        <v>119.826</v>
      </c>
      <c r="W20" s="41">
        <f>P20*0.04</f>
        <v>159.768</v>
      </c>
      <c r="X20" s="41">
        <f>P20*0.05</f>
        <v>199.71</v>
      </c>
      <c r="Y20" s="42">
        <f>P20*0.05</f>
        <v>199.71</v>
      </c>
      <c r="Z20" s="39">
        <f>T20-Y20</f>
        <v>3864.49</v>
      </c>
      <c r="AA20" s="39">
        <f>U20-Y20</f>
        <v>3385.186</v>
      </c>
      <c r="AB20" s="43"/>
      <c r="AC20" t="s" s="37">
        <v>0</v>
      </c>
      <c r="AD20" t="s" s="37">
        <v>0</v>
      </c>
      <c r="AE20" t="s" s="37">
        <v>0</v>
      </c>
      <c r="AF20" t="s" s="44">
        <v>0</v>
      </c>
      <c r="AG20" s="45"/>
      <c r="AH20" s="39"/>
      <c r="AI20" s="41">
        <f>AH20-T20-U20</f>
        <v>-7649.096</v>
      </c>
      <c r="AJ20" t="s" s="44">
        <v>0</v>
      </c>
      <c r="AK20" s="45"/>
      <c r="AL20" s="39"/>
      <c r="AM20" s="41">
        <f>AL20-Z20-AA20</f>
        <v>-7249.676</v>
      </c>
      <c r="AN20" t="s" s="44">
        <v>0</v>
      </c>
      <c r="AO20" s="45"/>
      <c r="AP20" s="39"/>
      <c r="AQ20" s="41">
        <f>AP20-Y20</f>
        <v>-199.71</v>
      </c>
      <c r="AR20" s="37"/>
      <c r="AS20" s="46">
        <v>0</v>
      </c>
    </row>
    <row r="21" ht="54.85" customHeight="1">
      <c r="A21" t="s" s="2">
        <v>0</v>
      </c>
      <c r="B21" s="33">
        <v>45576</v>
      </c>
      <c r="C21" t="s" s="58">
        <v>234</v>
      </c>
      <c r="D21" t="s" s="48">
        <v>64</v>
      </c>
      <c r="E21" t="s" s="49">
        <v>235</v>
      </c>
      <c r="F21" s="50"/>
      <c r="G21" t="s" s="49">
        <v>236</v>
      </c>
      <c r="H21" t="s" s="49">
        <v>237</v>
      </c>
      <c r="I21" t="s" s="51">
        <v>76</v>
      </c>
      <c r="J21" t="s" s="38">
        <v>238</v>
      </c>
      <c r="K21" s="52">
        <v>15960</v>
      </c>
      <c r="L21" s="52">
        <v>1585.5</v>
      </c>
      <c r="M21" s="52">
        <v>295</v>
      </c>
      <c r="N21" s="52"/>
      <c r="O21" s="53">
        <v>383.25</v>
      </c>
      <c r="P21" s="40">
        <f>K21-L21-O21+N21</f>
        <v>13991.25</v>
      </c>
      <c r="Q21" s="52"/>
      <c r="R21" s="52"/>
      <c r="S21" s="40">
        <f>L21</f>
        <v>1585.5</v>
      </c>
      <c r="T21" s="52">
        <f>P21+R21-Q21+M21</f>
        <v>14286.25</v>
      </c>
      <c r="U21" s="52">
        <f>T21-V21-W21-X21</f>
        <v>12607.3</v>
      </c>
      <c r="V21" s="41">
        <f>P21*0.03</f>
        <v>419.7375</v>
      </c>
      <c r="W21" s="41">
        <f>P21*0.04</f>
        <v>559.65</v>
      </c>
      <c r="X21" s="41">
        <f>P21*0.05</f>
        <v>699.5625</v>
      </c>
      <c r="Y21" s="42">
        <f>P21*0.05</f>
        <v>699.5625</v>
      </c>
      <c r="Z21" s="52">
        <f>T21-Y21</f>
        <v>13586.6875</v>
      </c>
      <c r="AA21" s="52">
        <f>U21-Y21</f>
        <v>11907.7375</v>
      </c>
      <c r="AB21" s="43"/>
      <c r="AC21" t="s" s="51">
        <v>0</v>
      </c>
      <c r="AD21" t="s" s="51">
        <v>0</v>
      </c>
      <c r="AE21" t="s" s="51">
        <v>0</v>
      </c>
      <c r="AF21" t="s" s="44">
        <v>0</v>
      </c>
      <c r="AG21" s="54"/>
      <c r="AH21" s="52"/>
      <c r="AI21" s="41">
        <f>AH21-T21-U21</f>
        <v>-26893.55</v>
      </c>
      <c r="AJ21" t="s" s="44">
        <v>0</v>
      </c>
      <c r="AK21" s="54"/>
      <c r="AL21" s="52"/>
      <c r="AM21" s="41">
        <f>AL21-Z21-AA21</f>
        <v>-25494.425</v>
      </c>
      <c r="AN21" t="s" s="44">
        <v>0</v>
      </c>
      <c r="AO21" s="54"/>
      <c r="AP21" s="52"/>
      <c r="AQ21" s="41">
        <f>AP21-Y21</f>
        <v>-699.5625</v>
      </c>
      <c r="AR21" s="51"/>
      <c r="AS21" s="55">
        <v>0</v>
      </c>
    </row>
    <row r="22" ht="54.85" customHeight="1">
      <c r="A22" t="s" s="2">
        <v>0</v>
      </c>
      <c r="B22" s="33"/>
      <c r="C22" s="34"/>
      <c r="D22" s="35"/>
      <c r="E22" s="34"/>
      <c r="F22" s="36"/>
      <c r="G22" s="34"/>
      <c r="H22" s="34"/>
      <c r="I22" t="s" s="37">
        <v>0</v>
      </c>
      <c r="J22" s="38"/>
      <c r="K22" s="39"/>
      <c r="L22" s="39"/>
      <c r="M22" s="39"/>
      <c r="N22" s="39"/>
      <c r="O22" s="39"/>
      <c r="P22" s="40">
        <f>K22-L22-O22+N22</f>
        <v>0</v>
      </c>
      <c r="Q22" s="39"/>
      <c r="R22" s="39"/>
      <c r="S22" s="40">
        <f>L22</f>
        <v>0</v>
      </c>
      <c r="T22" s="39">
        <f>P22+R22-Q22+M22</f>
        <v>0</v>
      </c>
      <c r="U22" s="39">
        <f>T22-V22-W22-X22</f>
        <v>0</v>
      </c>
      <c r="V22" s="41">
        <f>P22*0.03</f>
        <v>0</v>
      </c>
      <c r="W22" s="41">
        <f>P22*0.04</f>
        <v>0</v>
      </c>
      <c r="X22" s="41">
        <f>P22*0.05</f>
        <v>0</v>
      </c>
      <c r="Y22" s="42">
        <f>P22*0.05</f>
        <v>0</v>
      </c>
      <c r="Z22" s="39">
        <f>T22-Y22</f>
        <v>0</v>
      </c>
      <c r="AA22" s="39">
        <f>U22-Y22</f>
        <v>0</v>
      </c>
      <c r="AB22" s="43"/>
      <c r="AC22" t="s" s="37">
        <v>0</v>
      </c>
      <c r="AD22" t="s" s="37">
        <v>0</v>
      </c>
      <c r="AE22" t="s" s="37">
        <v>0</v>
      </c>
      <c r="AF22" t="s" s="44">
        <v>0</v>
      </c>
      <c r="AG22" s="45"/>
      <c r="AH22" s="39"/>
      <c r="AI22" s="41">
        <f>AH22-T22-U22</f>
        <v>0</v>
      </c>
      <c r="AJ22" t="s" s="44">
        <v>0</v>
      </c>
      <c r="AK22" s="45"/>
      <c r="AL22" s="39"/>
      <c r="AM22" s="41">
        <f>AL22-Z22-AA22</f>
        <v>0</v>
      </c>
      <c r="AN22" t="s" s="44">
        <v>0</v>
      </c>
      <c r="AO22" s="45"/>
      <c r="AP22" s="39"/>
      <c r="AQ22" s="41">
        <f>AP22-Y22</f>
        <v>0</v>
      </c>
      <c r="AR22" s="37"/>
      <c r="AS22" s="46">
        <v>0</v>
      </c>
    </row>
    <row r="23" ht="54.85" customHeight="1">
      <c r="A23" t="s" s="2">
        <v>0</v>
      </c>
      <c r="B23" s="33">
        <v>45640</v>
      </c>
      <c r="C23" t="s" s="58">
        <v>98</v>
      </c>
      <c r="D23" t="s" s="48">
        <v>64</v>
      </c>
      <c r="E23" t="s" s="49">
        <v>239</v>
      </c>
      <c r="F23" s="50"/>
      <c r="G23" t="s" s="49">
        <v>240</v>
      </c>
      <c r="H23" t="s" s="49">
        <v>241</v>
      </c>
      <c r="I23" t="s" s="51">
        <v>67</v>
      </c>
      <c r="J23" t="s" s="38">
        <v>197</v>
      </c>
      <c r="K23" s="52">
        <v>13372.8</v>
      </c>
      <c r="L23" s="52">
        <v>2166.5</v>
      </c>
      <c r="M23" s="52">
        <v>260</v>
      </c>
      <c r="N23" s="52"/>
      <c r="O23" s="52"/>
      <c r="P23" s="40">
        <f>K23-L23-O23+N23</f>
        <v>11206.3</v>
      </c>
      <c r="Q23" s="52"/>
      <c r="R23" s="52"/>
      <c r="S23" s="40">
        <f>L23</f>
        <v>2166.5</v>
      </c>
      <c r="T23" s="52">
        <f>P23+R23-Q23+M23</f>
        <v>11466.3</v>
      </c>
      <c r="U23" s="52">
        <f>T23-V23-W23-X23</f>
        <v>10121.544</v>
      </c>
      <c r="V23" s="41">
        <f>P23*0.03</f>
        <v>336.189</v>
      </c>
      <c r="W23" s="41">
        <f>P23*0.04</f>
        <v>448.252</v>
      </c>
      <c r="X23" s="41">
        <f>P23*0.05</f>
        <v>560.3150000000001</v>
      </c>
      <c r="Y23" s="42">
        <f>P23*0.05</f>
        <v>560.3150000000001</v>
      </c>
      <c r="Z23" s="52">
        <f>T23-Y23</f>
        <v>10905.985</v>
      </c>
      <c r="AA23" s="52">
        <f>U23-Y23</f>
        <v>9561.228999999999</v>
      </c>
      <c r="AB23" s="43"/>
      <c r="AC23" t="s" s="51">
        <v>0</v>
      </c>
      <c r="AD23" t="s" s="51">
        <v>0</v>
      </c>
      <c r="AE23" t="s" s="51">
        <v>0</v>
      </c>
      <c r="AF23" t="s" s="44">
        <v>0</v>
      </c>
      <c r="AG23" s="54"/>
      <c r="AH23" s="52"/>
      <c r="AI23" s="41">
        <f>AH23-T23-U23</f>
        <v>-21587.844</v>
      </c>
      <c r="AJ23" t="s" s="44">
        <v>0</v>
      </c>
      <c r="AK23" s="54"/>
      <c r="AL23" s="52"/>
      <c r="AM23" s="41">
        <f>AL23-Z23-AA23</f>
        <v>-20467.214</v>
      </c>
      <c r="AN23" t="s" s="44">
        <v>0</v>
      </c>
      <c r="AO23" s="54"/>
      <c r="AP23" s="52"/>
      <c r="AQ23" s="41">
        <f>AP23-Y23</f>
        <v>-560.3150000000001</v>
      </c>
      <c r="AR23" s="51"/>
      <c r="AS23" s="55">
        <v>0</v>
      </c>
    </row>
    <row r="24" ht="54.85" customHeight="1">
      <c r="A24" t="s" s="2">
        <v>0</v>
      </c>
      <c r="B24" s="33">
        <v>45640</v>
      </c>
      <c r="C24" t="s" s="47">
        <v>242</v>
      </c>
      <c r="D24" t="s" s="48">
        <v>64</v>
      </c>
      <c r="E24" t="s" s="34">
        <v>243</v>
      </c>
      <c r="F24" s="36"/>
      <c r="G24" t="s" s="34">
        <v>244</v>
      </c>
      <c r="H24" t="s" s="34">
        <v>240</v>
      </c>
      <c r="I24" t="s" s="37">
        <v>76</v>
      </c>
      <c r="J24" t="s" s="38">
        <v>245</v>
      </c>
      <c r="K24" s="39">
        <v>27007.5</v>
      </c>
      <c r="L24" s="39">
        <v>2779</v>
      </c>
      <c r="M24" s="39">
        <v>330</v>
      </c>
      <c r="N24" s="39"/>
      <c r="O24" s="39"/>
      <c r="P24" s="40">
        <f>K24-L24-O24+N24</f>
        <v>24228.5</v>
      </c>
      <c r="Q24" s="39"/>
      <c r="R24" s="39"/>
      <c r="S24" s="40">
        <f>L24</f>
        <v>2779</v>
      </c>
      <c r="T24" s="39">
        <f>P24+R24-Q24+M24</f>
        <v>24558.5</v>
      </c>
      <c r="U24" s="39">
        <f>T24-V24-W24-X24</f>
        <v>21651.08</v>
      </c>
      <c r="V24" s="41">
        <f>P24*0.03</f>
        <v>726.855</v>
      </c>
      <c r="W24" s="41">
        <f>P24*0.04</f>
        <v>969.14</v>
      </c>
      <c r="X24" s="41">
        <f>P24*0.05</f>
        <v>1211.425</v>
      </c>
      <c r="Y24" s="42">
        <f>P24*0.05</f>
        <v>1211.425</v>
      </c>
      <c r="Z24" s="39">
        <f>T24-Y24</f>
        <v>23347.075</v>
      </c>
      <c r="AA24" s="39">
        <f>U24-Y24</f>
        <v>20439.655</v>
      </c>
      <c r="AB24" s="43"/>
      <c r="AC24" t="s" s="37">
        <v>0</v>
      </c>
      <c r="AD24" t="s" s="37">
        <v>0</v>
      </c>
      <c r="AE24" t="s" s="37">
        <v>0</v>
      </c>
      <c r="AF24" t="s" s="44">
        <v>0</v>
      </c>
      <c r="AG24" s="45"/>
      <c r="AH24" s="39"/>
      <c r="AI24" s="41">
        <f>AH24-T24-U24</f>
        <v>-46209.58</v>
      </c>
      <c r="AJ24" t="s" s="44">
        <v>0</v>
      </c>
      <c r="AK24" s="45"/>
      <c r="AL24" s="39"/>
      <c r="AM24" s="41">
        <f>AL24-Z24-AA24</f>
        <v>-43786.73</v>
      </c>
      <c r="AN24" t="s" s="44">
        <v>0</v>
      </c>
      <c r="AO24" s="45"/>
      <c r="AP24" s="39"/>
      <c r="AQ24" s="41">
        <f>AP24-Y24</f>
        <v>-1211.425</v>
      </c>
      <c r="AR24" s="37"/>
      <c r="AS24" s="46">
        <v>0</v>
      </c>
    </row>
    <row r="25" ht="54.85" customHeight="1">
      <c r="A25" t="s" s="2">
        <v>0</v>
      </c>
      <c r="B25" s="33"/>
      <c r="C25" s="34"/>
      <c r="D25" s="35"/>
      <c r="E25" s="49"/>
      <c r="F25" s="50"/>
      <c r="G25" s="49"/>
      <c r="H25" s="49"/>
      <c r="I25" t="s" s="51">
        <v>0</v>
      </c>
      <c r="J25" s="38"/>
      <c r="K25" s="52"/>
      <c r="L25" s="52"/>
      <c r="M25" s="52"/>
      <c r="N25" s="52"/>
      <c r="O25" s="52"/>
      <c r="P25" s="40">
        <f>K25-L25-O25+N25</f>
        <v>0</v>
      </c>
      <c r="Q25" s="52"/>
      <c r="R25" s="52"/>
      <c r="S25" s="40">
        <f>L25</f>
        <v>0</v>
      </c>
      <c r="T25" s="52">
        <f>P25+R25-Q25+M25</f>
        <v>0</v>
      </c>
      <c r="U25" s="52">
        <f>T25-V25-W25-X25</f>
        <v>0</v>
      </c>
      <c r="V25" s="41">
        <f>P25*0.03</f>
        <v>0</v>
      </c>
      <c r="W25" s="41">
        <f>P25*0.04</f>
        <v>0</v>
      </c>
      <c r="X25" s="41">
        <f>P25*0.05</f>
        <v>0</v>
      </c>
      <c r="Y25" s="42">
        <f>P25*0.05</f>
        <v>0</v>
      </c>
      <c r="Z25" s="52">
        <f>T25-Y25</f>
        <v>0</v>
      </c>
      <c r="AA25" s="52">
        <f>U25-Y25</f>
        <v>0</v>
      </c>
      <c r="AB25" s="43"/>
      <c r="AC25" t="s" s="51">
        <v>0</v>
      </c>
      <c r="AD25" t="s" s="51">
        <v>0</v>
      </c>
      <c r="AE25" t="s" s="51">
        <v>0</v>
      </c>
      <c r="AF25" t="s" s="44">
        <v>0</v>
      </c>
      <c r="AG25" s="54"/>
      <c r="AH25" s="52"/>
      <c r="AI25" s="41">
        <f>AH25-T25-U25</f>
        <v>0</v>
      </c>
      <c r="AJ25" t="s" s="44">
        <v>0</v>
      </c>
      <c r="AK25" s="54"/>
      <c r="AL25" s="52"/>
      <c r="AM25" s="41">
        <f>AL25-Z25-AA25</f>
        <v>0</v>
      </c>
      <c r="AN25" t="s" s="44">
        <v>0</v>
      </c>
      <c r="AO25" s="54"/>
      <c r="AP25" s="52"/>
      <c r="AQ25" s="41">
        <f>AP25-Y25</f>
        <v>0</v>
      </c>
      <c r="AR25" s="51"/>
      <c r="AS25" s="55">
        <v>0</v>
      </c>
    </row>
    <row r="26" ht="54.85" customHeight="1">
      <c r="A26" t="s" s="2">
        <v>0</v>
      </c>
      <c r="B26" s="33">
        <v>45643</v>
      </c>
      <c r="C26" t="s" s="47">
        <v>246</v>
      </c>
      <c r="D26" t="s" s="48">
        <v>64</v>
      </c>
      <c r="E26" t="s" s="34">
        <v>247</v>
      </c>
      <c r="F26" s="36"/>
      <c r="G26" t="s" s="34">
        <v>248</v>
      </c>
      <c r="H26" t="s" s="34">
        <v>249</v>
      </c>
      <c r="I26" t="s" s="37">
        <v>67</v>
      </c>
      <c r="J26" t="s" s="38">
        <v>217</v>
      </c>
      <c r="K26" s="39">
        <v>41404.5</v>
      </c>
      <c r="L26" s="39">
        <v>6467.5</v>
      </c>
      <c r="M26" s="39">
        <v>735</v>
      </c>
      <c r="N26" s="39"/>
      <c r="O26" s="39"/>
      <c r="P26" s="40">
        <f>K26-L26-O26+N26</f>
        <v>34937</v>
      </c>
      <c r="Q26" s="39"/>
      <c r="R26" s="39"/>
      <c r="S26" s="40">
        <f>L26</f>
        <v>6467.5</v>
      </c>
      <c r="T26" s="39">
        <f>P26+R26-Q26+M26</f>
        <v>35672</v>
      </c>
      <c r="U26" s="39">
        <f>T26-V26-W26-X26</f>
        <v>31479.56</v>
      </c>
      <c r="V26" s="41">
        <f>P26*0.03</f>
        <v>1048.11</v>
      </c>
      <c r="W26" s="41">
        <f>P26*0.04</f>
        <v>1397.48</v>
      </c>
      <c r="X26" s="41">
        <f>P26*0.05</f>
        <v>1746.85</v>
      </c>
      <c r="Y26" s="42">
        <f>P26*0.05</f>
        <v>1746.85</v>
      </c>
      <c r="Z26" s="39">
        <f>T26-Y26</f>
        <v>33925.15</v>
      </c>
      <c r="AA26" s="39">
        <f>U26-Y26</f>
        <v>29732.71</v>
      </c>
      <c r="AB26" s="43"/>
      <c r="AC26" t="s" s="37">
        <v>0</v>
      </c>
      <c r="AD26" t="s" s="37">
        <v>0</v>
      </c>
      <c r="AE26" t="s" s="37">
        <v>0</v>
      </c>
      <c r="AF26" t="s" s="44">
        <v>0</v>
      </c>
      <c r="AG26" s="45"/>
      <c r="AH26" s="39"/>
      <c r="AI26" s="41">
        <f>AH26-T26-U26</f>
        <v>-67151.56</v>
      </c>
      <c r="AJ26" t="s" s="44">
        <v>0</v>
      </c>
      <c r="AK26" s="45"/>
      <c r="AL26" s="39"/>
      <c r="AM26" s="41">
        <f>AL26-Z26-AA26</f>
        <v>-63657.86</v>
      </c>
      <c r="AN26" t="s" s="44">
        <v>0</v>
      </c>
      <c r="AO26" s="45"/>
      <c r="AP26" s="39"/>
      <c r="AQ26" s="41">
        <f>AP26-Y26</f>
        <v>-1746.85</v>
      </c>
      <c r="AR26" s="37"/>
      <c r="AS26" s="46">
        <v>0</v>
      </c>
    </row>
    <row r="27" ht="54.85" customHeight="1">
      <c r="A27" t="s" s="2">
        <v>0</v>
      </c>
      <c r="B27" s="33"/>
      <c r="C27" t="s" s="85">
        <v>250</v>
      </c>
      <c r="D27" s="35"/>
      <c r="E27" s="49"/>
      <c r="F27" s="50"/>
      <c r="G27" s="49"/>
      <c r="H27" s="49"/>
      <c r="I27" t="s" s="51">
        <v>0</v>
      </c>
      <c r="J27" s="38"/>
      <c r="K27" s="86">
        <v>44164.8</v>
      </c>
      <c r="L27" s="86">
        <v>6467.5</v>
      </c>
      <c r="M27" s="86">
        <v>735</v>
      </c>
      <c r="N27" s="52"/>
      <c r="O27" s="52"/>
      <c r="P27" s="40">
        <f>K27-L27-O27+N27</f>
        <v>37697.3</v>
      </c>
      <c r="Q27" s="52"/>
      <c r="R27" s="52"/>
      <c r="S27" s="40">
        <f>L27</f>
        <v>6467.5</v>
      </c>
      <c r="T27" s="52">
        <f>P27+R27-Q27+M27</f>
        <v>38432.3</v>
      </c>
      <c r="U27" s="52">
        <f>T27-V27-W27-X27</f>
        <v>33908.624</v>
      </c>
      <c r="V27" s="41">
        <f>P27*0.03</f>
        <v>1130.919</v>
      </c>
      <c r="W27" s="41">
        <f>P27*0.04</f>
        <v>1507.892</v>
      </c>
      <c r="X27" s="41">
        <f>P27*0.05</f>
        <v>1884.865</v>
      </c>
      <c r="Y27" s="42">
        <f>P27*0.05</f>
        <v>1884.865</v>
      </c>
      <c r="Z27" s="52">
        <f>T27-Y27</f>
        <v>36547.435</v>
      </c>
      <c r="AA27" s="52">
        <f>U27-Y27</f>
        <v>32023.759</v>
      </c>
      <c r="AB27" s="43"/>
      <c r="AC27" t="s" s="51">
        <v>0</v>
      </c>
      <c r="AD27" t="s" s="51">
        <v>0</v>
      </c>
      <c r="AE27" t="s" s="51">
        <v>0</v>
      </c>
      <c r="AF27" t="s" s="44">
        <v>0</v>
      </c>
      <c r="AG27" s="54"/>
      <c r="AH27" s="52"/>
      <c r="AI27" s="41">
        <f>AH27-T27-U27</f>
        <v>-72340.924</v>
      </c>
      <c r="AJ27" t="s" s="44">
        <v>0</v>
      </c>
      <c r="AK27" s="54"/>
      <c r="AL27" s="52"/>
      <c r="AM27" s="41">
        <f>AL27-Z27-AA27</f>
        <v>-68571.194</v>
      </c>
      <c r="AN27" t="s" s="44">
        <v>0</v>
      </c>
      <c r="AO27" s="54"/>
      <c r="AP27" s="52"/>
      <c r="AQ27" s="41">
        <f>AP27-Y27</f>
        <v>-1884.865</v>
      </c>
      <c r="AR27" s="51"/>
      <c r="AS27" s="55">
        <v>0</v>
      </c>
    </row>
    <row r="28" ht="54.85" customHeight="1">
      <c r="A28" t="s" s="2">
        <v>0</v>
      </c>
      <c r="B28" s="33">
        <v>45643</v>
      </c>
      <c r="C28" t="s" s="58">
        <v>82</v>
      </c>
      <c r="D28" t="s" s="48">
        <v>64</v>
      </c>
      <c r="E28" t="s" s="34">
        <v>251</v>
      </c>
      <c r="F28" s="36"/>
      <c r="G28" t="s" s="34">
        <v>252</v>
      </c>
      <c r="H28" t="s" s="34">
        <v>253</v>
      </c>
      <c r="I28" t="s" s="37">
        <v>76</v>
      </c>
      <c r="J28" t="s" s="38">
        <v>85</v>
      </c>
      <c r="K28" s="39">
        <v>53062</v>
      </c>
      <c r="L28" s="39">
        <v>10728.25</v>
      </c>
      <c r="M28" s="39">
        <v>1270</v>
      </c>
      <c r="N28" s="39"/>
      <c r="O28" s="39"/>
      <c r="P28" s="40">
        <f>K28-L28-O28+N28</f>
        <v>42333.75</v>
      </c>
      <c r="Q28" s="39"/>
      <c r="R28" s="39"/>
      <c r="S28" s="40">
        <f>L28</f>
        <v>10728.25</v>
      </c>
      <c r="T28" s="39">
        <f>P28+R28-Q28+M28</f>
        <v>43603.75</v>
      </c>
      <c r="U28" s="39">
        <f>T28-V28-W28-X28</f>
        <v>38523.7</v>
      </c>
      <c r="V28" s="41">
        <f>P28*0.03</f>
        <v>1270.0125</v>
      </c>
      <c r="W28" s="41">
        <f>P28*0.04</f>
        <v>1693.35</v>
      </c>
      <c r="X28" s="41">
        <f>P28*0.05</f>
        <v>2116.6875</v>
      </c>
      <c r="Y28" s="42">
        <f>P28*0.05</f>
        <v>2116.6875</v>
      </c>
      <c r="Z28" s="39">
        <f>T28-Y28</f>
        <v>41487.0625</v>
      </c>
      <c r="AA28" s="39">
        <f>U28-Y28</f>
        <v>36407.0125</v>
      </c>
      <c r="AB28" s="43"/>
      <c r="AC28" t="s" s="37">
        <v>0</v>
      </c>
      <c r="AD28" t="s" s="37">
        <v>0</v>
      </c>
      <c r="AE28" t="s" s="37">
        <v>0</v>
      </c>
      <c r="AF28" t="s" s="44">
        <v>0</v>
      </c>
      <c r="AG28" s="45"/>
      <c r="AH28" s="39"/>
      <c r="AI28" s="41">
        <f>AH28-T28-U28</f>
        <v>-82127.45</v>
      </c>
      <c r="AJ28" t="s" s="44">
        <v>0</v>
      </c>
      <c r="AK28" s="45"/>
      <c r="AL28" s="39"/>
      <c r="AM28" s="41">
        <f>AL28-Z28-AA28</f>
        <v>-77894.075</v>
      </c>
      <c r="AN28" t="s" s="44">
        <v>0</v>
      </c>
      <c r="AO28" s="45"/>
      <c r="AP28" s="39"/>
      <c r="AQ28" s="41">
        <f>AP28-Y28</f>
        <v>-2116.6875</v>
      </c>
      <c r="AR28" s="37"/>
      <c r="AS28" s="46">
        <v>0</v>
      </c>
    </row>
    <row r="29" ht="54.85" customHeight="1">
      <c r="A29" t="s" s="2">
        <v>0</v>
      </c>
      <c r="B29" s="33">
        <v>45643</v>
      </c>
      <c r="C29" t="s" s="47">
        <v>254</v>
      </c>
      <c r="D29" t="s" s="48">
        <v>64</v>
      </c>
      <c r="E29" t="s" s="49">
        <v>255</v>
      </c>
      <c r="F29" s="50"/>
      <c r="G29" t="s" s="49">
        <v>256</v>
      </c>
      <c r="H29" t="s" s="49">
        <v>257</v>
      </c>
      <c r="I29" t="s" s="51">
        <v>67</v>
      </c>
      <c r="J29" t="s" s="38">
        <v>85</v>
      </c>
      <c r="K29" s="52">
        <v>15582</v>
      </c>
      <c r="L29" s="52">
        <v>4407</v>
      </c>
      <c r="M29" s="52">
        <v>520</v>
      </c>
      <c r="N29" s="52"/>
      <c r="O29" s="52"/>
      <c r="P29" s="40">
        <f>K29-L29-O29+N29</f>
        <v>11175</v>
      </c>
      <c r="Q29" s="52"/>
      <c r="R29" s="52"/>
      <c r="S29" s="40">
        <f>L29</f>
        <v>4407</v>
      </c>
      <c r="T29" s="52">
        <f>P29+R29-Q29+M29</f>
        <v>11695</v>
      </c>
      <c r="U29" s="52">
        <f>T29-V29-W29-X29</f>
        <v>10354</v>
      </c>
      <c r="V29" s="41">
        <f>P29*0.03</f>
        <v>335.25</v>
      </c>
      <c r="W29" s="41">
        <f>P29*0.04</f>
        <v>447</v>
      </c>
      <c r="X29" s="41">
        <f>P29*0.05</f>
        <v>558.75</v>
      </c>
      <c r="Y29" s="42">
        <f>P29*0.05</f>
        <v>558.75</v>
      </c>
      <c r="Z29" s="52">
        <f>T29-Y29</f>
        <v>11136.25</v>
      </c>
      <c r="AA29" s="52">
        <f>U29-Y29</f>
        <v>9795.25</v>
      </c>
      <c r="AB29" s="43"/>
      <c r="AC29" t="s" s="51">
        <v>0</v>
      </c>
      <c r="AD29" t="s" s="51">
        <v>0</v>
      </c>
      <c r="AE29" t="s" s="51">
        <v>0</v>
      </c>
      <c r="AF29" t="s" s="44">
        <v>0</v>
      </c>
      <c r="AG29" s="54"/>
      <c r="AH29" s="52"/>
      <c r="AI29" s="41">
        <f>AH29-T29-U29</f>
        <v>-22049</v>
      </c>
      <c r="AJ29" t="s" s="44">
        <v>0</v>
      </c>
      <c r="AK29" s="54"/>
      <c r="AL29" s="52"/>
      <c r="AM29" s="41">
        <f>AL29-Z29-AA29</f>
        <v>-20931.5</v>
      </c>
      <c r="AN29" t="s" s="44">
        <v>0</v>
      </c>
      <c r="AO29" s="54"/>
      <c r="AP29" s="52"/>
      <c r="AQ29" s="41">
        <f>AP29-Y29</f>
        <v>-558.75</v>
      </c>
      <c r="AR29" s="51"/>
      <c r="AS29" s="55">
        <v>0</v>
      </c>
    </row>
    <row r="30" ht="54.85" customHeight="1">
      <c r="A30" t="s" s="2">
        <v>0</v>
      </c>
      <c r="B30" s="33"/>
      <c r="C30" s="34"/>
      <c r="D30" s="35"/>
      <c r="E30" s="34"/>
      <c r="F30" s="36"/>
      <c r="G30" s="34"/>
      <c r="H30" s="34"/>
      <c r="I30" t="s" s="37">
        <v>0</v>
      </c>
      <c r="J30" s="38"/>
      <c r="K30" s="39"/>
      <c r="L30" s="39"/>
      <c r="M30" s="39"/>
      <c r="N30" s="39"/>
      <c r="O30" s="39"/>
      <c r="P30" s="40">
        <f>K30-L30-O30+N30</f>
        <v>0</v>
      </c>
      <c r="Q30" s="39"/>
      <c r="R30" s="39"/>
      <c r="S30" s="40">
        <f>L30</f>
        <v>0</v>
      </c>
      <c r="T30" s="39">
        <f>P30+R30-Q30+M30</f>
        <v>0</v>
      </c>
      <c r="U30" s="39">
        <f>T30-V30-W30-X30</f>
        <v>0</v>
      </c>
      <c r="V30" s="41">
        <f>P30*0.03</f>
        <v>0</v>
      </c>
      <c r="W30" s="41">
        <f>P30*0.04</f>
        <v>0</v>
      </c>
      <c r="X30" s="41">
        <f>P30*0.05</f>
        <v>0</v>
      </c>
      <c r="Y30" s="42">
        <f>P30*0.05</f>
        <v>0</v>
      </c>
      <c r="Z30" s="39">
        <f>T30-Y30</f>
        <v>0</v>
      </c>
      <c r="AA30" s="39">
        <f>U30-Y30</f>
        <v>0</v>
      </c>
      <c r="AB30" s="43"/>
      <c r="AC30" t="s" s="37">
        <v>0</v>
      </c>
      <c r="AD30" t="s" s="37">
        <v>0</v>
      </c>
      <c r="AE30" t="s" s="37">
        <v>0</v>
      </c>
      <c r="AF30" t="s" s="44">
        <v>0</v>
      </c>
      <c r="AG30" s="45"/>
      <c r="AH30" s="39"/>
      <c r="AI30" s="41">
        <f>AH30-T30-U30</f>
        <v>0</v>
      </c>
      <c r="AJ30" t="s" s="44">
        <v>0</v>
      </c>
      <c r="AK30" s="45"/>
      <c r="AL30" s="39"/>
      <c r="AM30" s="41">
        <f>AL30-Z30-AA30</f>
        <v>0</v>
      </c>
      <c r="AN30" t="s" s="44">
        <v>0</v>
      </c>
      <c r="AO30" s="45"/>
      <c r="AP30" s="39"/>
      <c r="AQ30" s="41">
        <f>AP30-Y30</f>
        <v>0</v>
      </c>
      <c r="AR30" s="37"/>
      <c r="AS30" s="46">
        <v>0</v>
      </c>
    </row>
    <row r="31" ht="54.85" customHeight="1">
      <c r="A31" t="s" s="2">
        <v>0</v>
      </c>
      <c r="B31" s="33">
        <v>45649</v>
      </c>
      <c r="C31" t="s" s="47">
        <v>143</v>
      </c>
      <c r="D31" t="s" s="48">
        <v>64</v>
      </c>
      <c r="E31" t="s" s="49">
        <v>258</v>
      </c>
      <c r="F31" s="50"/>
      <c r="G31" t="s" s="49">
        <v>259</v>
      </c>
      <c r="H31" t="s" s="49">
        <v>259</v>
      </c>
      <c r="I31" t="s" s="51">
        <v>67</v>
      </c>
      <c r="J31" t="s" s="38">
        <v>77</v>
      </c>
      <c r="K31" s="52">
        <v>10718.5</v>
      </c>
      <c r="L31" s="52">
        <v>2746.25</v>
      </c>
      <c r="M31" s="52">
        <v>335</v>
      </c>
      <c r="N31" s="52"/>
      <c r="O31" s="52"/>
      <c r="P31" s="40">
        <f>K31-L31-O31+N31</f>
        <v>7972.25</v>
      </c>
      <c r="Q31" s="52"/>
      <c r="R31" s="52"/>
      <c r="S31" s="40">
        <f>L31</f>
        <v>2746.25</v>
      </c>
      <c r="T31" s="52">
        <f>P31+R31-Q31+M31</f>
        <v>8307.25</v>
      </c>
      <c r="U31" s="52">
        <f>T31-V31-W31-X31</f>
        <v>7350.58</v>
      </c>
      <c r="V31" s="41">
        <f>P31*0.03</f>
        <v>239.1675</v>
      </c>
      <c r="W31" s="41">
        <f>P31*0.04</f>
        <v>318.89</v>
      </c>
      <c r="X31" s="41">
        <f>P31*0.05</f>
        <v>398.6125</v>
      </c>
      <c r="Y31" s="42">
        <f>P31*0.05</f>
        <v>398.6125</v>
      </c>
      <c r="Z31" s="52">
        <f>T31-Y31</f>
        <v>7908.6375</v>
      </c>
      <c r="AA31" s="52">
        <f>U31-Y31</f>
        <v>6951.9675</v>
      </c>
      <c r="AB31" s="43"/>
      <c r="AC31" t="s" s="51">
        <v>0</v>
      </c>
      <c r="AD31" t="s" s="51">
        <v>0</v>
      </c>
      <c r="AE31" t="s" s="51">
        <v>0</v>
      </c>
      <c r="AF31" t="s" s="44">
        <v>0</v>
      </c>
      <c r="AG31" s="54"/>
      <c r="AH31" s="52"/>
      <c r="AI31" s="41">
        <f>AH31-T31-U31</f>
        <v>-15657.83</v>
      </c>
      <c r="AJ31" t="s" s="44">
        <v>0</v>
      </c>
      <c r="AK31" s="54"/>
      <c r="AL31" s="52"/>
      <c r="AM31" s="41">
        <f>AL31-Z31-AA31</f>
        <v>-14860.605</v>
      </c>
      <c r="AN31" t="s" s="44">
        <v>0</v>
      </c>
      <c r="AO31" s="54"/>
      <c r="AP31" s="52"/>
      <c r="AQ31" s="41">
        <f>AP31-Y31</f>
        <v>-398.6125</v>
      </c>
      <c r="AR31" s="51"/>
      <c r="AS31" s="55">
        <v>0</v>
      </c>
    </row>
    <row r="32" ht="54.85" customHeight="1">
      <c r="A32" t="s" s="2">
        <v>0</v>
      </c>
      <c r="B32" s="33">
        <v>45649</v>
      </c>
      <c r="C32" t="s" s="58">
        <v>260</v>
      </c>
      <c r="D32" t="s" s="48">
        <v>64</v>
      </c>
      <c r="E32" t="s" s="34">
        <v>261</v>
      </c>
      <c r="F32" s="36"/>
      <c r="G32" t="s" s="34">
        <v>262</v>
      </c>
      <c r="H32" t="s" s="34">
        <v>263</v>
      </c>
      <c r="I32" t="s" s="37">
        <v>67</v>
      </c>
      <c r="J32" t="s" s="38">
        <v>77</v>
      </c>
      <c r="K32" s="39">
        <v>8006.6</v>
      </c>
      <c r="L32" s="39">
        <v>1218.75</v>
      </c>
      <c r="M32" s="39">
        <v>150</v>
      </c>
      <c r="N32" s="39"/>
      <c r="O32" s="39"/>
      <c r="P32" s="40">
        <f>K32-L32-O32+N32</f>
        <v>6787.85</v>
      </c>
      <c r="Q32" s="39"/>
      <c r="R32" s="39"/>
      <c r="S32" s="40">
        <f>L32</f>
        <v>1218.75</v>
      </c>
      <c r="T32" s="39">
        <f>P32+R32-Q32+M32</f>
        <v>6937.85</v>
      </c>
      <c r="U32" s="39">
        <f>T32-V32-W32-X32</f>
        <v>6123.308</v>
      </c>
      <c r="V32" s="41">
        <f>P32*0.03</f>
        <v>203.6355</v>
      </c>
      <c r="W32" s="41">
        <f>P32*0.04</f>
        <v>271.514</v>
      </c>
      <c r="X32" s="41">
        <f>P32*0.05</f>
        <v>339.3925</v>
      </c>
      <c r="Y32" s="42">
        <f>P32*0.05</f>
        <v>339.3925</v>
      </c>
      <c r="Z32" s="39">
        <f>T32-Y32</f>
        <v>6598.4575</v>
      </c>
      <c r="AA32" s="39">
        <f>U32-Y32</f>
        <v>5783.9155</v>
      </c>
      <c r="AB32" s="43"/>
      <c r="AC32" t="s" s="37">
        <v>0</v>
      </c>
      <c r="AD32" t="s" s="37">
        <v>0</v>
      </c>
      <c r="AE32" t="s" s="37">
        <v>0</v>
      </c>
      <c r="AF32" t="s" s="44">
        <v>0</v>
      </c>
      <c r="AG32" s="45"/>
      <c r="AH32" s="39"/>
      <c r="AI32" s="41">
        <f>AH32-T32-U32</f>
        <v>-13061.158</v>
      </c>
      <c r="AJ32" t="s" s="44">
        <v>0</v>
      </c>
      <c r="AK32" s="45"/>
      <c r="AL32" s="39"/>
      <c r="AM32" s="41">
        <f>AL32-Z32-AA32</f>
        <v>-12382.373</v>
      </c>
      <c r="AN32" t="s" s="44">
        <v>0</v>
      </c>
      <c r="AO32" s="45"/>
      <c r="AP32" s="39"/>
      <c r="AQ32" s="41">
        <f>AP32-Y32</f>
        <v>-339.3925</v>
      </c>
      <c r="AR32" s="37"/>
      <c r="AS32" s="46">
        <v>0</v>
      </c>
    </row>
    <row r="33" ht="54.85" customHeight="1">
      <c r="A33" t="s" s="2">
        <v>0</v>
      </c>
      <c r="B33" s="33"/>
      <c r="C33" s="34"/>
      <c r="D33" s="35"/>
      <c r="E33" s="49"/>
      <c r="F33" s="50"/>
      <c r="G33" s="49"/>
      <c r="H33" s="49"/>
      <c r="I33" t="s" s="51">
        <v>0</v>
      </c>
      <c r="J33" s="38"/>
      <c r="K33" s="52"/>
      <c r="L33" s="52"/>
      <c r="M33" s="52"/>
      <c r="N33" s="52"/>
      <c r="O33" s="52"/>
      <c r="P33" s="40">
        <f>K33-L33-O33+N33</f>
        <v>0</v>
      </c>
      <c r="Q33" s="52"/>
      <c r="R33" s="52"/>
      <c r="S33" s="40">
        <f>L33</f>
        <v>0</v>
      </c>
      <c r="T33" s="52">
        <f>P33+R33-Q33+M33</f>
        <v>0</v>
      </c>
      <c r="U33" s="52">
        <f>T33-V33-W33-X33</f>
        <v>0</v>
      </c>
      <c r="V33" s="41">
        <f>P33*0.03</f>
        <v>0</v>
      </c>
      <c r="W33" s="41">
        <f>P33*0.04</f>
        <v>0</v>
      </c>
      <c r="X33" s="41">
        <f>P33*0.05</f>
        <v>0</v>
      </c>
      <c r="Y33" s="42">
        <f>P33*0.05</f>
        <v>0</v>
      </c>
      <c r="Z33" s="52">
        <f>T33-Y33</f>
        <v>0</v>
      </c>
      <c r="AA33" s="52">
        <f>U33-Y33</f>
        <v>0</v>
      </c>
      <c r="AB33" s="43"/>
      <c r="AC33" t="s" s="51">
        <v>0</v>
      </c>
      <c r="AD33" t="s" s="51">
        <v>0</v>
      </c>
      <c r="AE33" t="s" s="51">
        <v>0</v>
      </c>
      <c r="AF33" t="s" s="44">
        <v>0</v>
      </c>
      <c r="AG33" s="54"/>
      <c r="AH33" s="52"/>
      <c r="AI33" s="41">
        <f>AH33-T33-U33</f>
        <v>0</v>
      </c>
      <c r="AJ33" t="s" s="44">
        <v>0</v>
      </c>
      <c r="AK33" s="54"/>
      <c r="AL33" s="52"/>
      <c r="AM33" s="41">
        <f>AL33-Z33-AA33</f>
        <v>0</v>
      </c>
      <c r="AN33" t="s" s="44">
        <v>0</v>
      </c>
      <c r="AO33" s="54"/>
      <c r="AP33" s="52"/>
      <c r="AQ33" s="41">
        <f>AP33-Y33</f>
        <v>0</v>
      </c>
      <c r="AR33" s="51"/>
      <c r="AS33" s="55">
        <v>0</v>
      </c>
    </row>
    <row r="34" ht="54.85" customHeight="1">
      <c r="A34" t="s" s="2">
        <v>0</v>
      </c>
      <c r="B34" s="33"/>
      <c r="C34" s="34"/>
      <c r="D34" s="35"/>
      <c r="E34" s="34"/>
      <c r="F34" s="36"/>
      <c r="G34" s="34"/>
      <c r="H34" s="34"/>
      <c r="I34" t="s" s="37">
        <v>0</v>
      </c>
      <c r="J34" s="38"/>
      <c r="K34" s="39"/>
      <c r="L34" s="39"/>
      <c r="M34" s="39"/>
      <c r="N34" s="39"/>
      <c r="O34" s="39"/>
      <c r="P34" s="40">
        <f>K34-L34-O34+N34</f>
        <v>0</v>
      </c>
      <c r="Q34" s="39"/>
      <c r="R34" s="39"/>
      <c r="S34" s="40">
        <f>L34</f>
        <v>0</v>
      </c>
      <c r="T34" s="39">
        <f>P34+R34-Q34+M34</f>
        <v>0</v>
      </c>
      <c r="U34" s="39">
        <f>T34-V34-W34-X34</f>
        <v>0</v>
      </c>
      <c r="V34" s="41">
        <f>P34*0.03</f>
        <v>0</v>
      </c>
      <c r="W34" s="41">
        <f>P34*0.04</f>
        <v>0</v>
      </c>
      <c r="X34" s="41">
        <f>P34*0.05</f>
        <v>0</v>
      </c>
      <c r="Y34" s="42">
        <f>P34*0.05</f>
        <v>0</v>
      </c>
      <c r="Z34" s="39">
        <f>T34-Y34</f>
        <v>0</v>
      </c>
      <c r="AA34" s="39">
        <f>U34-Y34</f>
        <v>0</v>
      </c>
      <c r="AB34" s="43"/>
      <c r="AC34" t="s" s="37">
        <v>0</v>
      </c>
      <c r="AD34" t="s" s="37">
        <v>0</v>
      </c>
      <c r="AE34" t="s" s="37">
        <v>0</v>
      </c>
      <c r="AF34" t="s" s="44">
        <v>0</v>
      </c>
      <c r="AG34" s="45"/>
      <c r="AH34" s="39"/>
      <c r="AI34" s="41">
        <f>AH34-T34-U34</f>
        <v>0</v>
      </c>
      <c r="AJ34" t="s" s="44">
        <v>0</v>
      </c>
      <c r="AK34" s="45"/>
      <c r="AL34" s="39"/>
      <c r="AM34" s="41">
        <f>AL34-Z34-AA34</f>
        <v>0</v>
      </c>
      <c r="AN34" t="s" s="44">
        <v>0</v>
      </c>
      <c r="AO34" s="45"/>
      <c r="AP34" s="39"/>
      <c r="AQ34" s="41">
        <f>AP34-Y34</f>
        <v>0</v>
      </c>
      <c r="AR34" s="37"/>
      <c r="AS34" s="46">
        <v>0</v>
      </c>
    </row>
    <row r="35" ht="54.85" customHeight="1">
      <c r="A35" t="s" s="2">
        <v>0</v>
      </c>
      <c r="B35" s="33"/>
      <c r="C35" s="34"/>
      <c r="D35" s="35"/>
      <c r="E35" s="49"/>
      <c r="F35" s="50"/>
      <c r="G35" s="49"/>
      <c r="H35" s="49"/>
      <c r="I35" t="s" s="51">
        <v>0</v>
      </c>
      <c r="J35" s="38"/>
      <c r="K35" s="52"/>
      <c r="L35" s="52"/>
      <c r="M35" s="52"/>
      <c r="N35" s="52"/>
      <c r="O35" s="52"/>
      <c r="P35" s="40">
        <f>K35-L35-O35+N35</f>
        <v>0</v>
      </c>
      <c r="Q35" s="52"/>
      <c r="R35" s="52"/>
      <c r="S35" s="40">
        <f>L35</f>
        <v>0</v>
      </c>
      <c r="T35" s="52">
        <f>P35+R35-Q35+M35</f>
        <v>0</v>
      </c>
      <c r="U35" s="52">
        <f>T35-V35-W35-X35</f>
        <v>0</v>
      </c>
      <c r="V35" s="41">
        <f>P35*0.03</f>
        <v>0</v>
      </c>
      <c r="W35" s="41">
        <f>P35*0.04</f>
        <v>0</v>
      </c>
      <c r="X35" s="41">
        <f>P35*0.05</f>
        <v>0</v>
      </c>
      <c r="Y35" s="42">
        <f>P35*0.05</f>
        <v>0</v>
      </c>
      <c r="Z35" s="52">
        <f>T35-Y35</f>
        <v>0</v>
      </c>
      <c r="AA35" s="52">
        <f>U35-Y35</f>
        <v>0</v>
      </c>
      <c r="AB35" s="43"/>
      <c r="AC35" t="s" s="51">
        <v>0</v>
      </c>
      <c r="AD35" t="s" s="51">
        <v>0</v>
      </c>
      <c r="AE35" t="s" s="51">
        <v>0</v>
      </c>
      <c r="AF35" t="s" s="44">
        <v>0</v>
      </c>
      <c r="AG35" s="54"/>
      <c r="AH35" s="52"/>
      <c r="AI35" s="41">
        <f>AH35-T35-U35</f>
        <v>0</v>
      </c>
      <c r="AJ35" t="s" s="44">
        <v>0</v>
      </c>
      <c r="AK35" s="54"/>
      <c r="AL35" s="52"/>
      <c r="AM35" s="41">
        <f>AL35-Z35-AA35</f>
        <v>0</v>
      </c>
      <c r="AN35" t="s" s="44">
        <v>0</v>
      </c>
      <c r="AO35" s="54"/>
      <c r="AP35" s="52"/>
      <c r="AQ35" s="41">
        <f>AP35-Y35</f>
        <v>0</v>
      </c>
      <c r="AR35" s="51"/>
      <c r="AS35" s="55">
        <v>0</v>
      </c>
    </row>
    <row r="36" ht="54.85" customHeight="1">
      <c r="A36" t="s" s="2">
        <v>0</v>
      </c>
      <c r="B36" s="33"/>
      <c r="C36" s="34"/>
      <c r="D36" s="35"/>
      <c r="E36" s="34"/>
      <c r="F36" s="36"/>
      <c r="G36" s="34"/>
      <c r="H36" s="34"/>
      <c r="I36" t="s" s="37">
        <v>0</v>
      </c>
      <c r="J36" s="38"/>
      <c r="K36" s="39"/>
      <c r="L36" s="39"/>
      <c r="M36" s="39"/>
      <c r="N36" s="39"/>
      <c r="O36" s="39"/>
      <c r="P36" s="40">
        <f>K36-L36-O36+N36</f>
        <v>0</v>
      </c>
      <c r="Q36" s="39"/>
      <c r="R36" s="39"/>
      <c r="S36" s="40">
        <f>L36</f>
        <v>0</v>
      </c>
      <c r="T36" s="39">
        <f>P36+R36-Q36+M36</f>
        <v>0</v>
      </c>
      <c r="U36" s="39">
        <f>T36-V36-W36-X36</f>
        <v>0</v>
      </c>
      <c r="V36" s="41">
        <f>P36*0.03</f>
        <v>0</v>
      </c>
      <c r="W36" s="41">
        <f>P36*0.04</f>
        <v>0</v>
      </c>
      <c r="X36" s="41">
        <f>P36*0.05</f>
        <v>0</v>
      </c>
      <c r="Y36" s="42">
        <f>P36*0.05</f>
        <v>0</v>
      </c>
      <c r="Z36" s="39">
        <f>T36-Y36</f>
        <v>0</v>
      </c>
      <c r="AA36" s="39">
        <f>U36-Y36</f>
        <v>0</v>
      </c>
      <c r="AB36" s="43"/>
      <c r="AC36" t="s" s="37">
        <v>0</v>
      </c>
      <c r="AD36" t="s" s="37">
        <v>0</v>
      </c>
      <c r="AE36" t="s" s="37">
        <v>0</v>
      </c>
      <c r="AF36" t="s" s="44">
        <v>0</v>
      </c>
      <c r="AG36" s="45"/>
      <c r="AH36" s="39"/>
      <c r="AI36" s="41">
        <f>AH36-T36-U36</f>
        <v>0</v>
      </c>
      <c r="AJ36" t="s" s="44">
        <v>0</v>
      </c>
      <c r="AK36" s="45"/>
      <c r="AL36" s="39"/>
      <c r="AM36" s="41">
        <f>AL36-Z36-AA36</f>
        <v>0</v>
      </c>
      <c r="AN36" t="s" s="44">
        <v>0</v>
      </c>
      <c r="AO36" s="45"/>
      <c r="AP36" s="39"/>
      <c r="AQ36" s="41">
        <f>AP36-Y36</f>
        <v>0</v>
      </c>
      <c r="AR36" s="37"/>
      <c r="AS36" s="46">
        <v>0</v>
      </c>
    </row>
    <row r="37" ht="54.85" customHeight="1">
      <c r="A37" t="s" s="2">
        <v>0</v>
      </c>
      <c r="B37" s="33"/>
      <c r="C37" s="34"/>
      <c r="D37" s="35"/>
      <c r="E37" s="49"/>
      <c r="F37" s="50"/>
      <c r="G37" s="49"/>
      <c r="H37" s="49"/>
      <c r="I37" t="s" s="51">
        <v>0</v>
      </c>
      <c r="J37" s="38"/>
      <c r="K37" s="52"/>
      <c r="L37" s="52"/>
      <c r="M37" s="52"/>
      <c r="N37" s="52"/>
      <c r="O37" s="52"/>
      <c r="P37" s="40">
        <f>K37-L37-O37+N37</f>
        <v>0</v>
      </c>
      <c r="Q37" s="52"/>
      <c r="R37" s="52"/>
      <c r="S37" s="40">
        <f>L37</f>
        <v>0</v>
      </c>
      <c r="T37" s="52">
        <f>P37+R37-Q37+M37</f>
        <v>0</v>
      </c>
      <c r="U37" s="52">
        <f>T37-V37-W37-X37</f>
        <v>0</v>
      </c>
      <c r="V37" s="41">
        <f>P37*0.03</f>
        <v>0</v>
      </c>
      <c r="W37" s="41">
        <f>P37*0.04</f>
        <v>0</v>
      </c>
      <c r="X37" s="41">
        <f>P37*0.05</f>
        <v>0</v>
      </c>
      <c r="Y37" s="42">
        <f>P37*0.05</f>
        <v>0</v>
      </c>
      <c r="Z37" s="52">
        <f>T37-Y37</f>
        <v>0</v>
      </c>
      <c r="AA37" s="52">
        <f>U37-Y37</f>
        <v>0</v>
      </c>
      <c r="AB37" s="43"/>
      <c r="AC37" t="s" s="51">
        <v>0</v>
      </c>
      <c r="AD37" t="s" s="51">
        <v>0</v>
      </c>
      <c r="AE37" t="s" s="51">
        <v>0</v>
      </c>
      <c r="AF37" t="s" s="44">
        <v>0</v>
      </c>
      <c r="AG37" s="54"/>
      <c r="AH37" s="52"/>
      <c r="AI37" s="41">
        <f>AH37-T37-U37</f>
        <v>0</v>
      </c>
      <c r="AJ37" t="s" s="44">
        <v>0</v>
      </c>
      <c r="AK37" s="54"/>
      <c r="AL37" s="52"/>
      <c r="AM37" s="41">
        <f>AL37-Z37-AA37</f>
        <v>0</v>
      </c>
      <c r="AN37" t="s" s="44">
        <v>0</v>
      </c>
      <c r="AO37" s="54"/>
      <c r="AP37" s="52"/>
      <c r="AQ37" s="41">
        <f>AP37-Y37</f>
        <v>0</v>
      </c>
      <c r="AR37" s="51"/>
      <c r="AS37" s="55">
        <v>0</v>
      </c>
    </row>
    <row r="38" ht="54.85" customHeight="1">
      <c r="A38" t="s" s="2">
        <v>0</v>
      </c>
      <c r="B38" s="33"/>
      <c r="C38" s="34"/>
      <c r="D38" s="35"/>
      <c r="E38" s="34"/>
      <c r="F38" s="36"/>
      <c r="G38" s="34"/>
      <c r="H38" s="34"/>
      <c r="I38" t="s" s="37">
        <v>0</v>
      </c>
      <c r="J38" s="38"/>
      <c r="K38" s="39"/>
      <c r="L38" s="39"/>
      <c r="M38" s="39"/>
      <c r="N38" s="39"/>
      <c r="O38" s="39"/>
      <c r="P38" s="40">
        <f>K38-L38-O38+N38</f>
        <v>0</v>
      </c>
      <c r="Q38" s="39"/>
      <c r="R38" s="39"/>
      <c r="S38" s="40">
        <f>L38</f>
        <v>0</v>
      </c>
      <c r="T38" s="39">
        <f>P38+R38-Q38+M38</f>
        <v>0</v>
      </c>
      <c r="U38" s="39">
        <f>T38-V38-W38-X38</f>
        <v>0</v>
      </c>
      <c r="V38" s="41">
        <f>P38*0.03</f>
        <v>0</v>
      </c>
      <c r="W38" s="41">
        <f>P38*0.04</f>
        <v>0</v>
      </c>
      <c r="X38" s="41">
        <f>P38*0.05</f>
        <v>0</v>
      </c>
      <c r="Y38" s="42">
        <f>P38*0.05</f>
        <v>0</v>
      </c>
      <c r="Z38" s="39">
        <f>T38-Y38</f>
        <v>0</v>
      </c>
      <c r="AA38" s="39">
        <f>U38-Y38</f>
        <v>0</v>
      </c>
      <c r="AB38" s="43"/>
      <c r="AC38" t="s" s="37">
        <v>0</v>
      </c>
      <c r="AD38" t="s" s="37">
        <v>0</v>
      </c>
      <c r="AE38" t="s" s="37">
        <v>0</v>
      </c>
      <c r="AF38" t="s" s="44">
        <v>0</v>
      </c>
      <c r="AG38" s="45"/>
      <c r="AH38" s="39"/>
      <c r="AI38" s="41">
        <f>AH38-T38-U38</f>
        <v>0</v>
      </c>
      <c r="AJ38" t="s" s="44">
        <v>0</v>
      </c>
      <c r="AK38" s="45"/>
      <c r="AL38" s="39"/>
      <c r="AM38" s="41">
        <f>AL38-Z38-AA38</f>
        <v>0</v>
      </c>
      <c r="AN38" t="s" s="44">
        <v>0</v>
      </c>
      <c r="AO38" s="45"/>
      <c r="AP38" s="39"/>
      <c r="AQ38" s="41">
        <f>AP38-Y38</f>
        <v>0</v>
      </c>
      <c r="AR38" s="37"/>
      <c r="AS38" s="46">
        <v>0</v>
      </c>
    </row>
    <row r="39" ht="54.85" customHeight="1">
      <c r="A39" t="s" s="2">
        <v>0</v>
      </c>
      <c r="B39" s="33"/>
      <c r="C39" s="34"/>
      <c r="D39" s="35"/>
      <c r="E39" s="49"/>
      <c r="F39" s="50"/>
      <c r="G39" s="49"/>
      <c r="H39" s="49"/>
      <c r="I39" t="s" s="51">
        <v>0</v>
      </c>
      <c r="J39" s="38"/>
      <c r="K39" s="52"/>
      <c r="L39" s="52"/>
      <c r="M39" s="52"/>
      <c r="N39" s="52"/>
      <c r="O39" s="52"/>
      <c r="P39" s="40">
        <f>K39-L39-O39+N39</f>
        <v>0</v>
      </c>
      <c r="Q39" s="52"/>
      <c r="R39" s="52"/>
      <c r="S39" s="40">
        <f>L39</f>
        <v>0</v>
      </c>
      <c r="T39" s="52">
        <f>P39+R39-Q39+M39</f>
        <v>0</v>
      </c>
      <c r="U39" s="52">
        <f>T39-V39-W39-X39</f>
        <v>0</v>
      </c>
      <c r="V39" s="41">
        <f>P39*0.03</f>
        <v>0</v>
      </c>
      <c r="W39" s="41">
        <f>P39*0.04</f>
        <v>0</v>
      </c>
      <c r="X39" s="41">
        <f>P39*0.05</f>
        <v>0</v>
      </c>
      <c r="Y39" s="42">
        <f>P39*0.05</f>
        <v>0</v>
      </c>
      <c r="Z39" s="52">
        <f>T39-Y39</f>
        <v>0</v>
      </c>
      <c r="AA39" s="52">
        <f>U39-Y39</f>
        <v>0</v>
      </c>
      <c r="AB39" s="43"/>
      <c r="AC39" t="s" s="51">
        <v>0</v>
      </c>
      <c r="AD39" t="s" s="51">
        <v>0</v>
      </c>
      <c r="AE39" t="s" s="51">
        <v>0</v>
      </c>
      <c r="AF39" t="s" s="44">
        <v>0</v>
      </c>
      <c r="AG39" s="54"/>
      <c r="AH39" s="52"/>
      <c r="AI39" s="41">
        <f>AH39-T39-U39</f>
        <v>0</v>
      </c>
      <c r="AJ39" t="s" s="44">
        <v>0</v>
      </c>
      <c r="AK39" s="54"/>
      <c r="AL39" s="52"/>
      <c r="AM39" s="41">
        <f>AL39-Z39-AA39</f>
        <v>0</v>
      </c>
      <c r="AN39" t="s" s="44">
        <v>0</v>
      </c>
      <c r="AO39" s="54"/>
      <c r="AP39" s="52"/>
      <c r="AQ39" s="41">
        <f>AP39-Y39</f>
        <v>0</v>
      </c>
      <c r="AR39" s="51"/>
      <c r="AS39" s="55">
        <v>0</v>
      </c>
    </row>
    <row r="40" ht="54.85" customHeight="1">
      <c r="A40" t="s" s="2">
        <v>0</v>
      </c>
      <c r="B40" s="33"/>
      <c r="C40" s="34"/>
      <c r="D40" s="35"/>
      <c r="E40" s="34"/>
      <c r="F40" s="36"/>
      <c r="G40" s="34"/>
      <c r="H40" s="34"/>
      <c r="I40" t="s" s="37">
        <v>0</v>
      </c>
      <c r="J40" s="38"/>
      <c r="K40" s="39"/>
      <c r="L40" s="39"/>
      <c r="M40" s="39"/>
      <c r="N40" s="39"/>
      <c r="O40" s="39"/>
      <c r="P40" s="40">
        <f>K40-L40-O40+N40</f>
        <v>0</v>
      </c>
      <c r="Q40" s="39"/>
      <c r="R40" s="39"/>
      <c r="S40" s="40">
        <f>L40</f>
        <v>0</v>
      </c>
      <c r="T40" s="39">
        <f>P40+R40-Q40+M40</f>
        <v>0</v>
      </c>
      <c r="U40" s="39">
        <f>T40-V40-W40-X40</f>
        <v>0</v>
      </c>
      <c r="V40" s="41">
        <f>P40*0.03</f>
        <v>0</v>
      </c>
      <c r="W40" s="41">
        <f>P40*0.04</f>
        <v>0</v>
      </c>
      <c r="X40" s="41">
        <f>P40*0.05</f>
        <v>0</v>
      </c>
      <c r="Y40" s="42">
        <f>P40*0.05</f>
        <v>0</v>
      </c>
      <c r="Z40" s="39">
        <f>T40-Y40</f>
        <v>0</v>
      </c>
      <c r="AA40" s="39">
        <f>U40-Y40</f>
        <v>0</v>
      </c>
      <c r="AB40" s="43"/>
      <c r="AC40" t="s" s="37">
        <v>0</v>
      </c>
      <c r="AD40" t="s" s="37">
        <v>0</v>
      </c>
      <c r="AE40" t="s" s="37">
        <v>0</v>
      </c>
      <c r="AF40" t="s" s="44">
        <v>0</v>
      </c>
      <c r="AG40" s="45"/>
      <c r="AH40" s="39"/>
      <c r="AI40" s="41">
        <f>AH40-T40-U40</f>
        <v>0</v>
      </c>
      <c r="AJ40" t="s" s="44">
        <v>0</v>
      </c>
      <c r="AK40" s="45"/>
      <c r="AL40" s="39"/>
      <c r="AM40" s="41">
        <f>AL40-Z40-AA40</f>
        <v>0</v>
      </c>
      <c r="AN40" t="s" s="44">
        <v>0</v>
      </c>
      <c r="AO40" s="45"/>
      <c r="AP40" s="39"/>
      <c r="AQ40" s="41">
        <f>AP40-Y40</f>
        <v>0</v>
      </c>
      <c r="AR40" s="37"/>
      <c r="AS40" s="46">
        <v>0</v>
      </c>
    </row>
    <row r="41" ht="54.85" customHeight="1">
      <c r="A41" t="s" s="2">
        <v>0</v>
      </c>
      <c r="B41" s="33"/>
      <c r="C41" s="34"/>
      <c r="D41" s="35"/>
      <c r="E41" s="49"/>
      <c r="F41" s="50"/>
      <c r="G41" s="49"/>
      <c r="H41" s="49"/>
      <c r="I41" t="s" s="51">
        <v>0</v>
      </c>
      <c r="J41" s="38"/>
      <c r="K41" s="52"/>
      <c r="L41" s="52"/>
      <c r="M41" s="52"/>
      <c r="N41" s="52"/>
      <c r="O41" s="52"/>
      <c r="P41" s="40">
        <f>K41-L41-O41+N41</f>
        <v>0</v>
      </c>
      <c r="Q41" s="52"/>
      <c r="R41" s="52"/>
      <c r="S41" s="40">
        <f>L41</f>
        <v>0</v>
      </c>
      <c r="T41" s="52">
        <f>P41+R41-Q41+M41</f>
        <v>0</v>
      </c>
      <c r="U41" s="52">
        <f>T41-V41-W41-X41</f>
        <v>0</v>
      </c>
      <c r="V41" s="41">
        <f>P41*0.03</f>
        <v>0</v>
      </c>
      <c r="W41" s="41">
        <f>P41*0.04</f>
        <v>0</v>
      </c>
      <c r="X41" s="41">
        <f>P41*0.05</f>
        <v>0</v>
      </c>
      <c r="Y41" s="42">
        <f>P41*0.05</f>
        <v>0</v>
      </c>
      <c r="Z41" s="52">
        <f>T41-Y41</f>
        <v>0</v>
      </c>
      <c r="AA41" s="52">
        <f>U41-Y41</f>
        <v>0</v>
      </c>
      <c r="AB41" s="43"/>
      <c r="AC41" t="s" s="51">
        <v>0</v>
      </c>
      <c r="AD41" t="s" s="51">
        <v>0</v>
      </c>
      <c r="AE41" t="s" s="51">
        <v>0</v>
      </c>
      <c r="AF41" t="s" s="44">
        <v>0</v>
      </c>
      <c r="AG41" s="54"/>
      <c r="AH41" s="52"/>
      <c r="AI41" s="41">
        <f>AH41-T41-U41</f>
        <v>0</v>
      </c>
      <c r="AJ41" t="s" s="44">
        <v>0</v>
      </c>
      <c r="AK41" s="54"/>
      <c r="AL41" s="52"/>
      <c r="AM41" s="41">
        <f>AL41-Z41-AA41</f>
        <v>0</v>
      </c>
      <c r="AN41" t="s" s="44">
        <v>0</v>
      </c>
      <c r="AO41" s="54"/>
      <c r="AP41" s="52"/>
      <c r="AQ41" s="41">
        <f>AP41-Y41</f>
        <v>0</v>
      </c>
      <c r="AR41" s="51"/>
      <c r="AS41" s="55">
        <v>0</v>
      </c>
    </row>
    <row r="42" ht="54.85" customHeight="1">
      <c r="A42" t="s" s="2">
        <v>0</v>
      </c>
      <c r="B42" s="33"/>
      <c r="C42" s="34"/>
      <c r="D42" s="35"/>
      <c r="E42" s="34"/>
      <c r="F42" s="36"/>
      <c r="G42" s="34"/>
      <c r="H42" s="34"/>
      <c r="I42" t="s" s="37">
        <v>0</v>
      </c>
      <c r="J42" s="38"/>
      <c r="K42" s="39"/>
      <c r="L42" s="39"/>
      <c r="M42" s="39"/>
      <c r="N42" s="39"/>
      <c r="O42" s="39"/>
      <c r="P42" s="40">
        <f>K42-L42-O42+N42</f>
        <v>0</v>
      </c>
      <c r="Q42" s="39"/>
      <c r="R42" s="39"/>
      <c r="S42" s="40">
        <f>L42</f>
        <v>0</v>
      </c>
      <c r="T42" s="39">
        <f>P42+R42-Q42+M42</f>
        <v>0</v>
      </c>
      <c r="U42" s="39">
        <f>T42-V42-W42-X42</f>
        <v>0</v>
      </c>
      <c r="V42" s="41">
        <f>P42*0.03</f>
        <v>0</v>
      </c>
      <c r="W42" s="41">
        <f>P42*0.04</f>
        <v>0</v>
      </c>
      <c r="X42" s="41">
        <f>P42*0.05</f>
        <v>0</v>
      </c>
      <c r="Y42" s="42">
        <f>P42*0.05</f>
        <v>0</v>
      </c>
      <c r="Z42" s="39">
        <f>T42-Y42</f>
        <v>0</v>
      </c>
      <c r="AA42" s="39">
        <f>U42-Y42</f>
        <v>0</v>
      </c>
      <c r="AB42" s="43"/>
      <c r="AC42" t="s" s="37">
        <v>0</v>
      </c>
      <c r="AD42" t="s" s="37">
        <v>0</v>
      </c>
      <c r="AE42" t="s" s="37">
        <v>0</v>
      </c>
      <c r="AF42" t="s" s="44">
        <v>0</v>
      </c>
      <c r="AG42" s="45"/>
      <c r="AH42" s="39"/>
      <c r="AI42" s="41">
        <f>AH42-T42-U42</f>
        <v>0</v>
      </c>
      <c r="AJ42" t="s" s="44">
        <v>0</v>
      </c>
      <c r="AK42" s="45"/>
      <c r="AL42" s="39"/>
      <c r="AM42" s="41">
        <f>AL42-Z42-AA42</f>
        <v>0</v>
      </c>
      <c r="AN42" t="s" s="44">
        <v>0</v>
      </c>
      <c r="AO42" s="45"/>
      <c r="AP42" s="39"/>
      <c r="AQ42" s="41">
        <f>AP42-Y42</f>
        <v>0</v>
      </c>
      <c r="AR42" s="37"/>
      <c r="AS42" s="46">
        <v>0</v>
      </c>
    </row>
    <row r="43" ht="54.85" customHeight="1">
      <c r="A43" t="s" s="2">
        <v>0</v>
      </c>
      <c r="B43" s="33"/>
      <c r="C43" s="34"/>
      <c r="D43" s="35"/>
      <c r="E43" s="49"/>
      <c r="F43" s="50"/>
      <c r="G43" s="49"/>
      <c r="H43" s="49"/>
      <c r="I43" t="s" s="51">
        <v>0</v>
      </c>
      <c r="J43" s="38"/>
      <c r="K43" s="52"/>
      <c r="L43" s="52"/>
      <c r="M43" s="52"/>
      <c r="N43" s="52"/>
      <c r="O43" s="52"/>
      <c r="P43" s="40">
        <f>K43-L43-O43+N43</f>
        <v>0</v>
      </c>
      <c r="Q43" s="52"/>
      <c r="R43" s="52"/>
      <c r="S43" s="40">
        <f>L43</f>
        <v>0</v>
      </c>
      <c r="T43" s="52">
        <f>P43+R43-Q43+M43</f>
        <v>0</v>
      </c>
      <c r="U43" s="52">
        <f>T43-V43-W43-X43</f>
        <v>0</v>
      </c>
      <c r="V43" s="41">
        <f>P43*0.03</f>
        <v>0</v>
      </c>
      <c r="W43" s="41">
        <f>P43*0.04</f>
        <v>0</v>
      </c>
      <c r="X43" s="41">
        <f>P43*0.05</f>
        <v>0</v>
      </c>
      <c r="Y43" s="42">
        <f>P43*0.05</f>
        <v>0</v>
      </c>
      <c r="Z43" s="52">
        <f>T43-Y43</f>
        <v>0</v>
      </c>
      <c r="AA43" s="52">
        <f>U43-Y43</f>
        <v>0</v>
      </c>
      <c r="AB43" s="43"/>
      <c r="AC43" t="s" s="51">
        <v>0</v>
      </c>
      <c r="AD43" t="s" s="51">
        <v>0</v>
      </c>
      <c r="AE43" t="s" s="51">
        <v>0</v>
      </c>
      <c r="AF43" t="s" s="44">
        <v>0</v>
      </c>
      <c r="AG43" s="54"/>
      <c r="AH43" s="52"/>
      <c r="AI43" s="41">
        <f>AH43-T43-U43</f>
        <v>0</v>
      </c>
      <c r="AJ43" t="s" s="44">
        <v>0</v>
      </c>
      <c r="AK43" s="54"/>
      <c r="AL43" s="52"/>
      <c r="AM43" s="41">
        <f>AL43-Z43-AA43</f>
        <v>0</v>
      </c>
      <c r="AN43" t="s" s="44">
        <v>0</v>
      </c>
      <c r="AO43" s="54"/>
      <c r="AP43" s="52"/>
      <c r="AQ43" s="41">
        <f>AP43-Y43</f>
        <v>0</v>
      </c>
      <c r="AR43" s="51"/>
      <c r="AS43" s="55">
        <v>0</v>
      </c>
    </row>
    <row r="44" ht="54.85" customHeight="1">
      <c r="A44" t="s" s="2">
        <v>0</v>
      </c>
      <c r="B44" s="33"/>
      <c r="C44" s="34"/>
      <c r="D44" s="35"/>
      <c r="E44" s="34"/>
      <c r="F44" s="36"/>
      <c r="G44" s="34"/>
      <c r="H44" s="34"/>
      <c r="I44" t="s" s="37">
        <v>0</v>
      </c>
      <c r="J44" s="38"/>
      <c r="K44" s="39"/>
      <c r="L44" s="39"/>
      <c r="M44" s="39"/>
      <c r="N44" s="39"/>
      <c r="O44" s="39"/>
      <c r="P44" s="40">
        <f>K44-L44-O44+N44</f>
        <v>0</v>
      </c>
      <c r="Q44" s="39"/>
      <c r="R44" s="39"/>
      <c r="S44" s="40">
        <f>L44</f>
        <v>0</v>
      </c>
      <c r="T44" s="39">
        <f>P44+R44-Q44+M44</f>
        <v>0</v>
      </c>
      <c r="U44" s="39">
        <f>T44-V44-W44-X44</f>
        <v>0</v>
      </c>
      <c r="V44" s="41">
        <f>P44*0.03</f>
        <v>0</v>
      </c>
      <c r="W44" s="41">
        <f>P44*0.04</f>
        <v>0</v>
      </c>
      <c r="X44" s="41">
        <f>P44*0.05</f>
        <v>0</v>
      </c>
      <c r="Y44" s="42">
        <f>P44*0.05</f>
        <v>0</v>
      </c>
      <c r="Z44" s="39">
        <f>T44-Y44</f>
        <v>0</v>
      </c>
      <c r="AA44" s="39">
        <f>U44-Y44</f>
        <v>0</v>
      </c>
      <c r="AB44" s="43"/>
      <c r="AC44" t="s" s="37">
        <v>0</v>
      </c>
      <c r="AD44" t="s" s="37">
        <v>0</v>
      </c>
      <c r="AE44" t="s" s="37">
        <v>0</v>
      </c>
      <c r="AF44" t="s" s="44">
        <v>0</v>
      </c>
      <c r="AG44" s="45"/>
      <c r="AH44" s="39"/>
      <c r="AI44" s="41">
        <f>AH44-T44-U44</f>
        <v>0</v>
      </c>
      <c r="AJ44" t="s" s="44">
        <v>0</v>
      </c>
      <c r="AK44" s="45"/>
      <c r="AL44" s="39"/>
      <c r="AM44" s="41">
        <f>AL44-Z44-AA44</f>
        <v>0</v>
      </c>
      <c r="AN44" t="s" s="44">
        <v>0</v>
      </c>
      <c r="AO44" s="45"/>
      <c r="AP44" s="39"/>
      <c r="AQ44" s="41">
        <f>AP44-Y44</f>
        <v>0</v>
      </c>
      <c r="AR44" s="37"/>
      <c r="AS44" s="46">
        <v>0</v>
      </c>
    </row>
    <row r="45" ht="54.85" customHeight="1">
      <c r="A45" t="s" s="2">
        <v>0</v>
      </c>
      <c r="B45" s="33"/>
      <c r="C45" s="34"/>
      <c r="D45" s="35"/>
      <c r="E45" s="49"/>
      <c r="F45" s="50"/>
      <c r="G45" s="49"/>
      <c r="H45" s="49"/>
      <c r="I45" t="s" s="51">
        <v>0</v>
      </c>
      <c r="J45" s="38"/>
      <c r="K45" s="52"/>
      <c r="L45" s="52"/>
      <c r="M45" s="52"/>
      <c r="N45" s="52"/>
      <c r="O45" s="52"/>
      <c r="P45" s="40">
        <f>K45-L45-O45+N45</f>
        <v>0</v>
      </c>
      <c r="Q45" s="52"/>
      <c r="R45" s="52"/>
      <c r="S45" s="40">
        <f>L45</f>
        <v>0</v>
      </c>
      <c r="T45" s="52">
        <f>P45+R45-Q45+M45</f>
        <v>0</v>
      </c>
      <c r="U45" s="52">
        <f>T45-V45-W45-X45</f>
        <v>0</v>
      </c>
      <c r="V45" s="41">
        <f>P45*0.03</f>
        <v>0</v>
      </c>
      <c r="W45" s="41">
        <f>P45*0.04</f>
        <v>0</v>
      </c>
      <c r="X45" s="41">
        <f>P45*0.05</f>
        <v>0</v>
      </c>
      <c r="Y45" s="42">
        <f>P45*0.05</f>
        <v>0</v>
      </c>
      <c r="Z45" s="52">
        <f>T45-Y45</f>
        <v>0</v>
      </c>
      <c r="AA45" s="52">
        <f>U45-Y45</f>
        <v>0</v>
      </c>
      <c r="AB45" s="43"/>
      <c r="AC45" t="s" s="51">
        <v>0</v>
      </c>
      <c r="AD45" t="s" s="51">
        <v>0</v>
      </c>
      <c r="AE45" t="s" s="51">
        <v>0</v>
      </c>
      <c r="AF45" t="s" s="44">
        <v>0</v>
      </c>
      <c r="AG45" s="54"/>
      <c r="AH45" s="52"/>
      <c r="AI45" s="41">
        <f>AH45-T45-U45</f>
        <v>0</v>
      </c>
      <c r="AJ45" t="s" s="44">
        <v>0</v>
      </c>
      <c r="AK45" s="54"/>
      <c r="AL45" s="52"/>
      <c r="AM45" s="41">
        <f>AL45-Z45-AA45</f>
        <v>0</v>
      </c>
      <c r="AN45" t="s" s="44">
        <v>0</v>
      </c>
      <c r="AO45" s="54"/>
      <c r="AP45" s="52"/>
      <c r="AQ45" s="41">
        <f>AP45-Y45</f>
        <v>0</v>
      </c>
      <c r="AR45" s="51"/>
      <c r="AS45" s="55">
        <v>0</v>
      </c>
    </row>
    <row r="46" ht="54.85" customHeight="1">
      <c r="A46" t="s" s="2">
        <v>0</v>
      </c>
      <c r="B46" s="33"/>
      <c r="C46" s="34"/>
      <c r="D46" s="35"/>
      <c r="E46" s="34"/>
      <c r="F46" s="36"/>
      <c r="G46" s="34"/>
      <c r="H46" s="34"/>
      <c r="I46" t="s" s="37">
        <v>0</v>
      </c>
      <c r="J46" s="38"/>
      <c r="K46" s="39"/>
      <c r="L46" s="39"/>
      <c r="M46" s="39"/>
      <c r="N46" s="39"/>
      <c r="O46" s="39"/>
      <c r="P46" s="40">
        <f>K46-L46-O46+N46</f>
        <v>0</v>
      </c>
      <c r="Q46" s="39"/>
      <c r="R46" s="39"/>
      <c r="S46" s="40">
        <f>L46</f>
        <v>0</v>
      </c>
      <c r="T46" s="39">
        <f>P46+R46-Q46+M46</f>
        <v>0</v>
      </c>
      <c r="U46" s="39">
        <f>T46-V46-W46-X46</f>
        <v>0</v>
      </c>
      <c r="V46" s="41">
        <f>P46*0.03</f>
        <v>0</v>
      </c>
      <c r="W46" s="41">
        <f>P46*0.04</f>
        <v>0</v>
      </c>
      <c r="X46" s="41">
        <f>P46*0.05</f>
        <v>0</v>
      </c>
      <c r="Y46" s="42">
        <f>P46*0.05</f>
        <v>0</v>
      </c>
      <c r="Z46" s="39">
        <f>T46-Y46</f>
        <v>0</v>
      </c>
      <c r="AA46" s="39">
        <f>U46-Y46</f>
        <v>0</v>
      </c>
      <c r="AB46" s="43"/>
      <c r="AC46" t="s" s="37">
        <v>0</v>
      </c>
      <c r="AD46" t="s" s="37">
        <v>0</v>
      </c>
      <c r="AE46" t="s" s="37">
        <v>0</v>
      </c>
      <c r="AF46" t="s" s="44">
        <v>0</v>
      </c>
      <c r="AG46" s="45"/>
      <c r="AH46" s="39"/>
      <c r="AI46" s="41">
        <f>AH46-T46-U46</f>
        <v>0</v>
      </c>
      <c r="AJ46" t="s" s="44">
        <v>0</v>
      </c>
      <c r="AK46" s="45"/>
      <c r="AL46" s="39"/>
      <c r="AM46" s="41">
        <f>AL46-Z46-AA46</f>
        <v>0</v>
      </c>
      <c r="AN46" t="s" s="44">
        <v>0</v>
      </c>
      <c r="AO46" s="45"/>
      <c r="AP46" s="39"/>
      <c r="AQ46" s="41">
        <f>AP46-Y46</f>
        <v>0</v>
      </c>
      <c r="AR46" s="37"/>
      <c r="AS46" s="46">
        <v>0</v>
      </c>
    </row>
    <row r="47" ht="54.85" customHeight="1">
      <c r="A47" t="s" s="2">
        <v>0</v>
      </c>
      <c r="B47" s="33"/>
      <c r="C47" s="34"/>
      <c r="D47" s="35"/>
      <c r="E47" s="49"/>
      <c r="F47" s="50"/>
      <c r="G47" s="49"/>
      <c r="H47" s="49"/>
      <c r="I47" t="s" s="51">
        <v>0</v>
      </c>
      <c r="J47" s="38"/>
      <c r="K47" s="52"/>
      <c r="L47" s="52"/>
      <c r="M47" s="52"/>
      <c r="N47" s="52"/>
      <c r="O47" s="52"/>
      <c r="P47" s="40">
        <f>K47-L47-O47+N47</f>
        <v>0</v>
      </c>
      <c r="Q47" s="52"/>
      <c r="R47" s="52"/>
      <c r="S47" s="40">
        <f>L47</f>
        <v>0</v>
      </c>
      <c r="T47" s="52">
        <f>P47+R47-Q47+M47</f>
        <v>0</v>
      </c>
      <c r="U47" s="52">
        <f>T47-V47-W47-X47</f>
        <v>0</v>
      </c>
      <c r="V47" s="41">
        <f>P47*0.03</f>
        <v>0</v>
      </c>
      <c r="W47" s="41">
        <f>P47*0.04</f>
        <v>0</v>
      </c>
      <c r="X47" s="41">
        <f>P47*0.05</f>
        <v>0</v>
      </c>
      <c r="Y47" s="42">
        <f>P47*0.05</f>
        <v>0</v>
      </c>
      <c r="Z47" s="52">
        <f>T47-Y47</f>
        <v>0</v>
      </c>
      <c r="AA47" s="52">
        <f>U47-Y47</f>
        <v>0</v>
      </c>
      <c r="AB47" s="43"/>
      <c r="AC47" t="s" s="51">
        <v>0</v>
      </c>
      <c r="AD47" t="s" s="51">
        <v>0</v>
      </c>
      <c r="AE47" t="s" s="51">
        <v>0</v>
      </c>
      <c r="AF47" t="s" s="44">
        <v>0</v>
      </c>
      <c r="AG47" s="54"/>
      <c r="AH47" s="52"/>
      <c r="AI47" s="41">
        <f>AH47-T47-U47</f>
        <v>0</v>
      </c>
      <c r="AJ47" t="s" s="44">
        <v>0</v>
      </c>
      <c r="AK47" s="54"/>
      <c r="AL47" s="52"/>
      <c r="AM47" s="41">
        <f>AL47-Z47-AA47</f>
        <v>0</v>
      </c>
      <c r="AN47" t="s" s="44">
        <v>0</v>
      </c>
      <c r="AO47" s="54"/>
      <c r="AP47" s="52"/>
      <c r="AQ47" s="41">
        <f>AP47-Y47</f>
        <v>0</v>
      </c>
      <c r="AR47" s="51"/>
      <c r="AS47" s="55">
        <v>0</v>
      </c>
    </row>
    <row r="48" ht="54.85" customHeight="1">
      <c r="A48" t="s" s="2">
        <v>0</v>
      </c>
      <c r="B48" s="33"/>
      <c r="C48" s="34"/>
      <c r="D48" s="35"/>
      <c r="E48" s="34"/>
      <c r="F48" s="36"/>
      <c r="G48" s="34"/>
      <c r="H48" s="34"/>
      <c r="I48" t="s" s="37">
        <v>0</v>
      </c>
      <c r="J48" s="38"/>
      <c r="K48" s="39"/>
      <c r="L48" s="39"/>
      <c r="M48" s="39"/>
      <c r="N48" s="39"/>
      <c r="O48" s="39"/>
      <c r="P48" s="40">
        <f>K48-L48-O48+N48</f>
        <v>0</v>
      </c>
      <c r="Q48" s="39"/>
      <c r="R48" s="39"/>
      <c r="S48" s="40">
        <f>L48</f>
        <v>0</v>
      </c>
      <c r="T48" s="39">
        <f>P48+R48-Q48+M48</f>
        <v>0</v>
      </c>
      <c r="U48" s="39">
        <f>T48-V48-W48-X48</f>
        <v>0</v>
      </c>
      <c r="V48" s="41">
        <f>P48*0.03</f>
        <v>0</v>
      </c>
      <c r="W48" s="41">
        <f>P48*0.04</f>
        <v>0</v>
      </c>
      <c r="X48" s="41">
        <f>P48*0.05</f>
        <v>0</v>
      </c>
      <c r="Y48" s="42">
        <f>P48*0.05</f>
        <v>0</v>
      </c>
      <c r="Z48" s="39">
        <f>T48-Y48</f>
        <v>0</v>
      </c>
      <c r="AA48" s="39">
        <f>U48-Y48</f>
        <v>0</v>
      </c>
      <c r="AB48" s="43"/>
      <c r="AC48" t="s" s="37">
        <v>0</v>
      </c>
      <c r="AD48" t="s" s="37">
        <v>0</v>
      </c>
      <c r="AE48" t="s" s="37">
        <v>0</v>
      </c>
      <c r="AF48" t="s" s="44">
        <v>0</v>
      </c>
      <c r="AG48" s="45"/>
      <c r="AH48" s="39"/>
      <c r="AI48" s="41">
        <f>AH48-T48-U48</f>
        <v>0</v>
      </c>
      <c r="AJ48" t="s" s="44">
        <v>0</v>
      </c>
      <c r="AK48" s="45"/>
      <c r="AL48" s="39"/>
      <c r="AM48" s="41">
        <f>AL48-Z48-AA48</f>
        <v>0</v>
      </c>
      <c r="AN48" t="s" s="44">
        <v>0</v>
      </c>
      <c r="AO48" s="45"/>
      <c r="AP48" s="39"/>
      <c r="AQ48" s="41">
        <f>AP48-Y48</f>
        <v>0</v>
      </c>
      <c r="AR48" s="37"/>
      <c r="AS48" s="46">
        <v>0</v>
      </c>
    </row>
    <row r="49" ht="54.85" customHeight="1">
      <c r="A49" t="s" s="2">
        <v>0</v>
      </c>
      <c r="B49" s="33"/>
      <c r="C49" s="34"/>
      <c r="D49" s="35"/>
      <c r="E49" s="49"/>
      <c r="F49" s="50"/>
      <c r="G49" s="49"/>
      <c r="H49" s="49"/>
      <c r="I49" t="s" s="51">
        <v>0</v>
      </c>
      <c r="J49" s="38"/>
      <c r="K49" s="52"/>
      <c r="L49" s="52"/>
      <c r="M49" s="52"/>
      <c r="N49" s="52"/>
      <c r="O49" s="52"/>
      <c r="P49" s="40">
        <f>K49-L49-O49+N49</f>
        <v>0</v>
      </c>
      <c r="Q49" s="52"/>
      <c r="R49" s="52"/>
      <c r="S49" s="40">
        <f>L49</f>
        <v>0</v>
      </c>
      <c r="T49" s="52">
        <f>P49+R49-Q49+M49</f>
        <v>0</v>
      </c>
      <c r="U49" s="52">
        <f>T49-V49-W49-X49</f>
        <v>0</v>
      </c>
      <c r="V49" s="41">
        <f>P49*0.03</f>
        <v>0</v>
      </c>
      <c r="W49" s="41">
        <f>P49*0.04</f>
        <v>0</v>
      </c>
      <c r="X49" s="41">
        <f>P49*0.05</f>
        <v>0</v>
      </c>
      <c r="Y49" s="42">
        <f>P49*0.05</f>
        <v>0</v>
      </c>
      <c r="Z49" s="52">
        <f>T49-Y49</f>
        <v>0</v>
      </c>
      <c r="AA49" s="52">
        <f>U49-Y49</f>
        <v>0</v>
      </c>
      <c r="AB49" s="43"/>
      <c r="AC49" t="s" s="51">
        <v>0</v>
      </c>
      <c r="AD49" t="s" s="51">
        <v>0</v>
      </c>
      <c r="AE49" t="s" s="51">
        <v>0</v>
      </c>
      <c r="AF49" t="s" s="44">
        <v>0</v>
      </c>
      <c r="AG49" s="54"/>
      <c r="AH49" s="52"/>
      <c r="AI49" s="41">
        <f>AH49-T49-U49</f>
        <v>0</v>
      </c>
      <c r="AJ49" t="s" s="44">
        <v>0</v>
      </c>
      <c r="AK49" s="54"/>
      <c r="AL49" s="52"/>
      <c r="AM49" s="41">
        <f>AL49-Z49-AA49</f>
        <v>0</v>
      </c>
      <c r="AN49" t="s" s="44">
        <v>0</v>
      </c>
      <c r="AO49" s="54"/>
      <c r="AP49" s="52"/>
      <c r="AQ49" s="41">
        <f>AP49-Y49</f>
        <v>0</v>
      </c>
      <c r="AR49" s="51"/>
      <c r="AS49" s="55">
        <v>0</v>
      </c>
    </row>
    <row r="50" ht="54.85" customHeight="1">
      <c r="A50" t="s" s="2">
        <v>0</v>
      </c>
      <c r="B50" s="33"/>
      <c r="C50" s="34"/>
      <c r="D50" s="35"/>
      <c r="E50" s="34"/>
      <c r="F50" s="36"/>
      <c r="G50" s="34"/>
      <c r="H50" s="34"/>
      <c r="I50" t="s" s="37">
        <v>0</v>
      </c>
      <c r="J50" s="38"/>
      <c r="K50" s="39"/>
      <c r="L50" s="39"/>
      <c r="M50" s="39"/>
      <c r="N50" s="39"/>
      <c r="O50" s="39"/>
      <c r="P50" s="40">
        <f>K50-L50-O50+N50</f>
        <v>0</v>
      </c>
      <c r="Q50" s="39"/>
      <c r="R50" s="39"/>
      <c r="S50" s="40">
        <f>L50</f>
        <v>0</v>
      </c>
      <c r="T50" s="39">
        <f>P50+R50-Q50+M50</f>
        <v>0</v>
      </c>
      <c r="U50" s="39">
        <f>T50-V50-W50-X50</f>
        <v>0</v>
      </c>
      <c r="V50" s="41">
        <f>P50*0.03</f>
        <v>0</v>
      </c>
      <c r="W50" s="41">
        <f>P50*0.04</f>
        <v>0</v>
      </c>
      <c r="X50" s="41">
        <f>P50*0.05</f>
        <v>0</v>
      </c>
      <c r="Y50" s="42">
        <f>P50*0.05</f>
        <v>0</v>
      </c>
      <c r="Z50" s="39">
        <f>T50-Y50</f>
        <v>0</v>
      </c>
      <c r="AA50" s="39">
        <f>U50-Y50</f>
        <v>0</v>
      </c>
      <c r="AB50" s="43"/>
      <c r="AC50" t="s" s="37">
        <v>0</v>
      </c>
      <c r="AD50" t="s" s="37">
        <v>0</v>
      </c>
      <c r="AE50" t="s" s="37">
        <v>0</v>
      </c>
      <c r="AF50" t="s" s="44">
        <v>0</v>
      </c>
      <c r="AG50" s="45"/>
      <c r="AH50" s="39"/>
      <c r="AI50" s="41">
        <f>AH50-T50-U50</f>
        <v>0</v>
      </c>
      <c r="AJ50" t="s" s="44">
        <v>0</v>
      </c>
      <c r="AK50" s="45"/>
      <c r="AL50" s="39"/>
      <c r="AM50" s="41">
        <f>AL50-Z50-AA50</f>
        <v>0</v>
      </c>
      <c r="AN50" t="s" s="44">
        <v>0</v>
      </c>
      <c r="AO50" s="45"/>
      <c r="AP50" s="39"/>
      <c r="AQ50" s="41">
        <f>AP50-Y50</f>
        <v>0</v>
      </c>
      <c r="AR50" s="37"/>
      <c r="AS50" s="46">
        <v>0</v>
      </c>
    </row>
    <row r="51" ht="54.85" customHeight="1">
      <c r="A51" t="s" s="2">
        <v>0</v>
      </c>
      <c r="B51" s="33"/>
      <c r="C51" s="34"/>
      <c r="D51" s="35"/>
      <c r="E51" s="49"/>
      <c r="F51" s="50"/>
      <c r="G51" s="49"/>
      <c r="H51" s="49"/>
      <c r="I51" t="s" s="51">
        <v>0</v>
      </c>
      <c r="J51" s="38"/>
      <c r="K51" s="52"/>
      <c r="L51" s="52"/>
      <c r="M51" s="52"/>
      <c r="N51" s="52"/>
      <c r="O51" s="52"/>
      <c r="P51" s="40">
        <f>K51-L51-O51+N51</f>
        <v>0</v>
      </c>
      <c r="Q51" s="52"/>
      <c r="R51" s="52"/>
      <c r="S51" s="40">
        <f>L51</f>
        <v>0</v>
      </c>
      <c r="T51" s="52">
        <f>P51+R51-Q51+M51</f>
        <v>0</v>
      </c>
      <c r="U51" s="52">
        <f>T51-V51-W51-X51</f>
        <v>0</v>
      </c>
      <c r="V51" s="41">
        <f>P51*0.03</f>
        <v>0</v>
      </c>
      <c r="W51" s="41">
        <f>P51*0.04</f>
        <v>0</v>
      </c>
      <c r="X51" s="41">
        <f>P51*0.05</f>
        <v>0</v>
      </c>
      <c r="Y51" s="42">
        <f>P51*0.05</f>
        <v>0</v>
      </c>
      <c r="Z51" s="52">
        <f>T51-Y51</f>
        <v>0</v>
      </c>
      <c r="AA51" s="52">
        <f>U51-Y51</f>
        <v>0</v>
      </c>
      <c r="AB51" s="43"/>
      <c r="AC51" t="s" s="51">
        <v>0</v>
      </c>
      <c r="AD51" t="s" s="51">
        <v>0</v>
      </c>
      <c r="AE51" t="s" s="51">
        <v>0</v>
      </c>
      <c r="AF51" t="s" s="44">
        <v>0</v>
      </c>
      <c r="AG51" s="54"/>
      <c r="AH51" s="52"/>
      <c r="AI51" s="41">
        <f>AH51-T51-U51</f>
        <v>0</v>
      </c>
      <c r="AJ51" t="s" s="44">
        <v>0</v>
      </c>
      <c r="AK51" s="54"/>
      <c r="AL51" s="52"/>
      <c r="AM51" s="41">
        <f>AL51-Z51-AA51</f>
        <v>0</v>
      </c>
      <c r="AN51" t="s" s="44">
        <v>0</v>
      </c>
      <c r="AO51" s="54"/>
      <c r="AP51" s="52"/>
      <c r="AQ51" s="41">
        <f>AP51-Y51</f>
        <v>0</v>
      </c>
      <c r="AR51" s="51"/>
      <c r="AS51" s="55">
        <v>0</v>
      </c>
    </row>
    <row r="52" ht="54.85" customHeight="1">
      <c r="A52" t="s" s="2">
        <v>0</v>
      </c>
      <c r="B52" s="33"/>
      <c r="C52" s="34"/>
      <c r="D52" s="35"/>
      <c r="E52" s="34"/>
      <c r="F52" s="36"/>
      <c r="G52" s="34"/>
      <c r="H52" s="34"/>
      <c r="I52" t="s" s="37">
        <v>0</v>
      </c>
      <c r="J52" s="38"/>
      <c r="K52" s="39"/>
      <c r="L52" s="39"/>
      <c r="M52" s="39"/>
      <c r="N52" s="39"/>
      <c r="O52" s="39"/>
      <c r="P52" s="40">
        <f>K52-L52-O52+N52</f>
        <v>0</v>
      </c>
      <c r="Q52" s="39"/>
      <c r="R52" s="39"/>
      <c r="S52" s="40">
        <f>L52</f>
        <v>0</v>
      </c>
      <c r="T52" s="39">
        <f>P52+R52-Q52+M52</f>
        <v>0</v>
      </c>
      <c r="U52" s="39">
        <f>T52-V52-W52-X52</f>
        <v>0</v>
      </c>
      <c r="V52" s="41">
        <f>P52*0.03</f>
        <v>0</v>
      </c>
      <c r="W52" s="41">
        <f>P52*0.04</f>
        <v>0</v>
      </c>
      <c r="X52" s="41">
        <f>P52*0.05</f>
        <v>0</v>
      </c>
      <c r="Y52" s="42">
        <f>P52*0.05</f>
        <v>0</v>
      </c>
      <c r="Z52" s="39">
        <f>T52-Y52</f>
        <v>0</v>
      </c>
      <c r="AA52" s="39">
        <f>U52-Y52</f>
        <v>0</v>
      </c>
      <c r="AB52" s="43"/>
      <c r="AC52" t="s" s="37">
        <v>0</v>
      </c>
      <c r="AD52" t="s" s="37">
        <v>0</v>
      </c>
      <c r="AE52" t="s" s="37">
        <v>0</v>
      </c>
      <c r="AF52" t="s" s="44">
        <v>0</v>
      </c>
      <c r="AG52" s="45"/>
      <c r="AH52" s="39"/>
      <c r="AI52" s="41">
        <f>AH52-T52-U52</f>
        <v>0</v>
      </c>
      <c r="AJ52" t="s" s="44">
        <v>0</v>
      </c>
      <c r="AK52" s="45"/>
      <c r="AL52" s="39"/>
      <c r="AM52" s="41">
        <f>AL52-Z52-AA52</f>
        <v>0</v>
      </c>
      <c r="AN52" t="s" s="44">
        <v>0</v>
      </c>
      <c r="AO52" s="45"/>
      <c r="AP52" s="39"/>
      <c r="AQ52" s="41">
        <f>AP52-Y52</f>
        <v>0</v>
      </c>
      <c r="AR52" s="37"/>
      <c r="AS52" s="46">
        <v>0</v>
      </c>
    </row>
    <row r="53" ht="54.85" customHeight="1">
      <c r="A53" t="s" s="2">
        <v>0</v>
      </c>
      <c r="B53" s="33"/>
      <c r="C53" s="34"/>
      <c r="D53" s="35"/>
      <c r="E53" s="49"/>
      <c r="F53" s="50"/>
      <c r="G53" s="49"/>
      <c r="H53" s="49"/>
      <c r="I53" t="s" s="51">
        <v>0</v>
      </c>
      <c r="J53" s="38"/>
      <c r="K53" s="52"/>
      <c r="L53" s="52"/>
      <c r="M53" s="52"/>
      <c r="N53" s="52"/>
      <c r="O53" s="52"/>
      <c r="P53" s="40">
        <f>K53-L53-O53+N53</f>
        <v>0</v>
      </c>
      <c r="Q53" s="52"/>
      <c r="R53" s="52"/>
      <c r="S53" s="40">
        <f>L53</f>
        <v>0</v>
      </c>
      <c r="T53" s="52">
        <f>P53+R53-Q53+M53</f>
        <v>0</v>
      </c>
      <c r="U53" s="52">
        <f>T53-V53-W53-X53</f>
        <v>0</v>
      </c>
      <c r="V53" s="41">
        <f>P53*0.03</f>
        <v>0</v>
      </c>
      <c r="W53" s="41">
        <f>P53*0.04</f>
        <v>0</v>
      </c>
      <c r="X53" s="41">
        <f>P53*0.05</f>
        <v>0</v>
      </c>
      <c r="Y53" s="42">
        <f>P53*0.05</f>
        <v>0</v>
      </c>
      <c r="Z53" s="52">
        <f>T53-Y53</f>
        <v>0</v>
      </c>
      <c r="AA53" s="52">
        <f>U53-Y53</f>
        <v>0</v>
      </c>
      <c r="AB53" s="43"/>
      <c r="AC53" t="s" s="51">
        <v>0</v>
      </c>
      <c r="AD53" t="s" s="51">
        <v>0</v>
      </c>
      <c r="AE53" t="s" s="51">
        <v>0</v>
      </c>
      <c r="AF53" t="s" s="44">
        <v>0</v>
      </c>
      <c r="AG53" s="54"/>
      <c r="AH53" s="52"/>
      <c r="AI53" s="41">
        <f>AH53-T53-U53</f>
        <v>0</v>
      </c>
      <c r="AJ53" t="s" s="44">
        <v>0</v>
      </c>
      <c r="AK53" s="54"/>
      <c r="AL53" s="52"/>
      <c r="AM53" s="41">
        <f>AL53-Z53-AA53</f>
        <v>0</v>
      </c>
      <c r="AN53" t="s" s="44">
        <v>0</v>
      </c>
      <c r="AO53" s="54"/>
      <c r="AP53" s="52"/>
      <c r="AQ53" s="41">
        <f>AP53-Y53</f>
        <v>0</v>
      </c>
      <c r="AR53" s="51"/>
      <c r="AS53" s="55">
        <v>0</v>
      </c>
    </row>
    <row r="54" ht="54.85" customHeight="1">
      <c r="A54" t="s" s="2">
        <v>0</v>
      </c>
      <c r="B54" s="33"/>
      <c r="C54" s="34"/>
      <c r="D54" s="35"/>
      <c r="E54" s="34"/>
      <c r="F54" s="36"/>
      <c r="G54" s="34"/>
      <c r="H54" s="34"/>
      <c r="I54" t="s" s="37">
        <v>0</v>
      </c>
      <c r="J54" s="38"/>
      <c r="K54" s="39"/>
      <c r="L54" s="39"/>
      <c r="M54" s="39"/>
      <c r="N54" s="39"/>
      <c r="O54" s="39"/>
      <c r="P54" s="40">
        <f>K54-L54-O54+N54</f>
        <v>0</v>
      </c>
      <c r="Q54" s="39"/>
      <c r="R54" s="39"/>
      <c r="S54" s="40">
        <f>L54</f>
        <v>0</v>
      </c>
      <c r="T54" s="39">
        <f>P54+R54-Q54+M54</f>
        <v>0</v>
      </c>
      <c r="U54" s="39">
        <f>T54-V54-W54-X54</f>
        <v>0</v>
      </c>
      <c r="V54" s="41">
        <f>P54*0.03</f>
        <v>0</v>
      </c>
      <c r="W54" s="41">
        <f>P54*0.04</f>
        <v>0</v>
      </c>
      <c r="X54" s="41">
        <f>P54*0.05</f>
        <v>0</v>
      </c>
      <c r="Y54" s="42">
        <f>P54*0.05</f>
        <v>0</v>
      </c>
      <c r="Z54" s="39">
        <f>T54-Y54</f>
        <v>0</v>
      </c>
      <c r="AA54" s="39">
        <f>U54-Y54</f>
        <v>0</v>
      </c>
      <c r="AB54" s="43"/>
      <c r="AC54" t="s" s="37">
        <v>0</v>
      </c>
      <c r="AD54" t="s" s="37">
        <v>0</v>
      </c>
      <c r="AE54" t="s" s="37">
        <v>0</v>
      </c>
      <c r="AF54" t="s" s="44">
        <v>0</v>
      </c>
      <c r="AG54" s="45"/>
      <c r="AH54" s="39"/>
      <c r="AI54" s="41">
        <f>AH54-T54-U54</f>
        <v>0</v>
      </c>
      <c r="AJ54" t="s" s="44">
        <v>0</v>
      </c>
      <c r="AK54" s="45"/>
      <c r="AL54" s="39"/>
      <c r="AM54" s="41">
        <f>AL54-Z54-AA54</f>
        <v>0</v>
      </c>
      <c r="AN54" t="s" s="44">
        <v>0</v>
      </c>
      <c r="AO54" s="45"/>
      <c r="AP54" s="39"/>
      <c r="AQ54" s="41">
        <f>AP54-Y54</f>
        <v>0</v>
      </c>
      <c r="AR54" s="37"/>
      <c r="AS54" s="46">
        <v>0</v>
      </c>
    </row>
    <row r="55" ht="54.85" customHeight="1">
      <c r="A55" t="s" s="2">
        <v>0</v>
      </c>
      <c r="B55" s="33"/>
      <c r="C55" s="34"/>
      <c r="D55" s="35"/>
      <c r="E55" s="49"/>
      <c r="F55" s="50"/>
      <c r="G55" s="49"/>
      <c r="H55" s="49"/>
      <c r="I55" t="s" s="51">
        <v>0</v>
      </c>
      <c r="J55" s="38"/>
      <c r="K55" s="52"/>
      <c r="L55" s="52"/>
      <c r="M55" s="52"/>
      <c r="N55" s="52"/>
      <c r="O55" s="52"/>
      <c r="P55" s="40">
        <f>K55-L55-O55+N55</f>
        <v>0</v>
      </c>
      <c r="Q55" s="52"/>
      <c r="R55" s="52"/>
      <c r="S55" s="40">
        <f>L55</f>
        <v>0</v>
      </c>
      <c r="T55" s="52">
        <f>P55+R55-Q55+M55</f>
        <v>0</v>
      </c>
      <c r="U55" s="52">
        <f>T55-V55-W55-X55</f>
        <v>0</v>
      </c>
      <c r="V55" s="41">
        <f>P55*0.03</f>
        <v>0</v>
      </c>
      <c r="W55" s="41">
        <f>P55*0.04</f>
        <v>0</v>
      </c>
      <c r="X55" s="41">
        <f>P55*0.05</f>
        <v>0</v>
      </c>
      <c r="Y55" s="42">
        <f>P55*0.05</f>
        <v>0</v>
      </c>
      <c r="Z55" s="52">
        <f>T55-Y55</f>
        <v>0</v>
      </c>
      <c r="AA55" s="52">
        <f>U55-Y55</f>
        <v>0</v>
      </c>
      <c r="AB55" s="43"/>
      <c r="AC55" t="s" s="51">
        <v>0</v>
      </c>
      <c r="AD55" t="s" s="51">
        <v>0</v>
      </c>
      <c r="AE55" t="s" s="51">
        <v>0</v>
      </c>
      <c r="AF55" t="s" s="44">
        <v>0</v>
      </c>
      <c r="AG55" s="54"/>
      <c r="AH55" s="52"/>
      <c r="AI55" s="41">
        <f>AH55-T55-U55</f>
        <v>0</v>
      </c>
      <c r="AJ55" t="s" s="44">
        <v>0</v>
      </c>
      <c r="AK55" s="54"/>
      <c r="AL55" s="52"/>
      <c r="AM55" s="41">
        <f>AL55-Z55-AA55</f>
        <v>0</v>
      </c>
      <c r="AN55" t="s" s="44">
        <v>0</v>
      </c>
      <c r="AO55" s="54"/>
      <c r="AP55" s="52"/>
      <c r="AQ55" s="41">
        <f>AP55-Y55</f>
        <v>0</v>
      </c>
      <c r="AR55" s="51"/>
      <c r="AS55" s="55">
        <v>0</v>
      </c>
    </row>
    <row r="56" ht="54.85" customHeight="1">
      <c r="A56" t="s" s="2">
        <v>0</v>
      </c>
      <c r="B56" s="33"/>
      <c r="C56" s="34"/>
      <c r="D56" s="35"/>
      <c r="E56" s="34"/>
      <c r="F56" s="36"/>
      <c r="G56" s="34"/>
      <c r="H56" s="34"/>
      <c r="I56" t="s" s="37">
        <v>0</v>
      </c>
      <c r="J56" s="38"/>
      <c r="K56" s="39"/>
      <c r="L56" s="39"/>
      <c r="M56" s="39"/>
      <c r="N56" s="39"/>
      <c r="O56" s="39"/>
      <c r="P56" s="40">
        <f>K56-L56-O56+N56</f>
        <v>0</v>
      </c>
      <c r="Q56" s="39"/>
      <c r="R56" s="39"/>
      <c r="S56" s="40">
        <f>L56</f>
        <v>0</v>
      </c>
      <c r="T56" s="39">
        <f>P56+R56-Q56+M56</f>
        <v>0</v>
      </c>
      <c r="U56" s="39">
        <f>T56-V56-W56-X56</f>
        <v>0</v>
      </c>
      <c r="V56" s="41">
        <f>P56*0.03</f>
        <v>0</v>
      </c>
      <c r="W56" s="41">
        <f>P56*0.04</f>
        <v>0</v>
      </c>
      <c r="X56" s="41">
        <f>P56*0.05</f>
        <v>0</v>
      </c>
      <c r="Y56" s="42">
        <f>P56*0.05</f>
        <v>0</v>
      </c>
      <c r="Z56" s="39">
        <f>T56-Y56</f>
        <v>0</v>
      </c>
      <c r="AA56" s="39">
        <f>U56-Y56</f>
        <v>0</v>
      </c>
      <c r="AB56" s="43"/>
      <c r="AC56" t="s" s="37">
        <v>0</v>
      </c>
      <c r="AD56" t="s" s="37">
        <v>0</v>
      </c>
      <c r="AE56" t="s" s="37">
        <v>0</v>
      </c>
      <c r="AF56" t="s" s="44">
        <v>0</v>
      </c>
      <c r="AG56" s="45"/>
      <c r="AH56" s="39"/>
      <c r="AI56" s="41">
        <f>AH56-T56-U56</f>
        <v>0</v>
      </c>
      <c r="AJ56" t="s" s="44">
        <v>0</v>
      </c>
      <c r="AK56" s="45"/>
      <c r="AL56" s="39"/>
      <c r="AM56" s="41">
        <f>AL56-Z56-AA56</f>
        <v>0</v>
      </c>
      <c r="AN56" t="s" s="44">
        <v>0</v>
      </c>
      <c r="AO56" s="45"/>
      <c r="AP56" s="39"/>
      <c r="AQ56" s="41">
        <f>AP56-Y56</f>
        <v>0</v>
      </c>
      <c r="AR56" s="37"/>
      <c r="AS56" s="46">
        <v>0</v>
      </c>
    </row>
    <row r="57" ht="54.85" customHeight="1">
      <c r="A57" t="s" s="2">
        <v>0</v>
      </c>
      <c r="B57" s="33"/>
      <c r="C57" s="34"/>
      <c r="D57" s="35"/>
      <c r="E57" s="49"/>
      <c r="F57" s="50"/>
      <c r="G57" s="49"/>
      <c r="H57" s="49"/>
      <c r="I57" t="s" s="51">
        <v>0</v>
      </c>
      <c r="J57" s="38"/>
      <c r="K57" s="52"/>
      <c r="L57" s="52"/>
      <c r="M57" s="52"/>
      <c r="N57" s="52"/>
      <c r="O57" s="52"/>
      <c r="P57" s="40">
        <f>K57-L57-O57+N57</f>
        <v>0</v>
      </c>
      <c r="Q57" s="52"/>
      <c r="R57" s="52"/>
      <c r="S57" s="40">
        <f>L57</f>
        <v>0</v>
      </c>
      <c r="T57" s="52">
        <f>P57+R57-Q57+M57</f>
        <v>0</v>
      </c>
      <c r="U57" s="52">
        <f>T57-V57-W57-X57</f>
        <v>0</v>
      </c>
      <c r="V57" s="41">
        <f>P57*0.03</f>
        <v>0</v>
      </c>
      <c r="W57" s="41">
        <f>P57*0.04</f>
        <v>0</v>
      </c>
      <c r="X57" s="41">
        <f>P57*0.05</f>
        <v>0</v>
      </c>
      <c r="Y57" s="42">
        <f>P57*0.05</f>
        <v>0</v>
      </c>
      <c r="Z57" s="52">
        <f>T57-Y57</f>
        <v>0</v>
      </c>
      <c r="AA57" s="52">
        <f>U57-Y57</f>
        <v>0</v>
      </c>
      <c r="AB57" s="43"/>
      <c r="AC57" t="s" s="51">
        <v>0</v>
      </c>
      <c r="AD57" t="s" s="51">
        <v>0</v>
      </c>
      <c r="AE57" t="s" s="51">
        <v>0</v>
      </c>
      <c r="AF57" t="s" s="44">
        <v>0</v>
      </c>
      <c r="AG57" s="54"/>
      <c r="AH57" s="52"/>
      <c r="AI57" s="41">
        <f>AH57-T57-U57</f>
        <v>0</v>
      </c>
      <c r="AJ57" t="s" s="44">
        <v>0</v>
      </c>
      <c r="AK57" s="54"/>
      <c r="AL57" s="52"/>
      <c r="AM57" s="41">
        <f>AL57-Z57-AA57</f>
        <v>0</v>
      </c>
      <c r="AN57" t="s" s="44">
        <v>0</v>
      </c>
      <c r="AO57" s="54"/>
      <c r="AP57" s="52"/>
      <c r="AQ57" s="41">
        <f>AP57-Y57</f>
        <v>0</v>
      </c>
      <c r="AR57" s="51"/>
      <c r="AS57" s="55">
        <v>0</v>
      </c>
    </row>
    <row r="58" ht="54.85" customHeight="1">
      <c r="A58" t="s" s="2">
        <v>0</v>
      </c>
      <c r="B58" s="33"/>
      <c r="C58" s="34"/>
      <c r="D58" s="35"/>
      <c r="E58" s="34"/>
      <c r="F58" s="36"/>
      <c r="G58" s="34"/>
      <c r="H58" s="34"/>
      <c r="I58" t="s" s="37">
        <v>0</v>
      </c>
      <c r="J58" s="38"/>
      <c r="K58" s="39"/>
      <c r="L58" s="39"/>
      <c r="M58" s="39"/>
      <c r="N58" s="39"/>
      <c r="O58" s="39"/>
      <c r="P58" s="40">
        <f>K58-L58-O58+N58</f>
        <v>0</v>
      </c>
      <c r="Q58" s="39"/>
      <c r="R58" s="39"/>
      <c r="S58" s="40">
        <f>L58</f>
        <v>0</v>
      </c>
      <c r="T58" s="39">
        <f>P58+R58-Q58+M58</f>
        <v>0</v>
      </c>
      <c r="U58" s="39">
        <f>T58-V58-W58-X58</f>
        <v>0</v>
      </c>
      <c r="V58" s="41">
        <f>P58*0.03</f>
        <v>0</v>
      </c>
      <c r="W58" s="41">
        <f>P58*0.04</f>
        <v>0</v>
      </c>
      <c r="X58" s="41">
        <f>P58*0.05</f>
        <v>0</v>
      </c>
      <c r="Y58" s="42">
        <f>P58*0.05</f>
        <v>0</v>
      </c>
      <c r="Z58" s="39">
        <f>T58-Y58</f>
        <v>0</v>
      </c>
      <c r="AA58" s="39">
        <f>U58-Y58</f>
        <v>0</v>
      </c>
      <c r="AB58" s="43"/>
      <c r="AC58" t="s" s="37">
        <v>0</v>
      </c>
      <c r="AD58" t="s" s="37">
        <v>0</v>
      </c>
      <c r="AE58" t="s" s="37">
        <v>0</v>
      </c>
      <c r="AF58" t="s" s="44">
        <v>0</v>
      </c>
      <c r="AG58" s="45"/>
      <c r="AH58" s="39"/>
      <c r="AI58" s="41">
        <f>AH58-T58-U58</f>
        <v>0</v>
      </c>
      <c r="AJ58" t="s" s="44">
        <v>0</v>
      </c>
      <c r="AK58" s="45"/>
      <c r="AL58" s="39"/>
      <c r="AM58" s="41">
        <f>AL58-Z58-AA58</f>
        <v>0</v>
      </c>
      <c r="AN58" t="s" s="44">
        <v>0</v>
      </c>
      <c r="AO58" s="45"/>
      <c r="AP58" s="39"/>
      <c r="AQ58" s="41">
        <f>AP58-Y58</f>
        <v>0</v>
      </c>
      <c r="AR58" s="37"/>
      <c r="AS58" s="46">
        <v>0</v>
      </c>
    </row>
    <row r="59" ht="54.85" customHeight="1">
      <c r="A59" t="s" s="2">
        <v>0</v>
      </c>
      <c r="B59" s="33"/>
      <c r="C59" s="34"/>
      <c r="D59" s="35"/>
      <c r="E59" s="49"/>
      <c r="F59" s="50"/>
      <c r="G59" s="49"/>
      <c r="H59" s="49"/>
      <c r="I59" t="s" s="51">
        <v>0</v>
      </c>
      <c r="J59" s="38"/>
      <c r="K59" s="52"/>
      <c r="L59" s="52"/>
      <c r="M59" s="52"/>
      <c r="N59" s="52"/>
      <c r="O59" s="52"/>
      <c r="P59" s="40">
        <f>K59-L59-O59+N59</f>
        <v>0</v>
      </c>
      <c r="Q59" s="52"/>
      <c r="R59" s="52"/>
      <c r="S59" s="40">
        <f>L59</f>
        <v>0</v>
      </c>
      <c r="T59" s="52">
        <f>P59+R59-Q59+M59</f>
        <v>0</v>
      </c>
      <c r="U59" s="52">
        <f>T59-V59-W59-X59</f>
        <v>0</v>
      </c>
      <c r="V59" s="41">
        <f>P59*0.03</f>
        <v>0</v>
      </c>
      <c r="W59" s="41">
        <f>P59*0.04</f>
        <v>0</v>
      </c>
      <c r="X59" s="41">
        <f>P59*0.05</f>
        <v>0</v>
      </c>
      <c r="Y59" s="42">
        <f>P59*0.05</f>
        <v>0</v>
      </c>
      <c r="Z59" s="52">
        <f>T59-Y59</f>
        <v>0</v>
      </c>
      <c r="AA59" s="52">
        <f>U59-Y59</f>
        <v>0</v>
      </c>
      <c r="AB59" s="43"/>
      <c r="AC59" t="s" s="51">
        <v>0</v>
      </c>
      <c r="AD59" t="s" s="51">
        <v>0</v>
      </c>
      <c r="AE59" t="s" s="51">
        <v>0</v>
      </c>
      <c r="AF59" t="s" s="44">
        <v>0</v>
      </c>
      <c r="AG59" s="54"/>
      <c r="AH59" s="52"/>
      <c r="AI59" s="41">
        <f>AH59-T59-U59</f>
        <v>0</v>
      </c>
      <c r="AJ59" t="s" s="44">
        <v>0</v>
      </c>
      <c r="AK59" s="54"/>
      <c r="AL59" s="52"/>
      <c r="AM59" s="41">
        <f>AL59-Z59-AA59</f>
        <v>0</v>
      </c>
      <c r="AN59" t="s" s="44">
        <v>0</v>
      </c>
      <c r="AO59" s="54"/>
      <c r="AP59" s="52"/>
      <c r="AQ59" s="41">
        <f>AP59-Y59</f>
        <v>0</v>
      </c>
      <c r="AR59" s="51"/>
      <c r="AS59" s="55">
        <v>0</v>
      </c>
    </row>
    <row r="60" ht="54.85" customHeight="1">
      <c r="A60" t="s" s="2">
        <v>0</v>
      </c>
      <c r="B60" s="33"/>
      <c r="C60" s="34"/>
      <c r="D60" s="35"/>
      <c r="E60" s="34"/>
      <c r="F60" s="36"/>
      <c r="G60" s="34"/>
      <c r="H60" s="34"/>
      <c r="I60" t="s" s="37">
        <v>0</v>
      </c>
      <c r="J60" s="38"/>
      <c r="K60" s="39"/>
      <c r="L60" s="39"/>
      <c r="M60" s="39"/>
      <c r="N60" s="39"/>
      <c r="O60" s="39"/>
      <c r="P60" s="40">
        <f>K60-L60-O60+N60</f>
        <v>0</v>
      </c>
      <c r="Q60" s="39"/>
      <c r="R60" s="39"/>
      <c r="S60" s="40">
        <f>L60</f>
        <v>0</v>
      </c>
      <c r="T60" s="39">
        <f>P60+R60-Q60+M60</f>
        <v>0</v>
      </c>
      <c r="U60" s="39">
        <f>T60-V60-W60-X60</f>
        <v>0</v>
      </c>
      <c r="V60" s="41">
        <f>P60*0.03</f>
        <v>0</v>
      </c>
      <c r="W60" s="41">
        <f>P60*0.04</f>
        <v>0</v>
      </c>
      <c r="X60" s="41">
        <f>P60*0.05</f>
        <v>0</v>
      </c>
      <c r="Y60" s="42">
        <f>P60*0.05</f>
        <v>0</v>
      </c>
      <c r="Z60" s="39">
        <f>T60-Y60</f>
        <v>0</v>
      </c>
      <c r="AA60" s="39">
        <f>U60-Y60</f>
        <v>0</v>
      </c>
      <c r="AB60" s="43"/>
      <c r="AC60" t="s" s="37">
        <v>0</v>
      </c>
      <c r="AD60" t="s" s="37">
        <v>0</v>
      </c>
      <c r="AE60" t="s" s="37">
        <v>0</v>
      </c>
      <c r="AF60" t="s" s="44">
        <v>0</v>
      </c>
      <c r="AG60" s="45"/>
      <c r="AH60" s="39"/>
      <c r="AI60" s="41">
        <f>AH60-T60-U60</f>
        <v>0</v>
      </c>
      <c r="AJ60" t="s" s="44">
        <v>0</v>
      </c>
      <c r="AK60" s="45"/>
      <c r="AL60" s="39"/>
      <c r="AM60" s="41">
        <f>AL60-Z60-AA60</f>
        <v>0</v>
      </c>
      <c r="AN60" t="s" s="44">
        <v>0</v>
      </c>
      <c r="AO60" s="45"/>
      <c r="AP60" s="39"/>
      <c r="AQ60" s="41">
        <f>AP60-Y60</f>
        <v>0</v>
      </c>
      <c r="AR60" s="37"/>
      <c r="AS60" s="46">
        <v>0</v>
      </c>
    </row>
    <row r="61" ht="54.85" customHeight="1">
      <c r="A61" t="s" s="2">
        <v>0</v>
      </c>
      <c r="B61" s="33"/>
      <c r="C61" s="34"/>
      <c r="D61" s="35"/>
      <c r="E61" s="49"/>
      <c r="F61" s="50"/>
      <c r="G61" s="49"/>
      <c r="H61" s="49"/>
      <c r="I61" t="s" s="51">
        <v>0</v>
      </c>
      <c r="J61" s="38"/>
      <c r="K61" s="52"/>
      <c r="L61" s="52"/>
      <c r="M61" s="52"/>
      <c r="N61" s="52"/>
      <c r="O61" s="52"/>
      <c r="P61" s="40">
        <f>K61-L61-O61+N61</f>
        <v>0</v>
      </c>
      <c r="Q61" s="52"/>
      <c r="R61" s="52"/>
      <c r="S61" s="40">
        <f>L61</f>
        <v>0</v>
      </c>
      <c r="T61" s="52">
        <f>P61+R61-Q61+M61</f>
        <v>0</v>
      </c>
      <c r="U61" s="52">
        <f>T61-V61-W61-X61</f>
        <v>0</v>
      </c>
      <c r="V61" s="41">
        <f>P61*0.03</f>
        <v>0</v>
      </c>
      <c r="W61" s="41">
        <f>P61*0.04</f>
        <v>0</v>
      </c>
      <c r="X61" s="41">
        <f>P61*0.05</f>
        <v>0</v>
      </c>
      <c r="Y61" s="42">
        <f>P61*0.05</f>
        <v>0</v>
      </c>
      <c r="Z61" s="52">
        <f>T61-Y61</f>
        <v>0</v>
      </c>
      <c r="AA61" s="52">
        <f>U61-Y61</f>
        <v>0</v>
      </c>
      <c r="AB61" s="43"/>
      <c r="AC61" t="s" s="51">
        <v>0</v>
      </c>
      <c r="AD61" t="s" s="51">
        <v>0</v>
      </c>
      <c r="AE61" t="s" s="51">
        <v>0</v>
      </c>
      <c r="AF61" t="s" s="44">
        <v>0</v>
      </c>
      <c r="AG61" s="54"/>
      <c r="AH61" s="52"/>
      <c r="AI61" s="41">
        <f>AH61-T61-U61</f>
        <v>0</v>
      </c>
      <c r="AJ61" t="s" s="44">
        <v>0</v>
      </c>
      <c r="AK61" s="54"/>
      <c r="AL61" s="52"/>
      <c r="AM61" s="41">
        <f>AL61-Z61-AA61</f>
        <v>0</v>
      </c>
      <c r="AN61" t="s" s="44">
        <v>0</v>
      </c>
      <c r="AO61" s="54"/>
      <c r="AP61" s="52"/>
      <c r="AQ61" s="41">
        <f>AP61-Y61</f>
        <v>0</v>
      </c>
      <c r="AR61" s="51"/>
      <c r="AS61" s="55">
        <v>0</v>
      </c>
    </row>
    <row r="62" ht="54.85" customHeight="1">
      <c r="A62" t="s" s="2">
        <v>0</v>
      </c>
      <c r="B62" s="33"/>
      <c r="C62" s="34"/>
      <c r="D62" s="35"/>
      <c r="E62" s="34"/>
      <c r="F62" s="36"/>
      <c r="G62" s="34"/>
      <c r="H62" s="34"/>
      <c r="I62" t="s" s="37">
        <v>0</v>
      </c>
      <c r="J62" s="38"/>
      <c r="K62" s="39"/>
      <c r="L62" s="39"/>
      <c r="M62" s="39"/>
      <c r="N62" s="39"/>
      <c r="O62" s="39"/>
      <c r="P62" s="40">
        <f>K62-L62-O62+N62</f>
        <v>0</v>
      </c>
      <c r="Q62" s="39"/>
      <c r="R62" s="39"/>
      <c r="S62" s="40">
        <f>L62</f>
        <v>0</v>
      </c>
      <c r="T62" s="39">
        <f>P62+R62-Q62+M62</f>
        <v>0</v>
      </c>
      <c r="U62" s="39">
        <f>T62-V62-W62-X62</f>
        <v>0</v>
      </c>
      <c r="V62" s="41">
        <f>P62*0.03</f>
        <v>0</v>
      </c>
      <c r="W62" s="41">
        <f>P62*0.04</f>
        <v>0</v>
      </c>
      <c r="X62" s="41">
        <f>P62*0.05</f>
        <v>0</v>
      </c>
      <c r="Y62" s="42">
        <f>P62*0.05</f>
        <v>0</v>
      </c>
      <c r="Z62" s="39">
        <f>T62-Y62</f>
        <v>0</v>
      </c>
      <c r="AA62" s="39">
        <f>U62-Y62</f>
        <v>0</v>
      </c>
      <c r="AB62" s="43"/>
      <c r="AC62" t="s" s="37">
        <v>0</v>
      </c>
      <c r="AD62" t="s" s="37">
        <v>0</v>
      </c>
      <c r="AE62" t="s" s="37">
        <v>0</v>
      </c>
      <c r="AF62" t="s" s="44">
        <v>0</v>
      </c>
      <c r="AG62" s="45"/>
      <c r="AH62" s="39"/>
      <c r="AI62" s="41">
        <f>AH62-T62-U62</f>
        <v>0</v>
      </c>
      <c r="AJ62" t="s" s="44">
        <v>0</v>
      </c>
      <c r="AK62" s="45"/>
      <c r="AL62" s="39"/>
      <c r="AM62" s="41">
        <f>AL62-Z62-AA62</f>
        <v>0</v>
      </c>
      <c r="AN62" t="s" s="44">
        <v>0</v>
      </c>
      <c r="AO62" s="45"/>
      <c r="AP62" s="39"/>
      <c r="AQ62" s="41">
        <f>AP62-Y62</f>
        <v>0</v>
      </c>
      <c r="AR62" s="37"/>
      <c r="AS62" s="46">
        <v>0</v>
      </c>
    </row>
    <row r="63" ht="54.85" customHeight="1">
      <c r="A63" t="s" s="2">
        <v>0</v>
      </c>
      <c r="B63" s="33"/>
      <c r="C63" s="34"/>
      <c r="D63" s="35"/>
      <c r="E63" s="49"/>
      <c r="F63" s="50"/>
      <c r="G63" s="49"/>
      <c r="H63" s="49"/>
      <c r="I63" t="s" s="51">
        <v>0</v>
      </c>
      <c r="J63" s="38"/>
      <c r="K63" s="52"/>
      <c r="L63" s="52"/>
      <c r="M63" s="52"/>
      <c r="N63" s="52"/>
      <c r="O63" s="52"/>
      <c r="P63" s="40">
        <f>K63-L63-O63+N63</f>
        <v>0</v>
      </c>
      <c r="Q63" s="52"/>
      <c r="R63" s="52"/>
      <c r="S63" s="40">
        <f>L63</f>
        <v>0</v>
      </c>
      <c r="T63" s="52">
        <f>P63+R63-Q63+M63</f>
        <v>0</v>
      </c>
      <c r="U63" s="52">
        <f>T63-V63-W63-X63</f>
        <v>0</v>
      </c>
      <c r="V63" s="41">
        <f>P63*0.03</f>
        <v>0</v>
      </c>
      <c r="W63" s="41">
        <f>P63*0.04</f>
        <v>0</v>
      </c>
      <c r="X63" s="41">
        <f>P63*0.05</f>
        <v>0</v>
      </c>
      <c r="Y63" s="42">
        <f>P63*0.05</f>
        <v>0</v>
      </c>
      <c r="Z63" s="52">
        <f>T63-Y63</f>
        <v>0</v>
      </c>
      <c r="AA63" s="52">
        <f>U63-Y63</f>
        <v>0</v>
      </c>
      <c r="AB63" s="43"/>
      <c r="AC63" t="s" s="51">
        <v>0</v>
      </c>
      <c r="AD63" t="s" s="51">
        <v>0</v>
      </c>
      <c r="AE63" t="s" s="51">
        <v>0</v>
      </c>
      <c r="AF63" t="s" s="44">
        <v>0</v>
      </c>
      <c r="AG63" s="54"/>
      <c r="AH63" s="52"/>
      <c r="AI63" s="41">
        <f>AH63-T63-U63</f>
        <v>0</v>
      </c>
      <c r="AJ63" t="s" s="44">
        <v>0</v>
      </c>
      <c r="AK63" s="54"/>
      <c r="AL63" s="52"/>
      <c r="AM63" s="41">
        <f>AL63-Z63-AA63</f>
        <v>0</v>
      </c>
      <c r="AN63" t="s" s="44">
        <v>0</v>
      </c>
      <c r="AO63" s="54"/>
      <c r="AP63" s="52"/>
      <c r="AQ63" s="41">
        <f>AP63-Y63</f>
        <v>0</v>
      </c>
      <c r="AR63" s="51"/>
      <c r="AS63" s="55">
        <v>0</v>
      </c>
    </row>
    <row r="64" ht="54.85" customHeight="1">
      <c r="A64" t="s" s="2">
        <v>0</v>
      </c>
      <c r="B64" s="33"/>
      <c r="C64" s="34"/>
      <c r="D64" s="35"/>
      <c r="E64" s="34"/>
      <c r="F64" s="36"/>
      <c r="G64" s="34"/>
      <c r="H64" s="34"/>
      <c r="I64" t="s" s="37">
        <v>0</v>
      </c>
      <c r="J64" s="38"/>
      <c r="K64" s="39"/>
      <c r="L64" s="39"/>
      <c r="M64" s="39"/>
      <c r="N64" s="39"/>
      <c r="O64" s="39"/>
      <c r="P64" s="40">
        <f>K64-L64-O64+N64</f>
        <v>0</v>
      </c>
      <c r="Q64" s="39"/>
      <c r="R64" s="39"/>
      <c r="S64" s="40">
        <f>L64</f>
        <v>0</v>
      </c>
      <c r="T64" s="39">
        <f>P64+R64-Q64+M64</f>
        <v>0</v>
      </c>
      <c r="U64" s="39">
        <f>T64-V64-W64-X64</f>
        <v>0</v>
      </c>
      <c r="V64" s="41">
        <f>P64*0.03</f>
        <v>0</v>
      </c>
      <c r="W64" s="41">
        <f>P64*0.04</f>
        <v>0</v>
      </c>
      <c r="X64" s="41">
        <f>P64*0.05</f>
        <v>0</v>
      </c>
      <c r="Y64" s="42">
        <f>P64*0.05</f>
        <v>0</v>
      </c>
      <c r="Z64" s="39">
        <f>T64-Y64</f>
        <v>0</v>
      </c>
      <c r="AA64" s="39">
        <f>U64-Y64</f>
        <v>0</v>
      </c>
      <c r="AB64" s="43"/>
      <c r="AC64" t="s" s="37">
        <v>0</v>
      </c>
      <c r="AD64" t="s" s="37">
        <v>0</v>
      </c>
      <c r="AE64" t="s" s="37">
        <v>0</v>
      </c>
      <c r="AF64" t="s" s="44">
        <v>0</v>
      </c>
      <c r="AG64" s="45"/>
      <c r="AH64" s="39"/>
      <c r="AI64" s="41">
        <f>AH64-T64-U64</f>
        <v>0</v>
      </c>
      <c r="AJ64" t="s" s="44">
        <v>0</v>
      </c>
      <c r="AK64" s="45"/>
      <c r="AL64" s="39"/>
      <c r="AM64" s="41">
        <f>AL64-Z64-AA64</f>
        <v>0</v>
      </c>
      <c r="AN64" t="s" s="44">
        <v>0</v>
      </c>
      <c r="AO64" s="45"/>
      <c r="AP64" s="39"/>
      <c r="AQ64" s="41">
        <f>AP64-Y64</f>
        <v>0</v>
      </c>
      <c r="AR64" s="37"/>
      <c r="AS64" s="46">
        <v>0</v>
      </c>
    </row>
    <row r="65" ht="54.85" customHeight="1">
      <c r="A65" t="s" s="2">
        <v>0</v>
      </c>
      <c r="B65" s="33"/>
      <c r="C65" s="34"/>
      <c r="D65" s="35"/>
      <c r="E65" s="49"/>
      <c r="F65" s="50"/>
      <c r="G65" s="49"/>
      <c r="H65" s="49"/>
      <c r="I65" t="s" s="51">
        <v>0</v>
      </c>
      <c r="J65" s="38"/>
      <c r="K65" s="52"/>
      <c r="L65" s="52"/>
      <c r="M65" s="52"/>
      <c r="N65" s="52"/>
      <c r="O65" s="52"/>
      <c r="P65" s="40">
        <f>K65-L65-O65+N65</f>
        <v>0</v>
      </c>
      <c r="Q65" s="52"/>
      <c r="R65" s="52"/>
      <c r="S65" s="40">
        <f>L65</f>
        <v>0</v>
      </c>
      <c r="T65" s="52">
        <f>P65+R65-Q65+M65</f>
        <v>0</v>
      </c>
      <c r="U65" s="52">
        <f>T65-V65-W65-X65</f>
        <v>0</v>
      </c>
      <c r="V65" s="41">
        <f>P65*0.03</f>
        <v>0</v>
      </c>
      <c r="W65" s="41">
        <f>P65*0.04</f>
        <v>0</v>
      </c>
      <c r="X65" s="41">
        <f>P65*0.05</f>
        <v>0</v>
      </c>
      <c r="Y65" s="42">
        <f>P65*0.05</f>
        <v>0</v>
      </c>
      <c r="Z65" s="52">
        <f>T65-Y65</f>
        <v>0</v>
      </c>
      <c r="AA65" s="52">
        <f>U65-Y65</f>
        <v>0</v>
      </c>
      <c r="AB65" s="43"/>
      <c r="AC65" t="s" s="51">
        <v>0</v>
      </c>
      <c r="AD65" t="s" s="51">
        <v>0</v>
      </c>
      <c r="AE65" t="s" s="51">
        <v>0</v>
      </c>
      <c r="AF65" t="s" s="44">
        <v>0</v>
      </c>
      <c r="AG65" s="54"/>
      <c r="AH65" s="52"/>
      <c r="AI65" s="41">
        <f>AH65-T65-U65</f>
        <v>0</v>
      </c>
      <c r="AJ65" t="s" s="44">
        <v>0</v>
      </c>
      <c r="AK65" s="54"/>
      <c r="AL65" s="52"/>
      <c r="AM65" s="41">
        <f>AL65-Z65-AA65</f>
        <v>0</v>
      </c>
      <c r="AN65" t="s" s="44">
        <v>0</v>
      </c>
      <c r="AO65" s="54"/>
      <c r="AP65" s="52"/>
      <c r="AQ65" s="41">
        <f>AP65-Y65</f>
        <v>0</v>
      </c>
      <c r="AR65" s="51"/>
      <c r="AS65" s="55">
        <v>0</v>
      </c>
    </row>
    <row r="66" ht="54.85" customHeight="1">
      <c r="A66" t="s" s="2">
        <v>0</v>
      </c>
      <c r="B66" s="33"/>
      <c r="C66" s="34"/>
      <c r="D66" s="35"/>
      <c r="E66" s="34"/>
      <c r="F66" s="36"/>
      <c r="G66" s="34"/>
      <c r="H66" s="34"/>
      <c r="I66" t="s" s="37">
        <v>0</v>
      </c>
      <c r="J66" s="38"/>
      <c r="K66" s="39"/>
      <c r="L66" s="39"/>
      <c r="M66" s="39"/>
      <c r="N66" s="39"/>
      <c r="O66" s="39"/>
      <c r="P66" s="40">
        <f>K66-L66-O66+N66</f>
        <v>0</v>
      </c>
      <c r="Q66" s="39"/>
      <c r="R66" s="39"/>
      <c r="S66" s="40">
        <f>L66</f>
        <v>0</v>
      </c>
      <c r="T66" s="39">
        <f>P66+R66-Q66+M66</f>
        <v>0</v>
      </c>
      <c r="U66" s="39">
        <f>T66-V66-W66-X66</f>
        <v>0</v>
      </c>
      <c r="V66" s="41">
        <f>P66*0.03</f>
        <v>0</v>
      </c>
      <c r="W66" s="41">
        <f>P66*0.04</f>
        <v>0</v>
      </c>
      <c r="X66" s="41">
        <f>P66*0.05</f>
        <v>0</v>
      </c>
      <c r="Y66" s="42">
        <f>P66*0.05</f>
        <v>0</v>
      </c>
      <c r="Z66" s="39">
        <f>T66-Y66</f>
        <v>0</v>
      </c>
      <c r="AA66" s="39">
        <f>U66-Y66</f>
        <v>0</v>
      </c>
      <c r="AB66" s="43"/>
      <c r="AC66" t="s" s="37">
        <v>0</v>
      </c>
      <c r="AD66" t="s" s="37">
        <v>0</v>
      </c>
      <c r="AE66" t="s" s="37">
        <v>0</v>
      </c>
      <c r="AF66" t="s" s="44">
        <v>0</v>
      </c>
      <c r="AG66" s="45"/>
      <c r="AH66" s="39"/>
      <c r="AI66" s="41">
        <f>AH66-T66-U66</f>
        <v>0</v>
      </c>
      <c r="AJ66" t="s" s="44">
        <v>0</v>
      </c>
      <c r="AK66" s="45"/>
      <c r="AL66" s="39"/>
      <c r="AM66" s="41">
        <f>AL66-Z66-AA66</f>
        <v>0</v>
      </c>
      <c r="AN66" t="s" s="44">
        <v>0</v>
      </c>
      <c r="AO66" s="45"/>
      <c r="AP66" s="39"/>
      <c r="AQ66" s="41">
        <f>AP66-Y66</f>
        <v>0</v>
      </c>
      <c r="AR66" s="37"/>
      <c r="AS66" s="46">
        <v>0</v>
      </c>
    </row>
    <row r="67" ht="54.85" customHeight="1">
      <c r="A67" t="s" s="2">
        <v>0</v>
      </c>
      <c r="B67" s="33"/>
      <c r="C67" s="34"/>
      <c r="D67" s="35"/>
      <c r="E67" s="49"/>
      <c r="F67" s="50"/>
      <c r="G67" s="49"/>
      <c r="H67" s="49"/>
      <c r="I67" t="s" s="51">
        <v>0</v>
      </c>
      <c r="J67" s="38"/>
      <c r="K67" s="52"/>
      <c r="L67" s="52"/>
      <c r="M67" s="52"/>
      <c r="N67" s="52"/>
      <c r="O67" s="52"/>
      <c r="P67" s="40">
        <f>K67-L67-O67+N67</f>
        <v>0</v>
      </c>
      <c r="Q67" s="52"/>
      <c r="R67" s="52"/>
      <c r="S67" s="40">
        <f>L67</f>
        <v>0</v>
      </c>
      <c r="T67" s="52">
        <f>P67+R67-Q67+M67</f>
        <v>0</v>
      </c>
      <c r="U67" s="52">
        <f>T67-V67-W67-X67</f>
        <v>0</v>
      </c>
      <c r="V67" s="41">
        <f>P67*0.03</f>
        <v>0</v>
      </c>
      <c r="W67" s="41">
        <f>P67*0.04</f>
        <v>0</v>
      </c>
      <c r="X67" s="41">
        <f>P67*0.05</f>
        <v>0</v>
      </c>
      <c r="Y67" s="42">
        <f>P67*0.05</f>
        <v>0</v>
      </c>
      <c r="Z67" s="52">
        <f>T67-Y67</f>
        <v>0</v>
      </c>
      <c r="AA67" s="52">
        <f>U67-Y67</f>
        <v>0</v>
      </c>
      <c r="AB67" s="43"/>
      <c r="AC67" t="s" s="51">
        <v>0</v>
      </c>
      <c r="AD67" t="s" s="51">
        <v>0</v>
      </c>
      <c r="AE67" t="s" s="51">
        <v>0</v>
      </c>
      <c r="AF67" t="s" s="44">
        <v>0</v>
      </c>
      <c r="AG67" s="54"/>
      <c r="AH67" s="52"/>
      <c r="AI67" s="41">
        <f>AH67-T67-U67</f>
        <v>0</v>
      </c>
      <c r="AJ67" t="s" s="44">
        <v>0</v>
      </c>
      <c r="AK67" s="54"/>
      <c r="AL67" s="52"/>
      <c r="AM67" s="41">
        <f>AL67-Z67-AA67</f>
        <v>0</v>
      </c>
      <c r="AN67" t="s" s="44">
        <v>0</v>
      </c>
      <c r="AO67" s="54"/>
      <c r="AP67" s="52"/>
      <c r="AQ67" s="41">
        <f>AP67-Y67</f>
        <v>0</v>
      </c>
      <c r="AR67" s="51"/>
      <c r="AS67" s="55">
        <v>0</v>
      </c>
    </row>
    <row r="68" ht="54.85" customHeight="1">
      <c r="A68" t="s" s="2">
        <v>0</v>
      </c>
      <c r="B68" s="33"/>
      <c r="C68" s="34"/>
      <c r="D68" s="35"/>
      <c r="E68" s="34"/>
      <c r="F68" s="36"/>
      <c r="G68" s="34"/>
      <c r="H68" s="34"/>
      <c r="I68" t="s" s="37">
        <v>0</v>
      </c>
      <c r="J68" s="38"/>
      <c r="K68" s="39"/>
      <c r="L68" s="39"/>
      <c r="M68" s="39"/>
      <c r="N68" s="39"/>
      <c r="O68" s="39"/>
      <c r="P68" s="40">
        <f>K68-L68-O68+N68</f>
        <v>0</v>
      </c>
      <c r="Q68" s="39"/>
      <c r="R68" s="39"/>
      <c r="S68" s="40">
        <f>L68</f>
        <v>0</v>
      </c>
      <c r="T68" s="39">
        <f>P68+R68-Q68+M68</f>
        <v>0</v>
      </c>
      <c r="U68" s="39">
        <f>T68-V68-W68-X68</f>
        <v>0</v>
      </c>
      <c r="V68" s="41">
        <f>P68*0.03</f>
        <v>0</v>
      </c>
      <c r="W68" s="41">
        <f>P68*0.04</f>
        <v>0</v>
      </c>
      <c r="X68" s="41">
        <f>P68*0.05</f>
        <v>0</v>
      </c>
      <c r="Y68" s="42">
        <f>P68*0.05</f>
        <v>0</v>
      </c>
      <c r="Z68" s="39">
        <f>T68-Y68</f>
        <v>0</v>
      </c>
      <c r="AA68" s="39">
        <f>U68-Y68</f>
        <v>0</v>
      </c>
      <c r="AB68" s="43"/>
      <c r="AC68" t="s" s="37">
        <v>0</v>
      </c>
      <c r="AD68" t="s" s="37">
        <v>0</v>
      </c>
      <c r="AE68" t="s" s="37">
        <v>0</v>
      </c>
      <c r="AF68" t="s" s="44">
        <v>0</v>
      </c>
      <c r="AG68" s="45"/>
      <c r="AH68" s="39"/>
      <c r="AI68" s="41">
        <f>AH68-T68-U68</f>
        <v>0</v>
      </c>
      <c r="AJ68" t="s" s="44">
        <v>0</v>
      </c>
      <c r="AK68" s="45"/>
      <c r="AL68" s="39"/>
      <c r="AM68" s="41">
        <f>AL68-Z68-AA68</f>
        <v>0</v>
      </c>
      <c r="AN68" t="s" s="44">
        <v>0</v>
      </c>
      <c r="AO68" s="45"/>
      <c r="AP68" s="39"/>
      <c r="AQ68" s="41">
        <f>AP68-Y68</f>
        <v>0</v>
      </c>
      <c r="AR68" s="37"/>
      <c r="AS68" s="46">
        <v>0</v>
      </c>
    </row>
    <row r="69" ht="54.85" customHeight="1">
      <c r="A69" t="s" s="2">
        <v>0</v>
      </c>
      <c r="B69" s="33"/>
      <c r="C69" s="34"/>
      <c r="D69" s="35"/>
      <c r="E69" s="49"/>
      <c r="F69" s="50"/>
      <c r="G69" s="49"/>
      <c r="H69" s="49"/>
      <c r="I69" t="s" s="51">
        <v>0</v>
      </c>
      <c r="J69" s="38"/>
      <c r="K69" s="52"/>
      <c r="L69" s="52"/>
      <c r="M69" s="52"/>
      <c r="N69" s="52"/>
      <c r="O69" s="52"/>
      <c r="P69" s="40">
        <f>K69-L69-O69+N69</f>
        <v>0</v>
      </c>
      <c r="Q69" s="52"/>
      <c r="R69" s="52"/>
      <c r="S69" s="40">
        <f>L69</f>
        <v>0</v>
      </c>
      <c r="T69" s="52">
        <f>P69+R69-Q69+M69</f>
        <v>0</v>
      </c>
      <c r="U69" s="52">
        <f>T69-V69-W69-X69</f>
        <v>0</v>
      </c>
      <c r="V69" s="41">
        <f>P69*0.03</f>
        <v>0</v>
      </c>
      <c r="W69" s="41">
        <f>P69*0.04</f>
        <v>0</v>
      </c>
      <c r="X69" s="41">
        <f>P69*0.05</f>
        <v>0</v>
      </c>
      <c r="Y69" s="42">
        <f>P69*0.05</f>
        <v>0</v>
      </c>
      <c r="Z69" s="52">
        <f>T69-Y69</f>
        <v>0</v>
      </c>
      <c r="AA69" s="52">
        <f>U69-Y69</f>
        <v>0</v>
      </c>
      <c r="AB69" s="43"/>
      <c r="AC69" t="s" s="51">
        <v>0</v>
      </c>
      <c r="AD69" t="s" s="51">
        <v>0</v>
      </c>
      <c r="AE69" t="s" s="51">
        <v>0</v>
      </c>
      <c r="AF69" t="s" s="44">
        <v>0</v>
      </c>
      <c r="AG69" s="54"/>
      <c r="AH69" s="52"/>
      <c r="AI69" s="41">
        <f>AH69-T69-U69</f>
        <v>0</v>
      </c>
      <c r="AJ69" t="s" s="44">
        <v>0</v>
      </c>
      <c r="AK69" s="54"/>
      <c r="AL69" s="52"/>
      <c r="AM69" s="41">
        <f>AL69-Z69-AA69</f>
        <v>0</v>
      </c>
      <c r="AN69" t="s" s="44">
        <v>0</v>
      </c>
      <c r="AO69" s="54"/>
      <c r="AP69" s="52"/>
      <c r="AQ69" s="41">
        <f>AP69-Y69</f>
        <v>0</v>
      </c>
      <c r="AR69" s="51"/>
      <c r="AS69" s="55">
        <v>0</v>
      </c>
    </row>
    <row r="70" ht="54.85" customHeight="1">
      <c r="A70" t="s" s="2">
        <v>0</v>
      </c>
      <c r="B70" s="33"/>
      <c r="C70" s="34"/>
      <c r="D70" s="35"/>
      <c r="E70" s="34"/>
      <c r="F70" s="36"/>
      <c r="G70" s="34"/>
      <c r="H70" s="34"/>
      <c r="I70" t="s" s="37">
        <v>0</v>
      </c>
      <c r="J70" s="38"/>
      <c r="K70" s="39"/>
      <c r="L70" s="39"/>
      <c r="M70" s="39"/>
      <c r="N70" s="39"/>
      <c r="O70" s="39"/>
      <c r="P70" s="40">
        <f>K70-L70-O70+N70</f>
        <v>0</v>
      </c>
      <c r="Q70" s="39"/>
      <c r="R70" s="39"/>
      <c r="S70" s="40">
        <f>L70</f>
        <v>0</v>
      </c>
      <c r="T70" s="39">
        <f>P70+R70-Q70+M70</f>
        <v>0</v>
      </c>
      <c r="U70" s="39">
        <f>T70-V70-W70-X70</f>
        <v>0</v>
      </c>
      <c r="V70" s="41">
        <f>P70*0.03</f>
        <v>0</v>
      </c>
      <c r="W70" s="41">
        <f>P70*0.04</f>
        <v>0</v>
      </c>
      <c r="X70" s="41">
        <f>P70*0.05</f>
        <v>0</v>
      </c>
      <c r="Y70" s="42">
        <f>P70*0.05</f>
        <v>0</v>
      </c>
      <c r="Z70" s="39">
        <f>T70-Y70</f>
        <v>0</v>
      </c>
      <c r="AA70" s="39">
        <f>U70-Y70</f>
        <v>0</v>
      </c>
      <c r="AB70" s="43"/>
      <c r="AC70" t="s" s="37">
        <v>0</v>
      </c>
      <c r="AD70" t="s" s="37">
        <v>0</v>
      </c>
      <c r="AE70" t="s" s="37">
        <v>0</v>
      </c>
      <c r="AF70" t="s" s="44">
        <v>0</v>
      </c>
      <c r="AG70" s="45"/>
      <c r="AH70" s="39"/>
      <c r="AI70" s="41">
        <f>AH70-T70-U70</f>
        <v>0</v>
      </c>
      <c r="AJ70" t="s" s="44">
        <v>0</v>
      </c>
      <c r="AK70" s="45"/>
      <c r="AL70" s="39"/>
      <c r="AM70" s="41">
        <f>AL70-Z70-AA70</f>
        <v>0</v>
      </c>
      <c r="AN70" t="s" s="44">
        <v>0</v>
      </c>
      <c r="AO70" s="45"/>
      <c r="AP70" s="39"/>
      <c r="AQ70" s="41">
        <f>AP70-Y70</f>
        <v>0</v>
      </c>
      <c r="AR70" s="37"/>
      <c r="AS70" s="46">
        <v>0</v>
      </c>
    </row>
    <row r="71" ht="54.85" customHeight="1">
      <c r="A71" t="s" s="2">
        <v>0</v>
      </c>
      <c r="B71" s="33"/>
      <c r="C71" s="34"/>
      <c r="D71" s="35"/>
      <c r="E71" s="49"/>
      <c r="F71" s="50"/>
      <c r="G71" s="49"/>
      <c r="H71" s="49"/>
      <c r="I71" t="s" s="51">
        <v>0</v>
      </c>
      <c r="J71" s="38"/>
      <c r="K71" s="52"/>
      <c r="L71" s="52"/>
      <c r="M71" s="52"/>
      <c r="N71" s="52"/>
      <c r="O71" s="52"/>
      <c r="P71" s="40">
        <f>K71-L71-O71+N71</f>
        <v>0</v>
      </c>
      <c r="Q71" s="52"/>
      <c r="R71" s="52"/>
      <c r="S71" s="40">
        <f>L71</f>
        <v>0</v>
      </c>
      <c r="T71" s="52">
        <f>P71+R71-Q71+M71</f>
        <v>0</v>
      </c>
      <c r="U71" s="52">
        <f>T71-V71-W71-X71</f>
        <v>0</v>
      </c>
      <c r="V71" s="41">
        <f>P71*0.03</f>
        <v>0</v>
      </c>
      <c r="W71" s="41">
        <f>P71*0.04</f>
        <v>0</v>
      </c>
      <c r="X71" s="41">
        <f>P71*0.05</f>
        <v>0</v>
      </c>
      <c r="Y71" s="42">
        <f>P71*0.05</f>
        <v>0</v>
      </c>
      <c r="Z71" s="52">
        <f>T71-Y71</f>
        <v>0</v>
      </c>
      <c r="AA71" s="52">
        <f>U71-Y71</f>
        <v>0</v>
      </c>
      <c r="AB71" s="43"/>
      <c r="AC71" t="s" s="51">
        <v>0</v>
      </c>
      <c r="AD71" t="s" s="51">
        <v>0</v>
      </c>
      <c r="AE71" t="s" s="51">
        <v>0</v>
      </c>
      <c r="AF71" t="s" s="44">
        <v>0</v>
      </c>
      <c r="AG71" s="54"/>
      <c r="AH71" s="52"/>
      <c r="AI71" s="41">
        <f>AH71-T71-U71</f>
        <v>0</v>
      </c>
      <c r="AJ71" t="s" s="44">
        <v>0</v>
      </c>
      <c r="AK71" s="54"/>
      <c r="AL71" s="52"/>
      <c r="AM71" s="41">
        <f>AL71-Z71-AA71</f>
        <v>0</v>
      </c>
      <c r="AN71" t="s" s="44">
        <v>0</v>
      </c>
      <c r="AO71" s="54"/>
      <c r="AP71" s="52"/>
      <c r="AQ71" s="41">
        <f>AP71-Y71</f>
        <v>0</v>
      </c>
      <c r="AR71" s="51"/>
      <c r="AS71" s="55">
        <v>0</v>
      </c>
    </row>
    <row r="72" ht="54.85" customHeight="1">
      <c r="A72" t="s" s="2">
        <v>0</v>
      </c>
      <c r="B72" s="33"/>
      <c r="C72" s="34"/>
      <c r="D72" s="35"/>
      <c r="E72" s="34"/>
      <c r="F72" s="36"/>
      <c r="G72" s="34"/>
      <c r="H72" s="34"/>
      <c r="I72" t="s" s="37">
        <v>0</v>
      </c>
      <c r="J72" s="38"/>
      <c r="K72" s="39"/>
      <c r="L72" s="39"/>
      <c r="M72" s="39"/>
      <c r="N72" s="39"/>
      <c r="O72" s="39"/>
      <c r="P72" s="40">
        <f>K72-L72-O72+N72</f>
        <v>0</v>
      </c>
      <c r="Q72" s="39"/>
      <c r="R72" s="39"/>
      <c r="S72" s="40">
        <f>L72</f>
        <v>0</v>
      </c>
      <c r="T72" s="39">
        <f>P72+R72-Q72+M72</f>
        <v>0</v>
      </c>
      <c r="U72" s="39">
        <f>T72-V72-W72-X72</f>
        <v>0</v>
      </c>
      <c r="V72" s="41">
        <f>P72*0.03</f>
        <v>0</v>
      </c>
      <c r="W72" s="41">
        <f>P72*0.04</f>
        <v>0</v>
      </c>
      <c r="X72" s="41">
        <f>P72*0.05</f>
        <v>0</v>
      </c>
      <c r="Y72" s="42">
        <f>P72*0.05</f>
        <v>0</v>
      </c>
      <c r="Z72" s="39">
        <f>T72-Y72</f>
        <v>0</v>
      </c>
      <c r="AA72" s="39">
        <f>U72-Y72</f>
        <v>0</v>
      </c>
      <c r="AB72" s="43"/>
      <c r="AC72" t="s" s="37">
        <v>0</v>
      </c>
      <c r="AD72" t="s" s="37">
        <v>0</v>
      </c>
      <c r="AE72" t="s" s="37">
        <v>0</v>
      </c>
      <c r="AF72" t="s" s="44">
        <v>0</v>
      </c>
      <c r="AG72" s="45"/>
      <c r="AH72" s="39"/>
      <c r="AI72" s="41">
        <f>AH72-T72-U72</f>
        <v>0</v>
      </c>
      <c r="AJ72" t="s" s="44">
        <v>0</v>
      </c>
      <c r="AK72" s="45"/>
      <c r="AL72" s="39"/>
      <c r="AM72" s="41">
        <f>AL72-Z72-AA72</f>
        <v>0</v>
      </c>
      <c r="AN72" t="s" s="44">
        <v>0</v>
      </c>
      <c r="AO72" s="45"/>
      <c r="AP72" s="39"/>
      <c r="AQ72" s="41">
        <f>AP72-Y72</f>
        <v>0</v>
      </c>
      <c r="AR72" s="37"/>
      <c r="AS72" s="46">
        <v>0</v>
      </c>
    </row>
    <row r="73" ht="54.85" customHeight="1">
      <c r="A73" t="s" s="2">
        <v>0</v>
      </c>
      <c r="B73" s="33"/>
      <c r="C73" s="34"/>
      <c r="D73" s="35"/>
      <c r="E73" s="49"/>
      <c r="F73" s="50"/>
      <c r="G73" s="49"/>
      <c r="H73" s="49"/>
      <c r="I73" t="s" s="51">
        <v>0</v>
      </c>
      <c r="J73" s="38"/>
      <c r="K73" s="52"/>
      <c r="L73" s="52"/>
      <c r="M73" s="52"/>
      <c r="N73" s="52"/>
      <c r="O73" s="52"/>
      <c r="P73" s="40">
        <f>K73-L73-O73+N73</f>
        <v>0</v>
      </c>
      <c r="Q73" s="52"/>
      <c r="R73" s="52"/>
      <c r="S73" s="40">
        <f>L73</f>
        <v>0</v>
      </c>
      <c r="T73" s="52">
        <f>P73+R73-Q73+M73</f>
        <v>0</v>
      </c>
      <c r="U73" s="52">
        <f>T73-V73-W73-X73</f>
        <v>0</v>
      </c>
      <c r="V73" s="41">
        <f>P73*0.03</f>
        <v>0</v>
      </c>
      <c r="W73" s="41">
        <f>P73*0.04</f>
        <v>0</v>
      </c>
      <c r="X73" s="41">
        <f>P73*0.05</f>
        <v>0</v>
      </c>
      <c r="Y73" s="42">
        <f>P73*0.05</f>
        <v>0</v>
      </c>
      <c r="Z73" s="52">
        <f>T73-Y73</f>
        <v>0</v>
      </c>
      <c r="AA73" s="52">
        <f>U73-Y73</f>
        <v>0</v>
      </c>
      <c r="AB73" s="43"/>
      <c r="AC73" t="s" s="51">
        <v>0</v>
      </c>
      <c r="AD73" t="s" s="51">
        <v>0</v>
      </c>
      <c r="AE73" t="s" s="51">
        <v>0</v>
      </c>
      <c r="AF73" t="s" s="44">
        <v>0</v>
      </c>
      <c r="AG73" s="54"/>
      <c r="AH73" s="52"/>
      <c r="AI73" s="41">
        <f>AH73-T73-U73</f>
        <v>0</v>
      </c>
      <c r="AJ73" t="s" s="44">
        <v>0</v>
      </c>
      <c r="AK73" s="54"/>
      <c r="AL73" s="52"/>
      <c r="AM73" s="41">
        <f>AL73-Z73-AA73</f>
        <v>0</v>
      </c>
      <c r="AN73" t="s" s="44">
        <v>0</v>
      </c>
      <c r="AO73" s="54"/>
      <c r="AP73" s="52"/>
      <c r="AQ73" s="41">
        <f>AP73-Y73</f>
        <v>0</v>
      </c>
      <c r="AR73" s="51"/>
      <c r="AS73" s="55">
        <v>0</v>
      </c>
    </row>
    <row r="74" ht="54.85" customHeight="1">
      <c r="A74" t="s" s="2">
        <v>0</v>
      </c>
      <c r="B74" s="33"/>
      <c r="C74" s="34"/>
      <c r="D74" s="35"/>
      <c r="E74" s="34"/>
      <c r="F74" s="36"/>
      <c r="G74" s="34"/>
      <c r="H74" s="34"/>
      <c r="I74" t="s" s="37">
        <v>0</v>
      </c>
      <c r="J74" s="38"/>
      <c r="K74" s="39"/>
      <c r="L74" s="39"/>
      <c r="M74" s="39"/>
      <c r="N74" s="39"/>
      <c r="O74" s="39"/>
      <c r="P74" s="40">
        <f>K74-L74-O74+N74</f>
        <v>0</v>
      </c>
      <c r="Q74" s="39"/>
      <c r="R74" s="39"/>
      <c r="S74" s="40">
        <f>L74</f>
        <v>0</v>
      </c>
      <c r="T74" s="39">
        <f>P74+R74-Q74+M74</f>
        <v>0</v>
      </c>
      <c r="U74" s="39">
        <f>T74-V74-W74-X74</f>
        <v>0</v>
      </c>
      <c r="V74" s="41">
        <f>P74*0.03</f>
        <v>0</v>
      </c>
      <c r="W74" s="41">
        <f>P74*0.04</f>
        <v>0</v>
      </c>
      <c r="X74" s="41">
        <f>P74*0.05</f>
        <v>0</v>
      </c>
      <c r="Y74" s="42">
        <f>P74*0.05</f>
        <v>0</v>
      </c>
      <c r="Z74" s="39">
        <f>T74-Y74</f>
        <v>0</v>
      </c>
      <c r="AA74" s="39">
        <f>U74-Y74</f>
        <v>0</v>
      </c>
      <c r="AB74" s="43"/>
      <c r="AC74" t="s" s="37">
        <v>0</v>
      </c>
      <c r="AD74" t="s" s="37">
        <v>0</v>
      </c>
      <c r="AE74" t="s" s="37">
        <v>0</v>
      </c>
      <c r="AF74" t="s" s="44">
        <v>0</v>
      </c>
      <c r="AG74" s="45"/>
      <c r="AH74" s="39"/>
      <c r="AI74" s="41">
        <f>AH74-T74-U74</f>
        <v>0</v>
      </c>
      <c r="AJ74" t="s" s="44">
        <v>0</v>
      </c>
      <c r="AK74" s="45"/>
      <c r="AL74" s="39"/>
      <c r="AM74" s="41">
        <f>AL74-Z74-AA74</f>
        <v>0</v>
      </c>
      <c r="AN74" t="s" s="44">
        <v>0</v>
      </c>
      <c r="AO74" s="45"/>
      <c r="AP74" s="39"/>
      <c r="AQ74" s="41">
        <f>AP74-Y74</f>
        <v>0</v>
      </c>
      <c r="AR74" s="37"/>
      <c r="AS74" s="46">
        <v>0</v>
      </c>
    </row>
    <row r="75" ht="54.85" customHeight="1">
      <c r="A75" t="s" s="2">
        <v>0</v>
      </c>
      <c r="B75" s="33"/>
      <c r="C75" s="34"/>
      <c r="D75" s="35"/>
      <c r="E75" s="49"/>
      <c r="F75" s="50"/>
      <c r="G75" s="49"/>
      <c r="H75" s="49"/>
      <c r="I75" t="s" s="51">
        <v>0</v>
      </c>
      <c r="J75" s="38"/>
      <c r="K75" s="52"/>
      <c r="L75" s="52"/>
      <c r="M75" s="52"/>
      <c r="N75" s="52"/>
      <c r="O75" s="52"/>
      <c r="P75" s="40">
        <f>K75-L75-O75+N75</f>
        <v>0</v>
      </c>
      <c r="Q75" s="52"/>
      <c r="R75" s="52"/>
      <c r="S75" s="40">
        <f>L75</f>
        <v>0</v>
      </c>
      <c r="T75" s="52">
        <f>P75+R75-Q75+M75</f>
        <v>0</v>
      </c>
      <c r="U75" s="52">
        <f>T75-V75-W75-X75</f>
        <v>0</v>
      </c>
      <c r="V75" s="41">
        <f>P75*0.03</f>
        <v>0</v>
      </c>
      <c r="W75" s="41">
        <f>P75*0.04</f>
        <v>0</v>
      </c>
      <c r="X75" s="41">
        <f>P75*0.05</f>
        <v>0</v>
      </c>
      <c r="Y75" s="42">
        <f>P75*0.05</f>
        <v>0</v>
      </c>
      <c r="Z75" s="52">
        <f>T75-Y75</f>
        <v>0</v>
      </c>
      <c r="AA75" s="52">
        <f>U75-Y75</f>
        <v>0</v>
      </c>
      <c r="AB75" s="43"/>
      <c r="AC75" t="s" s="51">
        <v>0</v>
      </c>
      <c r="AD75" t="s" s="51">
        <v>0</v>
      </c>
      <c r="AE75" t="s" s="51">
        <v>0</v>
      </c>
      <c r="AF75" t="s" s="44">
        <v>0</v>
      </c>
      <c r="AG75" s="54"/>
      <c r="AH75" s="52"/>
      <c r="AI75" s="41">
        <f>AH75-T75-U75</f>
        <v>0</v>
      </c>
      <c r="AJ75" t="s" s="44">
        <v>0</v>
      </c>
      <c r="AK75" s="54"/>
      <c r="AL75" s="52"/>
      <c r="AM75" s="41">
        <f>AL75-Z75-AA75</f>
        <v>0</v>
      </c>
      <c r="AN75" t="s" s="44">
        <v>0</v>
      </c>
      <c r="AO75" s="54"/>
      <c r="AP75" s="52"/>
      <c r="AQ75" s="41">
        <f>AP75-Y75</f>
        <v>0</v>
      </c>
      <c r="AR75" s="51"/>
      <c r="AS75" s="55">
        <v>0</v>
      </c>
    </row>
    <row r="76" ht="54.85" customHeight="1">
      <c r="A76" t="s" s="2">
        <v>0</v>
      </c>
      <c r="B76" s="33"/>
      <c r="C76" s="34"/>
      <c r="D76" s="35"/>
      <c r="E76" s="34"/>
      <c r="F76" s="36"/>
      <c r="G76" s="34"/>
      <c r="H76" s="34"/>
      <c r="I76" t="s" s="37">
        <v>0</v>
      </c>
      <c r="J76" s="38"/>
      <c r="K76" s="39"/>
      <c r="L76" s="39"/>
      <c r="M76" s="39"/>
      <c r="N76" s="39"/>
      <c r="O76" s="39"/>
      <c r="P76" s="40">
        <f>K76-L76-O76+N76</f>
        <v>0</v>
      </c>
      <c r="Q76" s="39"/>
      <c r="R76" s="39"/>
      <c r="S76" s="40">
        <f>L76</f>
        <v>0</v>
      </c>
      <c r="T76" s="39">
        <f>P76+R76-Q76+M76</f>
        <v>0</v>
      </c>
      <c r="U76" s="39">
        <f>T76-V76-W76-X76</f>
        <v>0</v>
      </c>
      <c r="V76" s="41">
        <f>P76*0.03</f>
        <v>0</v>
      </c>
      <c r="W76" s="41">
        <f>P76*0.04</f>
        <v>0</v>
      </c>
      <c r="X76" s="41">
        <f>P76*0.05</f>
        <v>0</v>
      </c>
      <c r="Y76" s="42">
        <f>P76*0.05</f>
        <v>0</v>
      </c>
      <c r="Z76" s="39">
        <f>T76-Y76</f>
        <v>0</v>
      </c>
      <c r="AA76" s="39">
        <f>U76-Y76</f>
        <v>0</v>
      </c>
      <c r="AB76" s="43"/>
      <c r="AC76" t="s" s="37">
        <v>0</v>
      </c>
      <c r="AD76" t="s" s="37">
        <v>0</v>
      </c>
      <c r="AE76" t="s" s="37">
        <v>0</v>
      </c>
      <c r="AF76" t="s" s="44">
        <v>0</v>
      </c>
      <c r="AG76" s="45"/>
      <c r="AH76" s="39"/>
      <c r="AI76" s="41">
        <f>AH76-T76-U76</f>
        <v>0</v>
      </c>
      <c r="AJ76" t="s" s="44">
        <v>0</v>
      </c>
      <c r="AK76" s="45"/>
      <c r="AL76" s="39"/>
      <c r="AM76" s="41">
        <f>AL76-Z76-AA76</f>
        <v>0</v>
      </c>
      <c r="AN76" t="s" s="44">
        <v>0</v>
      </c>
      <c r="AO76" s="45"/>
      <c r="AP76" s="39"/>
      <c r="AQ76" s="41">
        <f>AP76-Y76</f>
        <v>0</v>
      </c>
      <c r="AR76" s="37"/>
      <c r="AS76" s="46">
        <v>0</v>
      </c>
    </row>
    <row r="77" ht="54.85" customHeight="1">
      <c r="A77" t="s" s="2">
        <v>0</v>
      </c>
      <c r="B77" s="33"/>
      <c r="C77" s="34"/>
      <c r="D77" s="35"/>
      <c r="E77" s="49"/>
      <c r="F77" s="50"/>
      <c r="G77" s="49"/>
      <c r="H77" s="49"/>
      <c r="I77" t="s" s="51">
        <v>0</v>
      </c>
      <c r="J77" s="38"/>
      <c r="K77" s="52"/>
      <c r="L77" s="52"/>
      <c r="M77" s="52"/>
      <c r="N77" s="52"/>
      <c r="O77" s="52"/>
      <c r="P77" s="40">
        <f>K77-L77-O77+N77</f>
        <v>0</v>
      </c>
      <c r="Q77" s="52"/>
      <c r="R77" s="52"/>
      <c r="S77" s="40">
        <f>L77</f>
        <v>0</v>
      </c>
      <c r="T77" s="52">
        <f>P77+R77-Q77+M77</f>
        <v>0</v>
      </c>
      <c r="U77" s="52">
        <f>T77-V77-W77-X77</f>
        <v>0</v>
      </c>
      <c r="V77" s="41">
        <f>P77*0.03</f>
        <v>0</v>
      </c>
      <c r="W77" s="41">
        <f>P77*0.04</f>
        <v>0</v>
      </c>
      <c r="X77" s="41">
        <f>P77*0.05</f>
        <v>0</v>
      </c>
      <c r="Y77" s="42">
        <f>P77*0.05</f>
        <v>0</v>
      </c>
      <c r="Z77" s="52">
        <f>T77-Y77</f>
        <v>0</v>
      </c>
      <c r="AA77" s="52">
        <f>U77-Y77</f>
        <v>0</v>
      </c>
      <c r="AB77" s="43"/>
      <c r="AC77" t="s" s="51">
        <v>0</v>
      </c>
      <c r="AD77" t="s" s="51">
        <v>0</v>
      </c>
      <c r="AE77" t="s" s="51">
        <v>0</v>
      </c>
      <c r="AF77" t="s" s="44">
        <v>0</v>
      </c>
      <c r="AG77" s="54"/>
      <c r="AH77" s="52"/>
      <c r="AI77" s="41">
        <f>AH77-T77-U77</f>
        <v>0</v>
      </c>
      <c r="AJ77" t="s" s="44">
        <v>0</v>
      </c>
      <c r="AK77" s="54"/>
      <c r="AL77" s="52"/>
      <c r="AM77" s="41">
        <f>AL77-Z77-AA77</f>
        <v>0</v>
      </c>
      <c r="AN77" t="s" s="44">
        <v>0</v>
      </c>
      <c r="AO77" s="54"/>
      <c r="AP77" s="52"/>
      <c r="AQ77" s="41">
        <f>AP77-Y77</f>
        <v>0</v>
      </c>
      <c r="AR77" s="51"/>
      <c r="AS77" s="55">
        <v>0</v>
      </c>
    </row>
    <row r="78" ht="54.85" customHeight="1">
      <c r="A78" t="s" s="2">
        <v>0</v>
      </c>
      <c r="B78" s="33"/>
      <c r="C78" s="34"/>
      <c r="D78" s="35"/>
      <c r="E78" s="34"/>
      <c r="F78" s="36"/>
      <c r="G78" s="34"/>
      <c r="H78" s="34"/>
      <c r="I78" t="s" s="37">
        <v>0</v>
      </c>
      <c r="J78" s="38"/>
      <c r="K78" s="39"/>
      <c r="L78" s="39"/>
      <c r="M78" s="39"/>
      <c r="N78" s="39"/>
      <c r="O78" s="39"/>
      <c r="P78" s="40">
        <f>K78-L78-O78+N78</f>
        <v>0</v>
      </c>
      <c r="Q78" s="39"/>
      <c r="R78" s="39"/>
      <c r="S78" s="40">
        <f>L78</f>
        <v>0</v>
      </c>
      <c r="T78" s="39">
        <f>P78+R78-Q78+M78</f>
        <v>0</v>
      </c>
      <c r="U78" s="39">
        <f>T78-V78-W78-X78</f>
        <v>0</v>
      </c>
      <c r="V78" s="41">
        <f>P78*0.03</f>
        <v>0</v>
      </c>
      <c r="W78" s="41">
        <f>P78*0.04</f>
        <v>0</v>
      </c>
      <c r="X78" s="41">
        <f>P78*0.05</f>
        <v>0</v>
      </c>
      <c r="Y78" s="42">
        <f>P78*0.05</f>
        <v>0</v>
      </c>
      <c r="Z78" s="39">
        <f>T78-Y78</f>
        <v>0</v>
      </c>
      <c r="AA78" s="39">
        <f>U78-Y78</f>
        <v>0</v>
      </c>
      <c r="AB78" s="43"/>
      <c r="AC78" t="s" s="37">
        <v>0</v>
      </c>
      <c r="AD78" t="s" s="37">
        <v>0</v>
      </c>
      <c r="AE78" t="s" s="37">
        <v>0</v>
      </c>
      <c r="AF78" t="s" s="44">
        <v>0</v>
      </c>
      <c r="AG78" s="45"/>
      <c r="AH78" s="39"/>
      <c r="AI78" s="41">
        <f>AH78-T78-U78</f>
        <v>0</v>
      </c>
      <c r="AJ78" t="s" s="44">
        <v>0</v>
      </c>
      <c r="AK78" s="45"/>
      <c r="AL78" s="39"/>
      <c r="AM78" s="41">
        <f>AL78-Z78-AA78</f>
        <v>0</v>
      </c>
      <c r="AN78" t="s" s="44">
        <v>0</v>
      </c>
      <c r="AO78" s="45"/>
      <c r="AP78" s="39"/>
      <c r="AQ78" s="41">
        <f>AP78-Y78</f>
        <v>0</v>
      </c>
      <c r="AR78" s="37"/>
      <c r="AS78" s="46">
        <v>0</v>
      </c>
    </row>
    <row r="79" ht="54.85" customHeight="1">
      <c r="A79" t="s" s="2">
        <v>0</v>
      </c>
      <c r="B79" s="33"/>
      <c r="C79" s="34"/>
      <c r="D79" s="35"/>
      <c r="E79" s="49"/>
      <c r="F79" s="50"/>
      <c r="G79" s="49"/>
      <c r="H79" s="49"/>
      <c r="I79" t="s" s="51">
        <v>0</v>
      </c>
      <c r="J79" s="38"/>
      <c r="K79" s="52"/>
      <c r="L79" s="52"/>
      <c r="M79" s="52"/>
      <c r="N79" s="52"/>
      <c r="O79" s="52"/>
      <c r="P79" s="40">
        <f>K79-L79-O79+N79</f>
        <v>0</v>
      </c>
      <c r="Q79" s="52"/>
      <c r="R79" s="52"/>
      <c r="S79" s="40">
        <f>L79</f>
        <v>0</v>
      </c>
      <c r="T79" s="52">
        <f>P79+R79-Q79+M79</f>
        <v>0</v>
      </c>
      <c r="U79" s="52">
        <f>T79-V79-W79-X79</f>
        <v>0</v>
      </c>
      <c r="V79" s="41">
        <f>P79*0.03</f>
        <v>0</v>
      </c>
      <c r="W79" s="41">
        <f>P79*0.04</f>
        <v>0</v>
      </c>
      <c r="X79" s="41">
        <f>P79*0.05</f>
        <v>0</v>
      </c>
      <c r="Y79" s="42">
        <f>P79*0.05</f>
        <v>0</v>
      </c>
      <c r="Z79" s="52">
        <f>T79-Y79</f>
        <v>0</v>
      </c>
      <c r="AA79" s="52">
        <f>U79-Y79</f>
        <v>0</v>
      </c>
      <c r="AB79" s="43"/>
      <c r="AC79" t="s" s="51">
        <v>0</v>
      </c>
      <c r="AD79" t="s" s="51">
        <v>0</v>
      </c>
      <c r="AE79" t="s" s="51">
        <v>0</v>
      </c>
      <c r="AF79" t="s" s="44">
        <v>0</v>
      </c>
      <c r="AG79" s="54"/>
      <c r="AH79" s="52"/>
      <c r="AI79" s="41">
        <f>AH79-T79-U79</f>
        <v>0</v>
      </c>
      <c r="AJ79" t="s" s="44">
        <v>0</v>
      </c>
      <c r="AK79" s="54"/>
      <c r="AL79" s="52"/>
      <c r="AM79" s="41">
        <f>AL79-Z79-AA79</f>
        <v>0</v>
      </c>
      <c r="AN79" t="s" s="44">
        <v>0</v>
      </c>
      <c r="AO79" s="54"/>
      <c r="AP79" s="52"/>
      <c r="AQ79" s="41">
        <f>AP79-Y79</f>
        <v>0</v>
      </c>
      <c r="AR79" s="51"/>
      <c r="AS79" s="55">
        <v>0</v>
      </c>
    </row>
    <row r="80" ht="54.85" customHeight="1">
      <c r="A80" t="s" s="2">
        <v>0</v>
      </c>
      <c r="B80" s="33"/>
      <c r="C80" s="34"/>
      <c r="D80" s="35"/>
      <c r="E80" s="34"/>
      <c r="F80" s="36"/>
      <c r="G80" s="34"/>
      <c r="H80" s="34"/>
      <c r="I80" t="s" s="37">
        <v>0</v>
      </c>
      <c r="J80" s="38"/>
      <c r="K80" s="39"/>
      <c r="L80" s="39"/>
      <c r="M80" s="39"/>
      <c r="N80" s="39"/>
      <c r="O80" s="39"/>
      <c r="P80" s="40">
        <f>K80-L80-O80+N80</f>
        <v>0</v>
      </c>
      <c r="Q80" s="39"/>
      <c r="R80" s="39"/>
      <c r="S80" s="40">
        <f>L80</f>
        <v>0</v>
      </c>
      <c r="T80" s="39">
        <f>P80+R80-Q80+M80</f>
        <v>0</v>
      </c>
      <c r="U80" s="39">
        <f>T80-V80-W80-X80</f>
        <v>0</v>
      </c>
      <c r="V80" s="41">
        <f>P80*0.03</f>
        <v>0</v>
      </c>
      <c r="W80" s="41">
        <f>P80*0.04</f>
        <v>0</v>
      </c>
      <c r="X80" s="41">
        <f>P80*0.05</f>
        <v>0</v>
      </c>
      <c r="Y80" s="42">
        <f>P80*0.05</f>
        <v>0</v>
      </c>
      <c r="Z80" s="39">
        <f>T80-Y80</f>
        <v>0</v>
      </c>
      <c r="AA80" s="39">
        <f>U80-Y80</f>
        <v>0</v>
      </c>
      <c r="AB80" s="43"/>
      <c r="AC80" t="s" s="37">
        <v>0</v>
      </c>
      <c r="AD80" t="s" s="37">
        <v>0</v>
      </c>
      <c r="AE80" t="s" s="37">
        <v>0</v>
      </c>
      <c r="AF80" t="s" s="44">
        <v>0</v>
      </c>
      <c r="AG80" s="45"/>
      <c r="AH80" s="39"/>
      <c r="AI80" s="41">
        <f>AH80-T80-U80</f>
        <v>0</v>
      </c>
      <c r="AJ80" t="s" s="44">
        <v>0</v>
      </c>
      <c r="AK80" s="45"/>
      <c r="AL80" s="39"/>
      <c r="AM80" s="41">
        <f>AL80-Z80-AA80</f>
        <v>0</v>
      </c>
      <c r="AN80" t="s" s="44">
        <v>0</v>
      </c>
      <c r="AO80" s="45"/>
      <c r="AP80" s="39"/>
      <c r="AQ80" s="41">
        <f>AP80-Y80</f>
        <v>0</v>
      </c>
      <c r="AR80" s="37"/>
      <c r="AS80" s="46">
        <v>0</v>
      </c>
    </row>
    <row r="81" ht="54.85" customHeight="1">
      <c r="A81" t="s" s="2">
        <v>0</v>
      </c>
      <c r="B81" s="33"/>
      <c r="C81" s="34"/>
      <c r="D81" s="35"/>
      <c r="E81" s="49"/>
      <c r="F81" s="50"/>
      <c r="G81" s="49"/>
      <c r="H81" s="49"/>
      <c r="I81" t="s" s="51">
        <v>0</v>
      </c>
      <c r="J81" s="38"/>
      <c r="K81" s="52"/>
      <c r="L81" s="52"/>
      <c r="M81" s="52"/>
      <c r="N81" s="52"/>
      <c r="O81" s="52"/>
      <c r="P81" s="40">
        <f>K81-L81-O81+N81</f>
        <v>0</v>
      </c>
      <c r="Q81" s="52"/>
      <c r="R81" s="52"/>
      <c r="S81" s="40">
        <f>L81</f>
        <v>0</v>
      </c>
      <c r="T81" s="52">
        <f>P81+R81-Q81+M81</f>
        <v>0</v>
      </c>
      <c r="U81" s="52">
        <f>T81-V81-W81-X81</f>
        <v>0</v>
      </c>
      <c r="V81" s="41">
        <f>P81*0.03</f>
        <v>0</v>
      </c>
      <c r="W81" s="41">
        <f>P81*0.04</f>
        <v>0</v>
      </c>
      <c r="X81" s="41">
        <f>P81*0.05</f>
        <v>0</v>
      </c>
      <c r="Y81" s="42">
        <f>P81*0.05</f>
        <v>0</v>
      </c>
      <c r="Z81" s="52">
        <f>T81-Y81</f>
        <v>0</v>
      </c>
      <c r="AA81" s="52">
        <f>U81-Y81</f>
        <v>0</v>
      </c>
      <c r="AB81" s="43"/>
      <c r="AC81" t="s" s="51">
        <v>0</v>
      </c>
      <c r="AD81" t="s" s="51">
        <v>0</v>
      </c>
      <c r="AE81" t="s" s="51">
        <v>0</v>
      </c>
      <c r="AF81" t="s" s="44">
        <v>0</v>
      </c>
      <c r="AG81" s="54"/>
      <c r="AH81" s="52"/>
      <c r="AI81" s="41">
        <f>AH81-T81-U81</f>
        <v>0</v>
      </c>
      <c r="AJ81" t="s" s="44">
        <v>0</v>
      </c>
      <c r="AK81" s="54"/>
      <c r="AL81" s="52"/>
      <c r="AM81" s="41">
        <f>AL81-Z81-AA81</f>
        <v>0</v>
      </c>
      <c r="AN81" t="s" s="44">
        <v>0</v>
      </c>
      <c r="AO81" s="54"/>
      <c r="AP81" s="52"/>
      <c r="AQ81" s="41">
        <f>AP81-Y81</f>
        <v>0</v>
      </c>
      <c r="AR81" s="51"/>
      <c r="AS81" s="55">
        <v>0</v>
      </c>
    </row>
    <row r="82" ht="54.85" customHeight="1">
      <c r="A82" t="s" s="2">
        <v>0</v>
      </c>
      <c r="B82" s="33"/>
      <c r="C82" s="34"/>
      <c r="D82" s="35"/>
      <c r="E82" s="34"/>
      <c r="F82" s="36"/>
      <c r="G82" s="34"/>
      <c r="H82" s="34"/>
      <c r="I82" t="s" s="37">
        <v>0</v>
      </c>
      <c r="J82" s="38"/>
      <c r="K82" s="39"/>
      <c r="L82" s="39"/>
      <c r="M82" s="39"/>
      <c r="N82" s="39"/>
      <c r="O82" s="39"/>
      <c r="P82" s="40">
        <f>K82-L82-O82+N82</f>
        <v>0</v>
      </c>
      <c r="Q82" s="39"/>
      <c r="R82" s="39"/>
      <c r="S82" s="40">
        <f>L82</f>
        <v>0</v>
      </c>
      <c r="T82" s="39">
        <f>P82+R82-Q82+M82</f>
        <v>0</v>
      </c>
      <c r="U82" s="39">
        <f>T82-V82-W82-X82</f>
        <v>0</v>
      </c>
      <c r="V82" s="41">
        <f>P82*0.03</f>
        <v>0</v>
      </c>
      <c r="W82" s="41">
        <f>P82*0.04</f>
        <v>0</v>
      </c>
      <c r="X82" s="41">
        <f>P82*0.05</f>
        <v>0</v>
      </c>
      <c r="Y82" s="42">
        <f>P82*0.05</f>
        <v>0</v>
      </c>
      <c r="Z82" s="39">
        <f>T82-Y82</f>
        <v>0</v>
      </c>
      <c r="AA82" s="39">
        <f>U82-Y82</f>
        <v>0</v>
      </c>
      <c r="AB82" s="43"/>
      <c r="AC82" t="s" s="37">
        <v>0</v>
      </c>
      <c r="AD82" t="s" s="37">
        <v>0</v>
      </c>
      <c r="AE82" t="s" s="37">
        <v>0</v>
      </c>
      <c r="AF82" t="s" s="44">
        <v>0</v>
      </c>
      <c r="AG82" s="45"/>
      <c r="AH82" s="39"/>
      <c r="AI82" s="41">
        <f>AH82-T82-U82</f>
        <v>0</v>
      </c>
      <c r="AJ82" t="s" s="44">
        <v>0</v>
      </c>
      <c r="AK82" s="45"/>
      <c r="AL82" s="39"/>
      <c r="AM82" s="41">
        <f>AL82-Z82-AA82</f>
        <v>0</v>
      </c>
      <c r="AN82" t="s" s="44">
        <v>0</v>
      </c>
      <c r="AO82" s="45"/>
      <c r="AP82" s="39"/>
      <c r="AQ82" s="41">
        <f>AP82-Y82</f>
        <v>0</v>
      </c>
      <c r="AR82" s="37"/>
      <c r="AS82" s="46">
        <v>0</v>
      </c>
    </row>
    <row r="83" ht="54.85" customHeight="1">
      <c r="A83" t="s" s="2">
        <v>0</v>
      </c>
      <c r="B83" s="33"/>
      <c r="C83" s="34"/>
      <c r="D83" s="35"/>
      <c r="E83" s="49"/>
      <c r="F83" s="50"/>
      <c r="G83" s="49"/>
      <c r="H83" s="49"/>
      <c r="I83" t="s" s="51">
        <v>0</v>
      </c>
      <c r="J83" s="38"/>
      <c r="K83" s="52"/>
      <c r="L83" s="52"/>
      <c r="M83" s="52"/>
      <c r="N83" s="52"/>
      <c r="O83" s="52"/>
      <c r="P83" s="40">
        <f>K83-L83-O83+N83</f>
        <v>0</v>
      </c>
      <c r="Q83" s="52"/>
      <c r="R83" s="52"/>
      <c r="S83" s="40">
        <f>L83</f>
        <v>0</v>
      </c>
      <c r="T83" s="52">
        <f>P83+R83-Q83+M83</f>
        <v>0</v>
      </c>
      <c r="U83" s="52">
        <f>T83-V83-W83-X83</f>
        <v>0</v>
      </c>
      <c r="V83" s="41">
        <f>P83*0.03</f>
        <v>0</v>
      </c>
      <c r="W83" s="41">
        <f>P83*0.04</f>
        <v>0</v>
      </c>
      <c r="X83" s="41">
        <f>P83*0.05</f>
        <v>0</v>
      </c>
      <c r="Y83" s="42">
        <f>P83*0.05</f>
        <v>0</v>
      </c>
      <c r="Z83" s="52">
        <f>T83-Y83</f>
        <v>0</v>
      </c>
      <c r="AA83" s="52">
        <f>U83-Y83</f>
        <v>0</v>
      </c>
      <c r="AB83" s="43"/>
      <c r="AC83" t="s" s="51">
        <v>0</v>
      </c>
      <c r="AD83" t="s" s="51">
        <v>0</v>
      </c>
      <c r="AE83" t="s" s="51">
        <v>0</v>
      </c>
      <c r="AF83" t="s" s="44">
        <v>0</v>
      </c>
      <c r="AG83" s="54"/>
      <c r="AH83" s="52"/>
      <c r="AI83" s="41">
        <f>AH83-T83-U83</f>
        <v>0</v>
      </c>
      <c r="AJ83" t="s" s="44">
        <v>0</v>
      </c>
      <c r="AK83" s="54"/>
      <c r="AL83" s="52"/>
      <c r="AM83" s="41">
        <f>AL83-Z83-AA83</f>
        <v>0</v>
      </c>
      <c r="AN83" t="s" s="44">
        <v>0</v>
      </c>
      <c r="AO83" s="54"/>
      <c r="AP83" s="52"/>
      <c r="AQ83" s="41">
        <f>AP83-Y83</f>
        <v>0</v>
      </c>
      <c r="AR83" s="51"/>
      <c r="AS83" s="55">
        <v>0</v>
      </c>
    </row>
    <row r="84" ht="54.85" customHeight="1">
      <c r="A84" t="s" s="2">
        <v>0</v>
      </c>
      <c r="B84" s="33"/>
      <c r="C84" s="34"/>
      <c r="D84" s="35"/>
      <c r="E84" s="34"/>
      <c r="F84" s="36"/>
      <c r="G84" s="34"/>
      <c r="H84" s="34"/>
      <c r="I84" t="s" s="37">
        <v>0</v>
      </c>
      <c r="J84" s="38"/>
      <c r="K84" s="39"/>
      <c r="L84" s="39"/>
      <c r="M84" s="39"/>
      <c r="N84" s="39"/>
      <c r="O84" s="39"/>
      <c r="P84" s="40">
        <f>K84-L84-O84+N84</f>
        <v>0</v>
      </c>
      <c r="Q84" s="39"/>
      <c r="R84" s="39"/>
      <c r="S84" s="40">
        <f>L84</f>
        <v>0</v>
      </c>
      <c r="T84" s="39">
        <f>P84+R84-Q84+M84</f>
        <v>0</v>
      </c>
      <c r="U84" s="39">
        <f>T84-V84-W84-X84</f>
        <v>0</v>
      </c>
      <c r="V84" s="41">
        <f>P84*0.03</f>
        <v>0</v>
      </c>
      <c r="W84" s="41">
        <f>P84*0.04</f>
        <v>0</v>
      </c>
      <c r="X84" s="41">
        <f>P84*0.05</f>
        <v>0</v>
      </c>
      <c r="Y84" s="42">
        <f>P84*0.05</f>
        <v>0</v>
      </c>
      <c r="Z84" s="39">
        <f>T84-Y84</f>
        <v>0</v>
      </c>
      <c r="AA84" s="39">
        <f>U84-Y84</f>
        <v>0</v>
      </c>
      <c r="AB84" s="43"/>
      <c r="AC84" t="s" s="37">
        <v>0</v>
      </c>
      <c r="AD84" t="s" s="37">
        <v>0</v>
      </c>
      <c r="AE84" t="s" s="37">
        <v>0</v>
      </c>
      <c r="AF84" t="s" s="44">
        <v>0</v>
      </c>
      <c r="AG84" s="45"/>
      <c r="AH84" s="39"/>
      <c r="AI84" s="41">
        <f>AH84-T84-U84</f>
        <v>0</v>
      </c>
      <c r="AJ84" t="s" s="44">
        <v>0</v>
      </c>
      <c r="AK84" s="45"/>
      <c r="AL84" s="39"/>
      <c r="AM84" s="41">
        <f>AL84-Z84-AA84</f>
        <v>0</v>
      </c>
      <c r="AN84" t="s" s="44">
        <v>0</v>
      </c>
      <c r="AO84" s="45"/>
      <c r="AP84" s="39"/>
      <c r="AQ84" s="41">
        <f>AP84-Y84</f>
        <v>0</v>
      </c>
      <c r="AR84" s="37"/>
      <c r="AS84" s="46">
        <v>0</v>
      </c>
    </row>
    <row r="85" ht="54.85" customHeight="1">
      <c r="A85" t="s" s="2">
        <v>0</v>
      </c>
      <c r="B85" s="33"/>
      <c r="C85" s="34"/>
      <c r="D85" s="35"/>
      <c r="E85" s="49"/>
      <c r="F85" s="50"/>
      <c r="G85" s="49"/>
      <c r="H85" s="49"/>
      <c r="I85" t="s" s="51">
        <v>0</v>
      </c>
      <c r="J85" s="38"/>
      <c r="K85" s="52"/>
      <c r="L85" s="52"/>
      <c r="M85" s="52"/>
      <c r="N85" s="52"/>
      <c r="O85" s="52"/>
      <c r="P85" s="40">
        <f>K85-L85-O85+N85</f>
        <v>0</v>
      </c>
      <c r="Q85" s="52"/>
      <c r="R85" s="52"/>
      <c r="S85" s="40">
        <f>L85</f>
        <v>0</v>
      </c>
      <c r="T85" s="52">
        <f>P85+R85-Q85+M85</f>
        <v>0</v>
      </c>
      <c r="U85" s="52">
        <f>T85-V85-W85-X85</f>
        <v>0</v>
      </c>
      <c r="V85" s="41">
        <f>P85*0.03</f>
        <v>0</v>
      </c>
      <c r="W85" s="41">
        <f>P85*0.04</f>
        <v>0</v>
      </c>
      <c r="X85" s="41">
        <f>P85*0.05</f>
        <v>0</v>
      </c>
      <c r="Y85" s="42">
        <f>P85*0.05</f>
        <v>0</v>
      </c>
      <c r="Z85" s="52">
        <f>T85-Y85</f>
        <v>0</v>
      </c>
      <c r="AA85" s="52">
        <f>U85-Y85</f>
        <v>0</v>
      </c>
      <c r="AB85" s="43"/>
      <c r="AC85" t="s" s="51">
        <v>0</v>
      </c>
      <c r="AD85" t="s" s="51">
        <v>0</v>
      </c>
      <c r="AE85" t="s" s="51">
        <v>0</v>
      </c>
      <c r="AF85" t="s" s="44">
        <v>0</v>
      </c>
      <c r="AG85" s="54"/>
      <c r="AH85" s="52"/>
      <c r="AI85" s="41">
        <f>AH85-T85-U85</f>
        <v>0</v>
      </c>
      <c r="AJ85" t="s" s="44">
        <v>0</v>
      </c>
      <c r="AK85" s="54"/>
      <c r="AL85" s="52"/>
      <c r="AM85" s="41">
        <f>AL85-Z85-AA85</f>
        <v>0</v>
      </c>
      <c r="AN85" t="s" s="44">
        <v>0</v>
      </c>
      <c r="AO85" s="54"/>
      <c r="AP85" s="52"/>
      <c r="AQ85" s="41">
        <f>AP85-Y85</f>
        <v>0</v>
      </c>
      <c r="AR85" s="51"/>
      <c r="AS85" s="55">
        <v>0</v>
      </c>
    </row>
    <row r="86" ht="54.85" customHeight="1">
      <c r="A86" t="s" s="2">
        <v>0</v>
      </c>
      <c r="B86" s="33"/>
      <c r="C86" s="34"/>
      <c r="D86" s="35"/>
      <c r="E86" s="34"/>
      <c r="F86" s="36"/>
      <c r="G86" s="34"/>
      <c r="H86" s="34"/>
      <c r="I86" t="s" s="37">
        <v>0</v>
      </c>
      <c r="J86" s="38"/>
      <c r="K86" s="39"/>
      <c r="L86" s="39"/>
      <c r="M86" s="39"/>
      <c r="N86" s="39"/>
      <c r="O86" s="39"/>
      <c r="P86" s="40">
        <f>K86-L86-O86+N86</f>
        <v>0</v>
      </c>
      <c r="Q86" s="39"/>
      <c r="R86" s="39"/>
      <c r="S86" s="40">
        <f>L86</f>
        <v>0</v>
      </c>
      <c r="T86" s="39">
        <f>P86+R86-Q86+M86</f>
        <v>0</v>
      </c>
      <c r="U86" s="39">
        <f>T86-V86-W86-X86</f>
        <v>0</v>
      </c>
      <c r="V86" s="41">
        <f>P86*0.03</f>
        <v>0</v>
      </c>
      <c r="W86" s="41">
        <f>P86*0.04</f>
        <v>0</v>
      </c>
      <c r="X86" s="41">
        <f>P86*0.05</f>
        <v>0</v>
      </c>
      <c r="Y86" s="42">
        <f>P86*0.05</f>
        <v>0</v>
      </c>
      <c r="Z86" s="39">
        <f>T86-Y86</f>
        <v>0</v>
      </c>
      <c r="AA86" s="39">
        <f>U86-Y86</f>
        <v>0</v>
      </c>
      <c r="AB86" s="43"/>
      <c r="AC86" t="s" s="37">
        <v>0</v>
      </c>
      <c r="AD86" t="s" s="37">
        <v>0</v>
      </c>
      <c r="AE86" t="s" s="37">
        <v>0</v>
      </c>
      <c r="AF86" t="s" s="44">
        <v>0</v>
      </c>
      <c r="AG86" s="45"/>
      <c r="AH86" s="39"/>
      <c r="AI86" s="41">
        <f>AH86-T86-U86</f>
        <v>0</v>
      </c>
      <c r="AJ86" t="s" s="44">
        <v>0</v>
      </c>
      <c r="AK86" s="45"/>
      <c r="AL86" s="39"/>
      <c r="AM86" s="41">
        <f>AL86-Z86-AA86</f>
        <v>0</v>
      </c>
      <c r="AN86" t="s" s="44">
        <v>0</v>
      </c>
      <c r="AO86" s="45"/>
      <c r="AP86" s="39"/>
      <c r="AQ86" s="41">
        <f>AP86-Y86</f>
        <v>0</v>
      </c>
      <c r="AR86" s="37"/>
      <c r="AS86" s="46">
        <v>0</v>
      </c>
    </row>
    <row r="87" ht="54.85" customHeight="1">
      <c r="A87" t="s" s="2">
        <v>0</v>
      </c>
      <c r="B87" s="33"/>
      <c r="C87" s="34"/>
      <c r="D87" s="35"/>
      <c r="E87" s="49"/>
      <c r="F87" s="50"/>
      <c r="G87" s="49"/>
      <c r="H87" s="49"/>
      <c r="I87" t="s" s="51">
        <v>0</v>
      </c>
      <c r="J87" s="38"/>
      <c r="K87" s="52"/>
      <c r="L87" s="52"/>
      <c r="M87" s="52"/>
      <c r="N87" s="52"/>
      <c r="O87" s="52"/>
      <c r="P87" s="40">
        <f>K87-L87-O87+N87</f>
        <v>0</v>
      </c>
      <c r="Q87" s="52"/>
      <c r="R87" s="52"/>
      <c r="S87" s="40">
        <f>L87</f>
        <v>0</v>
      </c>
      <c r="T87" s="52">
        <f>P87+R87-Q87+M87</f>
        <v>0</v>
      </c>
      <c r="U87" s="52">
        <f>T87-V87-W87-X87</f>
        <v>0</v>
      </c>
      <c r="V87" s="41">
        <f>P87*0.03</f>
        <v>0</v>
      </c>
      <c r="W87" s="41">
        <f>P87*0.04</f>
        <v>0</v>
      </c>
      <c r="X87" s="41">
        <f>P87*0.05</f>
        <v>0</v>
      </c>
      <c r="Y87" s="42">
        <f>P87*0.05</f>
        <v>0</v>
      </c>
      <c r="Z87" s="52">
        <f>T87-Y87</f>
        <v>0</v>
      </c>
      <c r="AA87" s="52">
        <f>U87-Y87</f>
        <v>0</v>
      </c>
      <c r="AB87" s="43"/>
      <c r="AC87" t="s" s="51">
        <v>0</v>
      </c>
      <c r="AD87" t="s" s="51">
        <v>0</v>
      </c>
      <c r="AE87" t="s" s="51">
        <v>0</v>
      </c>
      <c r="AF87" t="s" s="44">
        <v>0</v>
      </c>
      <c r="AG87" s="54"/>
      <c r="AH87" s="52"/>
      <c r="AI87" s="41">
        <f>AH87-T87-U87</f>
        <v>0</v>
      </c>
      <c r="AJ87" t="s" s="44">
        <v>0</v>
      </c>
      <c r="AK87" s="54"/>
      <c r="AL87" s="52"/>
      <c r="AM87" s="41">
        <f>AL87-Z87-AA87</f>
        <v>0</v>
      </c>
      <c r="AN87" t="s" s="44">
        <v>0</v>
      </c>
      <c r="AO87" s="54"/>
      <c r="AP87" s="52"/>
      <c r="AQ87" s="41">
        <f>AP87-Y87</f>
        <v>0</v>
      </c>
      <c r="AR87" s="51"/>
      <c r="AS87" s="55">
        <v>0</v>
      </c>
    </row>
    <row r="88" ht="54.85" customHeight="1">
      <c r="A88" t="s" s="2">
        <v>0</v>
      </c>
      <c r="B88" s="33"/>
      <c r="C88" s="34"/>
      <c r="D88" s="35"/>
      <c r="E88" s="34"/>
      <c r="F88" s="36"/>
      <c r="G88" s="34"/>
      <c r="H88" s="34"/>
      <c r="I88" t="s" s="37">
        <v>0</v>
      </c>
      <c r="J88" s="38"/>
      <c r="K88" s="39"/>
      <c r="L88" s="39"/>
      <c r="M88" s="39"/>
      <c r="N88" s="39"/>
      <c r="O88" s="39"/>
      <c r="P88" s="40">
        <f>K88-L88-O88+N88</f>
        <v>0</v>
      </c>
      <c r="Q88" s="39"/>
      <c r="R88" s="39"/>
      <c r="S88" s="40">
        <f>L88</f>
        <v>0</v>
      </c>
      <c r="T88" s="39">
        <f>P88+R88-Q88+M88</f>
        <v>0</v>
      </c>
      <c r="U88" s="39">
        <f>T88-V88-W88-X88</f>
        <v>0</v>
      </c>
      <c r="V88" s="41">
        <f>P88*0.03</f>
        <v>0</v>
      </c>
      <c r="W88" s="41">
        <f>P88*0.04</f>
        <v>0</v>
      </c>
      <c r="X88" s="41">
        <f>P88*0.05</f>
        <v>0</v>
      </c>
      <c r="Y88" s="42">
        <f>P88*0.05</f>
        <v>0</v>
      </c>
      <c r="Z88" s="39">
        <f>T88-Y88</f>
        <v>0</v>
      </c>
      <c r="AA88" s="39">
        <f>U88-Y88</f>
        <v>0</v>
      </c>
      <c r="AB88" s="43"/>
      <c r="AC88" t="s" s="37">
        <v>0</v>
      </c>
      <c r="AD88" t="s" s="37">
        <v>0</v>
      </c>
      <c r="AE88" t="s" s="37">
        <v>0</v>
      </c>
      <c r="AF88" t="s" s="44">
        <v>0</v>
      </c>
      <c r="AG88" s="45"/>
      <c r="AH88" s="39"/>
      <c r="AI88" s="41">
        <f>AH88-T88-U88</f>
        <v>0</v>
      </c>
      <c r="AJ88" t="s" s="44">
        <v>0</v>
      </c>
      <c r="AK88" s="45"/>
      <c r="AL88" s="39"/>
      <c r="AM88" s="41">
        <f>AL88-Z88-AA88</f>
        <v>0</v>
      </c>
      <c r="AN88" t="s" s="44">
        <v>0</v>
      </c>
      <c r="AO88" s="45"/>
      <c r="AP88" s="39"/>
      <c r="AQ88" s="41">
        <f>AP88-Y88</f>
        <v>0</v>
      </c>
      <c r="AR88" s="37"/>
      <c r="AS88" s="46">
        <v>0</v>
      </c>
    </row>
    <row r="89" ht="54.85" customHeight="1">
      <c r="A89" t="s" s="2">
        <v>0</v>
      </c>
      <c r="B89" s="33"/>
      <c r="C89" s="34"/>
      <c r="D89" s="35"/>
      <c r="E89" s="49"/>
      <c r="F89" s="50"/>
      <c r="G89" s="49"/>
      <c r="H89" s="49"/>
      <c r="I89" t="s" s="51">
        <v>0</v>
      </c>
      <c r="J89" s="38"/>
      <c r="K89" s="52"/>
      <c r="L89" s="52"/>
      <c r="M89" s="52"/>
      <c r="N89" s="52"/>
      <c r="O89" s="52"/>
      <c r="P89" s="40">
        <f>K89-L89-O89+N89</f>
        <v>0</v>
      </c>
      <c r="Q89" s="52"/>
      <c r="R89" s="52"/>
      <c r="S89" s="40">
        <f>L89</f>
        <v>0</v>
      </c>
      <c r="T89" s="52">
        <f>P89+R89-Q89+M89</f>
        <v>0</v>
      </c>
      <c r="U89" s="52">
        <f>T89-V89-W89-X89</f>
        <v>0</v>
      </c>
      <c r="V89" s="41">
        <f>P89*0.03</f>
        <v>0</v>
      </c>
      <c r="W89" s="41">
        <f>P89*0.04</f>
        <v>0</v>
      </c>
      <c r="X89" s="41">
        <f>P89*0.05</f>
        <v>0</v>
      </c>
      <c r="Y89" s="42">
        <f>P89*0.05</f>
        <v>0</v>
      </c>
      <c r="Z89" s="52">
        <f>T89-Y89</f>
        <v>0</v>
      </c>
      <c r="AA89" s="52">
        <f>U89-Y89</f>
        <v>0</v>
      </c>
      <c r="AB89" s="43"/>
      <c r="AC89" t="s" s="51">
        <v>0</v>
      </c>
      <c r="AD89" t="s" s="51">
        <v>0</v>
      </c>
      <c r="AE89" t="s" s="51">
        <v>0</v>
      </c>
      <c r="AF89" t="s" s="44">
        <v>0</v>
      </c>
      <c r="AG89" s="54"/>
      <c r="AH89" s="52"/>
      <c r="AI89" s="41">
        <f>AH89-T89-U89</f>
        <v>0</v>
      </c>
      <c r="AJ89" t="s" s="44">
        <v>0</v>
      </c>
      <c r="AK89" s="54"/>
      <c r="AL89" s="52"/>
      <c r="AM89" s="41">
        <f>AL89-Z89-AA89</f>
        <v>0</v>
      </c>
      <c r="AN89" t="s" s="44">
        <v>0</v>
      </c>
      <c r="AO89" s="54"/>
      <c r="AP89" s="52"/>
      <c r="AQ89" s="41">
        <f>AP89-Y89</f>
        <v>0</v>
      </c>
      <c r="AR89" s="51"/>
      <c r="AS89" s="55">
        <v>0</v>
      </c>
    </row>
    <row r="90" ht="54.85" customHeight="1">
      <c r="A90" t="s" s="2">
        <v>0</v>
      </c>
      <c r="B90" s="33"/>
      <c r="C90" s="34"/>
      <c r="D90" s="35"/>
      <c r="E90" s="34"/>
      <c r="F90" s="36"/>
      <c r="G90" s="34"/>
      <c r="H90" s="34"/>
      <c r="I90" t="s" s="37">
        <v>0</v>
      </c>
      <c r="J90" s="38"/>
      <c r="K90" s="39"/>
      <c r="L90" s="39"/>
      <c r="M90" s="39"/>
      <c r="N90" s="39"/>
      <c r="O90" s="39"/>
      <c r="P90" s="40">
        <f>K90-L90-O90+N90</f>
        <v>0</v>
      </c>
      <c r="Q90" s="39"/>
      <c r="R90" s="39"/>
      <c r="S90" s="40">
        <f>L90</f>
        <v>0</v>
      </c>
      <c r="T90" s="39">
        <f>P90+R90-Q90+M90</f>
        <v>0</v>
      </c>
      <c r="U90" s="39">
        <f>T90-V90-W90-X90</f>
        <v>0</v>
      </c>
      <c r="V90" s="41">
        <f>P90*0.03</f>
        <v>0</v>
      </c>
      <c r="W90" s="41">
        <f>P90*0.04</f>
        <v>0</v>
      </c>
      <c r="X90" s="41">
        <f>P90*0.05</f>
        <v>0</v>
      </c>
      <c r="Y90" s="42">
        <f>P90*0.05</f>
        <v>0</v>
      </c>
      <c r="Z90" s="39">
        <f>T90-Y90</f>
        <v>0</v>
      </c>
      <c r="AA90" s="39">
        <f>U90-Y90</f>
        <v>0</v>
      </c>
      <c r="AB90" s="43"/>
      <c r="AC90" t="s" s="37">
        <v>0</v>
      </c>
      <c r="AD90" t="s" s="37">
        <v>0</v>
      </c>
      <c r="AE90" t="s" s="37">
        <v>0</v>
      </c>
      <c r="AF90" t="s" s="44">
        <v>0</v>
      </c>
      <c r="AG90" s="45"/>
      <c r="AH90" s="39"/>
      <c r="AI90" s="41">
        <f>AH90-T90-U90</f>
        <v>0</v>
      </c>
      <c r="AJ90" t="s" s="44">
        <v>0</v>
      </c>
      <c r="AK90" s="45"/>
      <c r="AL90" s="39"/>
      <c r="AM90" s="41">
        <f>AL90-Z90-AA90</f>
        <v>0</v>
      </c>
      <c r="AN90" t="s" s="44">
        <v>0</v>
      </c>
      <c r="AO90" s="45"/>
      <c r="AP90" s="39"/>
      <c r="AQ90" s="41">
        <f>AP90-Y90</f>
        <v>0</v>
      </c>
      <c r="AR90" s="37"/>
      <c r="AS90" s="46">
        <v>0</v>
      </c>
    </row>
    <row r="91" ht="54.85" customHeight="1">
      <c r="A91" t="s" s="2">
        <v>0</v>
      </c>
      <c r="B91" s="33"/>
      <c r="C91" s="34"/>
      <c r="D91" s="35"/>
      <c r="E91" s="49"/>
      <c r="F91" s="50"/>
      <c r="G91" s="49"/>
      <c r="H91" s="49"/>
      <c r="I91" t="s" s="51">
        <v>0</v>
      </c>
      <c r="J91" s="38"/>
      <c r="K91" s="52"/>
      <c r="L91" s="52"/>
      <c r="M91" s="52"/>
      <c r="N91" s="52"/>
      <c r="O91" s="52"/>
      <c r="P91" s="40">
        <f>K91-L91-O91+N91</f>
        <v>0</v>
      </c>
      <c r="Q91" s="52"/>
      <c r="R91" s="52"/>
      <c r="S91" s="40">
        <f>L91</f>
        <v>0</v>
      </c>
      <c r="T91" s="52">
        <f>P91+R91-Q91+M91</f>
        <v>0</v>
      </c>
      <c r="U91" s="52">
        <f>T91-V91-W91-X91</f>
        <v>0</v>
      </c>
      <c r="V91" s="41">
        <f>P91*0.03</f>
        <v>0</v>
      </c>
      <c r="W91" s="41">
        <f>P91*0.04</f>
        <v>0</v>
      </c>
      <c r="X91" s="41">
        <f>P91*0.05</f>
        <v>0</v>
      </c>
      <c r="Y91" s="42">
        <f>P91*0.05</f>
        <v>0</v>
      </c>
      <c r="Z91" s="52">
        <f>T91-Y91</f>
        <v>0</v>
      </c>
      <c r="AA91" s="52">
        <f>U91-Y91</f>
        <v>0</v>
      </c>
      <c r="AB91" s="43"/>
      <c r="AC91" t="s" s="51">
        <v>0</v>
      </c>
      <c r="AD91" t="s" s="51">
        <v>0</v>
      </c>
      <c r="AE91" t="s" s="51">
        <v>0</v>
      </c>
      <c r="AF91" t="s" s="44">
        <v>0</v>
      </c>
      <c r="AG91" s="54"/>
      <c r="AH91" s="52"/>
      <c r="AI91" s="41">
        <f>AH91-T91-U91</f>
        <v>0</v>
      </c>
      <c r="AJ91" t="s" s="44">
        <v>0</v>
      </c>
      <c r="AK91" s="54"/>
      <c r="AL91" s="52"/>
      <c r="AM91" s="41">
        <f>AL91-Z91-AA91</f>
        <v>0</v>
      </c>
      <c r="AN91" t="s" s="44">
        <v>0</v>
      </c>
      <c r="AO91" s="54"/>
      <c r="AP91" s="52"/>
      <c r="AQ91" s="41">
        <f>AP91-Y91</f>
        <v>0</v>
      </c>
      <c r="AR91" s="51"/>
      <c r="AS91" s="55">
        <v>0</v>
      </c>
    </row>
    <row r="92" ht="54.85" customHeight="1">
      <c r="A92" t="s" s="2">
        <v>0</v>
      </c>
      <c r="B92" s="33"/>
      <c r="C92" s="34"/>
      <c r="D92" s="35"/>
      <c r="E92" s="34"/>
      <c r="F92" s="36"/>
      <c r="G92" s="34"/>
      <c r="H92" s="34"/>
      <c r="I92" t="s" s="37">
        <v>0</v>
      </c>
      <c r="J92" s="38"/>
      <c r="K92" s="39"/>
      <c r="L92" s="39"/>
      <c r="M92" s="39"/>
      <c r="N92" s="39"/>
      <c r="O92" s="39"/>
      <c r="P92" s="40">
        <f>K92-L92-O92+N92</f>
        <v>0</v>
      </c>
      <c r="Q92" s="39"/>
      <c r="R92" s="39"/>
      <c r="S92" s="40">
        <f>L92</f>
        <v>0</v>
      </c>
      <c r="T92" s="39">
        <f>P92+R92-Q92+M92</f>
        <v>0</v>
      </c>
      <c r="U92" s="39">
        <f>T92-V92-W92-X92</f>
        <v>0</v>
      </c>
      <c r="V92" s="41">
        <f>P92*0.03</f>
        <v>0</v>
      </c>
      <c r="W92" s="41">
        <f>P92*0.04</f>
        <v>0</v>
      </c>
      <c r="X92" s="41">
        <f>P92*0.05</f>
        <v>0</v>
      </c>
      <c r="Y92" s="42">
        <f>P92*0.05</f>
        <v>0</v>
      </c>
      <c r="Z92" s="39">
        <f>T92-Y92</f>
        <v>0</v>
      </c>
      <c r="AA92" s="39">
        <f>U92-Y92</f>
        <v>0</v>
      </c>
      <c r="AB92" s="43"/>
      <c r="AC92" t="s" s="37">
        <v>0</v>
      </c>
      <c r="AD92" t="s" s="37">
        <v>0</v>
      </c>
      <c r="AE92" t="s" s="37">
        <v>0</v>
      </c>
      <c r="AF92" t="s" s="44">
        <v>0</v>
      </c>
      <c r="AG92" s="45"/>
      <c r="AH92" s="39"/>
      <c r="AI92" s="41">
        <f>AH92-T92-U92</f>
        <v>0</v>
      </c>
      <c r="AJ92" t="s" s="44">
        <v>0</v>
      </c>
      <c r="AK92" s="45"/>
      <c r="AL92" s="39"/>
      <c r="AM92" s="41">
        <f>AL92-Z92-AA92</f>
        <v>0</v>
      </c>
      <c r="AN92" t="s" s="44">
        <v>0</v>
      </c>
      <c r="AO92" s="45"/>
      <c r="AP92" s="39"/>
      <c r="AQ92" s="41">
        <f>AP92-Y92</f>
        <v>0</v>
      </c>
      <c r="AR92" s="37"/>
      <c r="AS92" s="46">
        <v>0</v>
      </c>
    </row>
    <row r="93" ht="54.85" customHeight="1">
      <c r="A93" t="s" s="2">
        <v>0</v>
      </c>
      <c r="B93" s="33"/>
      <c r="C93" s="34"/>
      <c r="D93" s="35"/>
      <c r="E93" s="49"/>
      <c r="F93" s="50"/>
      <c r="G93" s="49"/>
      <c r="H93" s="49"/>
      <c r="I93" t="s" s="51">
        <v>0</v>
      </c>
      <c r="J93" s="38"/>
      <c r="K93" s="52"/>
      <c r="L93" s="52"/>
      <c r="M93" s="52"/>
      <c r="N93" s="52"/>
      <c r="O93" s="52"/>
      <c r="P93" s="40">
        <f>K93-L93-O93+N93</f>
        <v>0</v>
      </c>
      <c r="Q93" s="52"/>
      <c r="R93" s="52"/>
      <c r="S93" s="40">
        <f>L93</f>
        <v>0</v>
      </c>
      <c r="T93" s="52">
        <f>P93+R93-Q93+M93</f>
        <v>0</v>
      </c>
      <c r="U93" s="52">
        <f>T93-V93-W93-X93</f>
        <v>0</v>
      </c>
      <c r="V93" s="41">
        <f>P93*0.03</f>
        <v>0</v>
      </c>
      <c r="W93" s="41">
        <f>P93*0.04</f>
        <v>0</v>
      </c>
      <c r="X93" s="41">
        <f>P93*0.05</f>
        <v>0</v>
      </c>
      <c r="Y93" s="42">
        <f>P93*0.05</f>
        <v>0</v>
      </c>
      <c r="Z93" s="52">
        <f>T93-Y93</f>
        <v>0</v>
      </c>
      <c r="AA93" s="52">
        <f>U93-Y93</f>
        <v>0</v>
      </c>
      <c r="AB93" s="43"/>
      <c r="AC93" t="s" s="51">
        <v>0</v>
      </c>
      <c r="AD93" t="s" s="51">
        <v>0</v>
      </c>
      <c r="AE93" t="s" s="51">
        <v>0</v>
      </c>
      <c r="AF93" t="s" s="44">
        <v>0</v>
      </c>
      <c r="AG93" s="54"/>
      <c r="AH93" s="52"/>
      <c r="AI93" s="41">
        <f>AH93-T93-U93</f>
        <v>0</v>
      </c>
      <c r="AJ93" t="s" s="44">
        <v>0</v>
      </c>
      <c r="AK93" s="54"/>
      <c r="AL93" s="52"/>
      <c r="AM93" s="41">
        <f>AL93-Z93-AA93</f>
        <v>0</v>
      </c>
      <c r="AN93" t="s" s="44">
        <v>0</v>
      </c>
      <c r="AO93" s="54"/>
      <c r="AP93" s="52"/>
      <c r="AQ93" s="41">
        <f>AP93-Y93</f>
        <v>0</v>
      </c>
      <c r="AR93" s="51"/>
      <c r="AS93" s="55">
        <v>0</v>
      </c>
    </row>
    <row r="94" ht="54.85" customHeight="1">
      <c r="A94" t="s" s="2">
        <v>0</v>
      </c>
      <c r="B94" s="33"/>
      <c r="C94" s="34"/>
      <c r="D94" s="35"/>
      <c r="E94" s="34"/>
      <c r="F94" s="36"/>
      <c r="G94" s="34"/>
      <c r="H94" s="34"/>
      <c r="I94" t="s" s="37">
        <v>0</v>
      </c>
      <c r="J94" s="38"/>
      <c r="K94" s="39"/>
      <c r="L94" s="39"/>
      <c r="M94" s="39"/>
      <c r="N94" s="39"/>
      <c r="O94" s="39"/>
      <c r="P94" s="40">
        <f>K94-L94-O94+N94</f>
        <v>0</v>
      </c>
      <c r="Q94" s="39"/>
      <c r="R94" s="39"/>
      <c r="S94" s="40">
        <f>L94</f>
        <v>0</v>
      </c>
      <c r="T94" s="39">
        <f>P94+R94-Q94+M94</f>
        <v>0</v>
      </c>
      <c r="U94" s="39">
        <f>T94-V94-W94-X94</f>
        <v>0</v>
      </c>
      <c r="V94" s="41">
        <f>P94*0.03</f>
        <v>0</v>
      </c>
      <c r="W94" s="41">
        <f>P94*0.04</f>
        <v>0</v>
      </c>
      <c r="X94" s="41">
        <f>P94*0.05</f>
        <v>0</v>
      </c>
      <c r="Y94" s="42">
        <f>P94*0.05</f>
        <v>0</v>
      </c>
      <c r="Z94" s="39">
        <f>T94-Y94</f>
        <v>0</v>
      </c>
      <c r="AA94" s="39">
        <f>U94-Y94</f>
        <v>0</v>
      </c>
      <c r="AB94" s="43"/>
      <c r="AC94" t="s" s="37">
        <v>0</v>
      </c>
      <c r="AD94" t="s" s="37">
        <v>0</v>
      </c>
      <c r="AE94" t="s" s="37">
        <v>0</v>
      </c>
      <c r="AF94" t="s" s="44">
        <v>0</v>
      </c>
      <c r="AG94" s="45"/>
      <c r="AH94" s="39"/>
      <c r="AI94" s="41">
        <f>AH94-T94-U94</f>
        <v>0</v>
      </c>
      <c r="AJ94" t="s" s="44">
        <v>0</v>
      </c>
      <c r="AK94" s="45"/>
      <c r="AL94" s="39"/>
      <c r="AM94" s="41">
        <f>AL94-Z94-AA94</f>
        <v>0</v>
      </c>
      <c r="AN94" t="s" s="44">
        <v>0</v>
      </c>
      <c r="AO94" s="45"/>
      <c r="AP94" s="39"/>
      <c r="AQ94" s="41">
        <f>AP94-Y94</f>
        <v>0</v>
      </c>
      <c r="AR94" s="37"/>
      <c r="AS94" s="46">
        <v>0</v>
      </c>
    </row>
    <row r="95" ht="54.85" customHeight="1">
      <c r="A95" t="s" s="2">
        <v>0</v>
      </c>
      <c r="B95" s="33"/>
      <c r="C95" s="34"/>
      <c r="D95" s="35"/>
      <c r="E95" s="49"/>
      <c r="F95" s="50"/>
      <c r="G95" s="49"/>
      <c r="H95" s="49"/>
      <c r="I95" t="s" s="51">
        <v>0</v>
      </c>
      <c r="J95" s="38"/>
      <c r="K95" s="52"/>
      <c r="L95" s="52"/>
      <c r="M95" s="52"/>
      <c r="N95" s="52"/>
      <c r="O95" s="52"/>
      <c r="P95" s="40">
        <f>K95-L95-O95+N95</f>
        <v>0</v>
      </c>
      <c r="Q95" s="52"/>
      <c r="R95" s="52"/>
      <c r="S95" s="40">
        <f>L95</f>
        <v>0</v>
      </c>
      <c r="T95" s="52">
        <f>P95+R95-Q95+M95</f>
        <v>0</v>
      </c>
      <c r="U95" s="52">
        <f>T95-V95-W95-X95</f>
        <v>0</v>
      </c>
      <c r="V95" s="41">
        <f>P95*0.03</f>
        <v>0</v>
      </c>
      <c r="W95" s="41">
        <f>P95*0.04</f>
        <v>0</v>
      </c>
      <c r="X95" s="41">
        <f>P95*0.05</f>
        <v>0</v>
      </c>
      <c r="Y95" s="42">
        <f>P95*0.05</f>
        <v>0</v>
      </c>
      <c r="Z95" s="52">
        <f>T95-Y95</f>
        <v>0</v>
      </c>
      <c r="AA95" s="52">
        <f>U95-Y95</f>
        <v>0</v>
      </c>
      <c r="AB95" s="43"/>
      <c r="AC95" t="s" s="51">
        <v>0</v>
      </c>
      <c r="AD95" t="s" s="51">
        <v>0</v>
      </c>
      <c r="AE95" t="s" s="51">
        <v>0</v>
      </c>
      <c r="AF95" t="s" s="44">
        <v>0</v>
      </c>
      <c r="AG95" s="54"/>
      <c r="AH95" s="52"/>
      <c r="AI95" s="41">
        <f>AH95-T95-U95</f>
        <v>0</v>
      </c>
      <c r="AJ95" t="s" s="44">
        <v>0</v>
      </c>
      <c r="AK95" s="54"/>
      <c r="AL95" s="52"/>
      <c r="AM95" s="41">
        <f>AL95-Z95-AA95</f>
        <v>0</v>
      </c>
      <c r="AN95" t="s" s="44">
        <v>0</v>
      </c>
      <c r="AO95" s="54"/>
      <c r="AP95" s="52"/>
      <c r="AQ95" s="41">
        <f>AP95-Y95</f>
        <v>0</v>
      </c>
      <c r="AR95" s="51"/>
      <c r="AS95" s="55">
        <v>0</v>
      </c>
    </row>
    <row r="96" ht="54.85" customHeight="1">
      <c r="A96" t="s" s="2">
        <v>0</v>
      </c>
      <c r="B96" s="33"/>
      <c r="C96" s="34"/>
      <c r="D96" s="35"/>
      <c r="E96" s="34"/>
      <c r="F96" s="36"/>
      <c r="G96" s="34"/>
      <c r="H96" s="34"/>
      <c r="I96" t="s" s="37">
        <v>0</v>
      </c>
      <c r="J96" s="38"/>
      <c r="K96" s="39"/>
      <c r="L96" s="39"/>
      <c r="M96" s="39"/>
      <c r="N96" s="39"/>
      <c r="O96" s="39"/>
      <c r="P96" s="40">
        <f>K96-L96-O96+N96</f>
        <v>0</v>
      </c>
      <c r="Q96" s="39"/>
      <c r="R96" s="39"/>
      <c r="S96" s="40">
        <f>L96</f>
        <v>0</v>
      </c>
      <c r="T96" s="39">
        <f>P96+R96-Q96+M96</f>
        <v>0</v>
      </c>
      <c r="U96" s="39">
        <f>T96-V96-W96-X96</f>
        <v>0</v>
      </c>
      <c r="V96" s="41">
        <f>P96*0.03</f>
        <v>0</v>
      </c>
      <c r="W96" s="41">
        <f>P96*0.04</f>
        <v>0</v>
      </c>
      <c r="X96" s="41">
        <f>P96*0.05</f>
        <v>0</v>
      </c>
      <c r="Y96" s="42">
        <f>P96*0.05</f>
        <v>0</v>
      </c>
      <c r="Z96" s="39">
        <f>T96-Y96</f>
        <v>0</v>
      </c>
      <c r="AA96" s="39">
        <f>U96-Y96</f>
        <v>0</v>
      </c>
      <c r="AB96" s="43"/>
      <c r="AC96" t="s" s="37">
        <v>0</v>
      </c>
      <c r="AD96" t="s" s="37">
        <v>0</v>
      </c>
      <c r="AE96" t="s" s="37">
        <v>0</v>
      </c>
      <c r="AF96" t="s" s="44">
        <v>0</v>
      </c>
      <c r="AG96" s="45"/>
      <c r="AH96" s="39"/>
      <c r="AI96" s="41">
        <f>AH96-T96-U96</f>
        <v>0</v>
      </c>
      <c r="AJ96" t="s" s="44">
        <v>0</v>
      </c>
      <c r="AK96" s="45"/>
      <c r="AL96" s="39"/>
      <c r="AM96" s="41">
        <f>AL96-Z96-AA96</f>
        <v>0</v>
      </c>
      <c r="AN96" t="s" s="44">
        <v>0</v>
      </c>
      <c r="AO96" s="45"/>
      <c r="AP96" s="39"/>
      <c r="AQ96" s="41">
        <f>AP96-Y96</f>
        <v>0</v>
      </c>
      <c r="AR96" s="37"/>
      <c r="AS96" s="46">
        <v>0</v>
      </c>
    </row>
    <row r="97" ht="54.85" customHeight="1">
      <c r="A97" t="s" s="2">
        <v>0</v>
      </c>
      <c r="B97" s="33"/>
      <c r="C97" s="34"/>
      <c r="D97" s="35"/>
      <c r="E97" s="49"/>
      <c r="F97" s="50"/>
      <c r="G97" s="49"/>
      <c r="H97" s="49"/>
      <c r="I97" t="s" s="51">
        <v>0</v>
      </c>
      <c r="J97" s="38"/>
      <c r="K97" s="52"/>
      <c r="L97" s="52"/>
      <c r="M97" s="52"/>
      <c r="N97" s="52"/>
      <c r="O97" s="52"/>
      <c r="P97" s="40">
        <f>K97-L97-O97+N97</f>
        <v>0</v>
      </c>
      <c r="Q97" s="52"/>
      <c r="R97" s="52"/>
      <c r="S97" s="40">
        <f>L97</f>
        <v>0</v>
      </c>
      <c r="T97" s="52">
        <f>P97+R97-Q97+M97</f>
        <v>0</v>
      </c>
      <c r="U97" s="52">
        <f>T97-V97-W97-X97</f>
        <v>0</v>
      </c>
      <c r="V97" s="41">
        <f>P97*0.03</f>
        <v>0</v>
      </c>
      <c r="W97" s="41">
        <f>P97*0.04</f>
        <v>0</v>
      </c>
      <c r="X97" s="41">
        <f>P97*0.05</f>
        <v>0</v>
      </c>
      <c r="Y97" s="42">
        <f>P97*0.05</f>
        <v>0</v>
      </c>
      <c r="Z97" s="52">
        <f>T97-Y97</f>
        <v>0</v>
      </c>
      <c r="AA97" s="52">
        <f>U97-Y97</f>
        <v>0</v>
      </c>
      <c r="AB97" s="43"/>
      <c r="AC97" t="s" s="51">
        <v>0</v>
      </c>
      <c r="AD97" t="s" s="51">
        <v>0</v>
      </c>
      <c r="AE97" t="s" s="51">
        <v>0</v>
      </c>
      <c r="AF97" t="s" s="44">
        <v>0</v>
      </c>
      <c r="AG97" s="54"/>
      <c r="AH97" s="52"/>
      <c r="AI97" s="41">
        <f>AH97-T97-U97</f>
        <v>0</v>
      </c>
      <c r="AJ97" t="s" s="44">
        <v>0</v>
      </c>
      <c r="AK97" s="54"/>
      <c r="AL97" s="52"/>
      <c r="AM97" s="41">
        <f>AL97-Z97-AA97</f>
        <v>0</v>
      </c>
      <c r="AN97" t="s" s="44">
        <v>0</v>
      </c>
      <c r="AO97" s="54"/>
      <c r="AP97" s="52"/>
      <c r="AQ97" s="41">
        <f>AP97-Y97</f>
        <v>0</v>
      </c>
      <c r="AR97" s="51"/>
      <c r="AS97" s="55">
        <v>0</v>
      </c>
    </row>
    <row r="98" ht="54.85" customHeight="1">
      <c r="A98" t="s" s="2">
        <v>0</v>
      </c>
      <c r="B98" s="33"/>
      <c r="C98" s="34"/>
      <c r="D98" s="35"/>
      <c r="E98" s="34"/>
      <c r="F98" s="36"/>
      <c r="G98" s="34"/>
      <c r="H98" s="34"/>
      <c r="I98" t="s" s="37">
        <v>0</v>
      </c>
      <c r="J98" s="38"/>
      <c r="K98" s="39"/>
      <c r="L98" s="39"/>
      <c r="M98" s="39"/>
      <c r="N98" s="39"/>
      <c r="O98" s="39"/>
      <c r="P98" s="40">
        <f>K98-L98-O98+N98</f>
        <v>0</v>
      </c>
      <c r="Q98" s="39"/>
      <c r="R98" s="39"/>
      <c r="S98" s="40">
        <f>L98</f>
        <v>0</v>
      </c>
      <c r="T98" s="39">
        <f>P98+R98-Q98+M98</f>
        <v>0</v>
      </c>
      <c r="U98" s="39">
        <f>T98-V98-W98-X98</f>
        <v>0</v>
      </c>
      <c r="V98" s="41">
        <f>P98*0.03</f>
        <v>0</v>
      </c>
      <c r="W98" s="41">
        <f>P98*0.04</f>
        <v>0</v>
      </c>
      <c r="X98" s="41">
        <f>P98*0.05</f>
        <v>0</v>
      </c>
      <c r="Y98" s="42">
        <f>P98*0.05</f>
        <v>0</v>
      </c>
      <c r="Z98" s="39">
        <f>T98-Y98</f>
        <v>0</v>
      </c>
      <c r="AA98" s="39">
        <f>U98-Y98</f>
        <v>0</v>
      </c>
      <c r="AB98" s="43"/>
      <c r="AC98" t="s" s="37">
        <v>0</v>
      </c>
      <c r="AD98" t="s" s="37">
        <v>0</v>
      </c>
      <c r="AE98" t="s" s="37">
        <v>0</v>
      </c>
      <c r="AF98" t="s" s="44">
        <v>0</v>
      </c>
      <c r="AG98" s="45"/>
      <c r="AH98" s="39"/>
      <c r="AI98" s="41">
        <f>AH98-T98-U98</f>
        <v>0</v>
      </c>
      <c r="AJ98" t="s" s="44">
        <v>0</v>
      </c>
      <c r="AK98" s="45"/>
      <c r="AL98" s="39"/>
      <c r="AM98" s="41">
        <f>AL98-Z98-AA98</f>
        <v>0</v>
      </c>
      <c r="AN98" t="s" s="44">
        <v>0</v>
      </c>
      <c r="AO98" s="45"/>
      <c r="AP98" s="39"/>
      <c r="AQ98" s="41">
        <f>AP98-Y98</f>
        <v>0</v>
      </c>
      <c r="AR98" s="37"/>
      <c r="AS98" s="46">
        <v>0</v>
      </c>
    </row>
    <row r="99" ht="54.85" customHeight="1">
      <c r="A99" t="s" s="2">
        <v>0</v>
      </c>
      <c r="B99" s="33"/>
      <c r="C99" s="34"/>
      <c r="D99" s="35"/>
      <c r="E99" s="49"/>
      <c r="F99" s="50"/>
      <c r="G99" s="49"/>
      <c r="H99" s="49"/>
      <c r="I99" t="s" s="51">
        <v>0</v>
      </c>
      <c r="J99" s="38"/>
      <c r="K99" s="52"/>
      <c r="L99" s="52"/>
      <c r="M99" s="52"/>
      <c r="N99" s="52"/>
      <c r="O99" s="52"/>
      <c r="P99" s="40">
        <f>K99-L99-O99+N99</f>
        <v>0</v>
      </c>
      <c r="Q99" s="52"/>
      <c r="R99" s="52"/>
      <c r="S99" s="40">
        <f>L99</f>
        <v>0</v>
      </c>
      <c r="T99" s="52">
        <f>P99+R99-Q99+M99</f>
        <v>0</v>
      </c>
      <c r="U99" s="52">
        <f>T99-V99-W99-X99</f>
        <v>0</v>
      </c>
      <c r="V99" s="41">
        <f>P99*0.03</f>
        <v>0</v>
      </c>
      <c r="W99" s="41">
        <f>P99*0.04</f>
        <v>0</v>
      </c>
      <c r="X99" s="41">
        <f>P99*0.05</f>
        <v>0</v>
      </c>
      <c r="Y99" s="42">
        <f>P99*0.05</f>
        <v>0</v>
      </c>
      <c r="Z99" s="52">
        <f>T99-Y99</f>
        <v>0</v>
      </c>
      <c r="AA99" s="52">
        <f>U99-Y99</f>
        <v>0</v>
      </c>
      <c r="AB99" s="43"/>
      <c r="AC99" t="s" s="51">
        <v>0</v>
      </c>
      <c r="AD99" t="s" s="51">
        <v>0</v>
      </c>
      <c r="AE99" t="s" s="51">
        <v>0</v>
      </c>
      <c r="AF99" t="s" s="44">
        <v>0</v>
      </c>
      <c r="AG99" s="54"/>
      <c r="AH99" s="52"/>
      <c r="AI99" s="41">
        <f>AH99-T99-U99</f>
        <v>0</v>
      </c>
      <c r="AJ99" t="s" s="44">
        <v>0</v>
      </c>
      <c r="AK99" s="54"/>
      <c r="AL99" s="52"/>
      <c r="AM99" s="41">
        <f>AL99-Z99-AA99</f>
        <v>0</v>
      </c>
      <c r="AN99" t="s" s="44">
        <v>0</v>
      </c>
      <c r="AO99" s="54"/>
      <c r="AP99" s="52"/>
      <c r="AQ99" s="41">
        <f>AP99-Y99</f>
        <v>0</v>
      </c>
      <c r="AR99" s="51"/>
      <c r="AS99" s="55">
        <v>0</v>
      </c>
    </row>
    <row r="100" ht="54.85" customHeight="1">
      <c r="A100" t="s" s="2">
        <v>0</v>
      </c>
      <c r="B100" s="33"/>
      <c r="C100" s="34"/>
      <c r="D100" s="35"/>
      <c r="E100" s="34"/>
      <c r="F100" s="36"/>
      <c r="G100" s="34"/>
      <c r="H100" s="34"/>
      <c r="I100" t="s" s="37">
        <v>0</v>
      </c>
      <c r="J100" s="38"/>
      <c r="K100" s="39"/>
      <c r="L100" s="39"/>
      <c r="M100" s="39"/>
      <c r="N100" s="39"/>
      <c r="O100" s="39"/>
      <c r="P100" s="40">
        <f>K100-L100-O100+N100</f>
        <v>0</v>
      </c>
      <c r="Q100" s="39"/>
      <c r="R100" s="39"/>
      <c r="S100" s="40">
        <f>L100</f>
        <v>0</v>
      </c>
      <c r="T100" s="39">
        <f>P100+R100-Q100+M100</f>
        <v>0</v>
      </c>
      <c r="U100" s="39">
        <f>T100-V100-W100-X100</f>
        <v>0</v>
      </c>
      <c r="V100" s="41">
        <f>P100*0.03</f>
        <v>0</v>
      </c>
      <c r="W100" s="41">
        <f>P100*0.04</f>
        <v>0</v>
      </c>
      <c r="X100" s="41">
        <f>P100*0.05</f>
        <v>0</v>
      </c>
      <c r="Y100" s="42">
        <f>P100*0.05</f>
        <v>0</v>
      </c>
      <c r="Z100" s="39">
        <f>T100-Y100</f>
        <v>0</v>
      </c>
      <c r="AA100" s="39">
        <f>U100-Y100</f>
        <v>0</v>
      </c>
      <c r="AB100" s="43"/>
      <c r="AC100" t="s" s="37">
        <v>0</v>
      </c>
      <c r="AD100" t="s" s="37">
        <v>0</v>
      </c>
      <c r="AE100" t="s" s="37">
        <v>0</v>
      </c>
      <c r="AF100" t="s" s="44">
        <v>0</v>
      </c>
      <c r="AG100" s="45"/>
      <c r="AH100" s="39"/>
      <c r="AI100" s="41">
        <f>AH100-T100-U100</f>
        <v>0</v>
      </c>
      <c r="AJ100" t="s" s="44">
        <v>0</v>
      </c>
      <c r="AK100" s="45"/>
      <c r="AL100" s="39"/>
      <c r="AM100" s="41">
        <f>AL100-Z100-AA100</f>
        <v>0</v>
      </c>
      <c r="AN100" t="s" s="44">
        <v>0</v>
      </c>
      <c r="AO100" s="45"/>
      <c r="AP100" s="39"/>
      <c r="AQ100" s="41">
        <f>AP100-Y100</f>
        <v>0</v>
      </c>
      <c r="AR100" s="37"/>
      <c r="AS100" s="46">
        <v>0</v>
      </c>
    </row>
    <row r="101" ht="54.85" customHeight="1">
      <c r="A101" t="s" s="2">
        <v>0</v>
      </c>
      <c r="B101" s="33"/>
      <c r="C101" s="34"/>
      <c r="D101" s="35"/>
      <c r="E101" s="49"/>
      <c r="F101" s="50"/>
      <c r="G101" s="49"/>
      <c r="H101" s="49"/>
      <c r="I101" t="s" s="51">
        <v>0</v>
      </c>
      <c r="J101" s="38"/>
      <c r="K101" s="52"/>
      <c r="L101" s="52"/>
      <c r="M101" s="52"/>
      <c r="N101" s="52"/>
      <c r="O101" s="52"/>
      <c r="P101" s="40">
        <f>K101-L101-O101+N101</f>
        <v>0</v>
      </c>
      <c r="Q101" s="52"/>
      <c r="R101" s="52"/>
      <c r="S101" s="40">
        <f>L101</f>
        <v>0</v>
      </c>
      <c r="T101" s="52">
        <f>P101+R101-Q101+M101</f>
        <v>0</v>
      </c>
      <c r="U101" s="52">
        <f>T101-V101-W101-X101</f>
        <v>0</v>
      </c>
      <c r="V101" s="41">
        <f>P101*0.03</f>
        <v>0</v>
      </c>
      <c r="W101" s="41">
        <f>P101*0.04</f>
        <v>0</v>
      </c>
      <c r="X101" s="41">
        <f>P101*0.05</f>
        <v>0</v>
      </c>
      <c r="Y101" s="42">
        <f>P101*0.05</f>
        <v>0</v>
      </c>
      <c r="Z101" s="52">
        <f>T101-Y101</f>
        <v>0</v>
      </c>
      <c r="AA101" s="52">
        <f>U101-Y101</f>
        <v>0</v>
      </c>
      <c r="AB101" s="43"/>
      <c r="AC101" t="s" s="51">
        <v>0</v>
      </c>
      <c r="AD101" t="s" s="51">
        <v>0</v>
      </c>
      <c r="AE101" t="s" s="51">
        <v>0</v>
      </c>
      <c r="AF101" t="s" s="44">
        <v>0</v>
      </c>
      <c r="AG101" s="54"/>
      <c r="AH101" s="52"/>
      <c r="AI101" s="41">
        <f>AH101-T101-U101</f>
        <v>0</v>
      </c>
      <c r="AJ101" t="s" s="44">
        <v>0</v>
      </c>
      <c r="AK101" s="54"/>
      <c r="AL101" s="52"/>
      <c r="AM101" s="41">
        <f>AL101-Z101-AA101</f>
        <v>0</v>
      </c>
      <c r="AN101" t="s" s="44">
        <v>0</v>
      </c>
      <c r="AO101" s="54"/>
      <c r="AP101" s="52"/>
      <c r="AQ101" s="41">
        <f>AP101-Y101</f>
        <v>0</v>
      </c>
      <c r="AR101" s="51"/>
      <c r="AS101" s="55">
        <v>0</v>
      </c>
    </row>
    <row r="102" ht="54.85" customHeight="1">
      <c r="A102" t="s" s="2">
        <v>0</v>
      </c>
      <c r="B102" s="33"/>
      <c r="C102" s="34"/>
      <c r="D102" s="35"/>
      <c r="E102" s="34"/>
      <c r="F102" s="36"/>
      <c r="G102" s="34"/>
      <c r="H102" s="34"/>
      <c r="I102" t="s" s="37">
        <v>0</v>
      </c>
      <c r="J102" s="38"/>
      <c r="K102" s="39"/>
      <c r="L102" s="39"/>
      <c r="M102" s="39"/>
      <c r="N102" s="39"/>
      <c r="O102" s="39"/>
      <c r="P102" s="40">
        <f>K102-L102-O102+N102</f>
        <v>0</v>
      </c>
      <c r="Q102" s="39"/>
      <c r="R102" s="39"/>
      <c r="S102" s="40">
        <f>L102</f>
        <v>0</v>
      </c>
      <c r="T102" s="39">
        <f>P102+R102-Q102+M102</f>
        <v>0</v>
      </c>
      <c r="U102" s="39">
        <f>T102-V102-W102-X102</f>
        <v>0</v>
      </c>
      <c r="V102" s="41">
        <f>P102*0.03</f>
        <v>0</v>
      </c>
      <c r="W102" s="41">
        <f>P102*0.04</f>
        <v>0</v>
      </c>
      <c r="X102" s="41">
        <f>P102*0.05</f>
        <v>0</v>
      </c>
      <c r="Y102" s="42">
        <f>P102*0.05</f>
        <v>0</v>
      </c>
      <c r="Z102" s="39">
        <f>T102-Y102</f>
        <v>0</v>
      </c>
      <c r="AA102" s="39">
        <f>U102-Y102</f>
        <v>0</v>
      </c>
      <c r="AB102" s="43"/>
      <c r="AC102" t="s" s="37">
        <v>0</v>
      </c>
      <c r="AD102" t="s" s="37">
        <v>0</v>
      </c>
      <c r="AE102" t="s" s="37">
        <v>0</v>
      </c>
      <c r="AF102" t="s" s="44">
        <v>0</v>
      </c>
      <c r="AG102" s="45"/>
      <c r="AH102" s="39"/>
      <c r="AI102" s="41">
        <f>AH102-T102-U102</f>
        <v>0</v>
      </c>
      <c r="AJ102" t="s" s="44">
        <v>0</v>
      </c>
      <c r="AK102" s="45"/>
      <c r="AL102" s="39"/>
      <c r="AM102" s="41">
        <f>AL102-Z102-AA102</f>
        <v>0</v>
      </c>
      <c r="AN102" t="s" s="44">
        <v>0</v>
      </c>
      <c r="AO102" s="45"/>
      <c r="AP102" s="39"/>
      <c r="AQ102" s="41">
        <f>AP102-Y102</f>
        <v>0</v>
      </c>
      <c r="AR102" s="37"/>
      <c r="AS102" s="46">
        <v>0</v>
      </c>
    </row>
    <row r="103" ht="54.85" customHeight="1">
      <c r="A103" t="s" s="2">
        <v>0</v>
      </c>
      <c r="B103" s="33"/>
      <c r="C103" s="34"/>
      <c r="D103" s="35"/>
      <c r="E103" s="49"/>
      <c r="F103" s="50"/>
      <c r="G103" s="49"/>
      <c r="H103" s="49"/>
      <c r="I103" t="s" s="51">
        <v>0</v>
      </c>
      <c r="J103" s="38"/>
      <c r="K103" s="52"/>
      <c r="L103" s="52"/>
      <c r="M103" s="52"/>
      <c r="N103" s="52"/>
      <c r="O103" s="52"/>
      <c r="P103" s="40">
        <f>K103-L103-O103+N103</f>
        <v>0</v>
      </c>
      <c r="Q103" s="52"/>
      <c r="R103" s="52"/>
      <c r="S103" s="40">
        <f>L103</f>
        <v>0</v>
      </c>
      <c r="T103" s="52">
        <f>P103+R103-Q103+M103</f>
        <v>0</v>
      </c>
      <c r="U103" s="52">
        <f>T103-V103-W103-X103</f>
        <v>0</v>
      </c>
      <c r="V103" s="41">
        <f>P103*0.03</f>
        <v>0</v>
      </c>
      <c r="W103" s="41">
        <f>P103*0.04</f>
        <v>0</v>
      </c>
      <c r="X103" s="41">
        <f>P103*0.05</f>
        <v>0</v>
      </c>
      <c r="Y103" s="42">
        <f>P103*0.05</f>
        <v>0</v>
      </c>
      <c r="Z103" s="52">
        <f>T103-Y103</f>
        <v>0</v>
      </c>
      <c r="AA103" s="52">
        <f>U103-Y103</f>
        <v>0</v>
      </c>
      <c r="AB103" s="43"/>
      <c r="AC103" t="s" s="51">
        <v>0</v>
      </c>
      <c r="AD103" t="s" s="51">
        <v>0</v>
      </c>
      <c r="AE103" t="s" s="51">
        <v>0</v>
      </c>
      <c r="AF103" t="s" s="44">
        <v>0</v>
      </c>
      <c r="AG103" s="54"/>
      <c r="AH103" s="52"/>
      <c r="AI103" s="41">
        <f>AH103-T103-U103</f>
        <v>0</v>
      </c>
      <c r="AJ103" t="s" s="44">
        <v>0</v>
      </c>
      <c r="AK103" s="54"/>
      <c r="AL103" s="52"/>
      <c r="AM103" s="41">
        <f>AL103-Z103-AA103</f>
        <v>0</v>
      </c>
      <c r="AN103" t="s" s="44">
        <v>0</v>
      </c>
      <c r="AO103" s="54"/>
      <c r="AP103" s="52"/>
      <c r="AQ103" s="41">
        <f>AP103-Y103</f>
        <v>0</v>
      </c>
      <c r="AR103" s="51"/>
      <c r="AS103" s="55">
        <v>0</v>
      </c>
    </row>
    <row r="104" ht="54.85" customHeight="1">
      <c r="A104" t="s" s="2">
        <v>0</v>
      </c>
      <c r="B104" s="33"/>
      <c r="C104" s="34"/>
      <c r="D104" s="35"/>
      <c r="E104" s="34"/>
      <c r="F104" s="36"/>
      <c r="G104" s="34"/>
      <c r="H104" s="34"/>
      <c r="I104" t="s" s="37">
        <v>0</v>
      </c>
      <c r="J104" s="38"/>
      <c r="K104" s="39"/>
      <c r="L104" s="39"/>
      <c r="M104" s="39"/>
      <c r="N104" s="39"/>
      <c r="O104" s="39"/>
      <c r="P104" s="40">
        <f>K104-L104-O104+N104</f>
        <v>0</v>
      </c>
      <c r="Q104" s="39"/>
      <c r="R104" s="39"/>
      <c r="S104" s="40">
        <f>L104</f>
        <v>0</v>
      </c>
      <c r="T104" s="39">
        <f>P104+R104-Q104+M104</f>
        <v>0</v>
      </c>
      <c r="U104" s="39">
        <f>T104-V104-W104-X104</f>
        <v>0</v>
      </c>
      <c r="V104" s="41">
        <f>P104*0.03</f>
        <v>0</v>
      </c>
      <c r="W104" s="41">
        <f>P104*0.04</f>
        <v>0</v>
      </c>
      <c r="X104" s="41">
        <f>P104*0.05</f>
        <v>0</v>
      </c>
      <c r="Y104" s="42">
        <f>P104*0.05</f>
        <v>0</v>
      </c>
      <c r="Z104" s="39">
        <f>T104-Y104</f>
        <v>0</v>
      </c>
      <c r="AA104" s="39">
        <f>U104-Y104</f>
        <v>0</v>
      </c>
      <c r="AB104" s="43"/>
      <c r="AC104" t="s" s="37">
        <v>0</v>
      </c>
      <c r="AD104" t="s" s="37">
        <v>0</v>
      </c>
      <c r="AE104" t="s" s="37">
        <v>0</v>
      </c>
      <c r="AF104" t="s" s="44">
        <v>0</v>
      </c>
      <c r="AG104" s="45"/>
      <c r="AH104" s="39"/>
      <c r="AI104" s="41">
        <f>AH104-T104-U104</f>
        <v>0</v>
      </c>
      <c r="AJ104" t="s" s="44">
        <v>0</v>
      </c>
      <c r="AK104" s="45"/>
      <c r="AL104" s="39"/>
      <c r="AM104" s="41">
        <f>AL104-Z104-AA104</f>
        <v>0</v>
      </c>
      <c r="AN104" t="s" s="44">
        <v>0</v>
      </c>
      <c r="AO104" s="45"/>
      <c r="AP104" s="39"/>
      <c r="AQ104" s="41">
        <f>AP104-Y104</f>
        <v>0</v>
      </c>
      <c r="AR104" s="37"/>
      <c r="AS104" s="46">
        <v>0</v>
      </c>
    </row>
    <row r="105" ht="54.85" customHeight="1">
      <c r="A105" t="s" s="2">
        <v>0</v>
      </c>
      <c r="B105" s="33"/>
      <c r="C105" s="34"/>
      <c r="D105" s="35"/>
      <c r="E105" s="49"/>
      <c r="F105" s="50"/>
      <c r="G105" s="49"/>
      <c r="H105" s="49"/>
      <c r="I105" t="s" s="51">
        <v>0</v>
      </c>
      <c r="J105" s="38"/>
      <c r="K105" s="52"/>
      <c r="L105" s="52"/>
      <c r="M105" s="52"/>
      <c r="N105" s="52"/>
      <c r="O105" s="52"/>
      <c r="P105" s="40">
        <f>K105-L105-O105+N105</f>
        <v>0</v>
      </c>
      <c r="Q105" s="52"/>
      <c r="R105" s="52"/>
      <c r="S105" s="40">
        <f>L105</f>
        <v>0</v>
      </c>
      <c r="T105" s="52">
        <f>P105+R105-Q105+M105</f>
        <v>0</v>
      </c>
      <c r="U105" s="52">
        <f>T105-V105-W105-X105</f>
        <v>0</v>
      </c>
      <c r="V105" s="41">
        <f>P105*0.03</f>
        <v>0</v>
      </c>
      <c r="W105" s="41">
        <f>P105*0.04</f>
        <v>0</v>
      </c>
      <c r="X105" s="41">
        <f>P105*0.05</f>
        <v>0</v>
      </c>
      <c r="Y105" s="42">
        <f>P105*0.05</f>
        <v>0</v>
      </c>
      <c r="Z105" s="52">
        <f>T105-Y105</f>
        <v>0</v>
      </c>
      <c r="AA105" s="52">
        <f>U105-Y105</f>
        <v>0</v>
      </c>
      <c r="AB105" s="43"/>
      <c r="AC105" t="s" s="51">
        <v>0</v>
      </c>
      <c r="AD105" t="s" s="51">
        <v>0</v>
      </c>
      <c r="AE105" t="s" s="51">
        <v>0</v>
      </c>
      <c r="AF105" t="s" s="44">
        <v>0</v>
      </c>
      <c r="AG105" s="54"/>
      <c r="AH105" s="52"/>
      <c r="AI105" s="41">
        <f>AH105-T105-U105</f>
        <v>0</v>
      </c>
      <c r="AJ105" t="s" s="44">
        <v>0</v>
      </c>
      <c r="AK105" s="54"/>
      <c r="AL105" s="52"/>
      <c r="AM105" s="41">
        <f>AL105-Z105-AA105</f>
        <v>0</v>
      </c>
      <c r="AN105" t="s" s="44">
        <v>0</v>
      </c>
      <c r="AO105" s="54"/>
      <c r="AP105" s="52"/>
      <c r="AQ105" s="41">
        <f>AP105-Y105</f>
        <v>0</v>
      </c>
      <c r="AR105" s="51"/>
      <c r="AS105" s="55">
        <v>0</v>
      </c>
    </row>
    <row r="106" ht="54.85" customHeight="1">
      <c r="A106" t="s" s="2">
        <v>0</v>
      </c>
      <c r="B106" s="33"/>
      <c r="C106" s="34"/>
      <c r="D106" s="35"/>
      <c r="E106" s="34"/>
      <c r="F106" s="36"/>
      <c r="G106" s="34"/>
      <c r="H106" s="34"/>
      <c r="I106" t="s" s="37">
        <v>0</v>
      </c>
      <c r="J106" s="38"/>
      <c r="K106" s="39"/>
      <c r="L106" s="39"/>
      <c r="M106" s="39"/>
      <c r="N106" s="39"/>
      <c r="O106" s="39"/>
      <c r="P106" s="40">
        <f>K106-L106-O106+N106</f>
        <v>0</v>
      </c>
      <c r="Q106" s="39"/>
      <c r="R106" s="39"/>
      <c r="S106" s="40">
        <f>L106</f>
        <v>0</v>
      </c>
      <c r="T106" s="39">
        <f>P106+R106-Q106+M106</f>
        <v>0</v>
      </c>
      <c r="U106" s="39">
        <f>T106-V106-W106-X106</f>
        <v>0</v>
      </c>
      <c r="V106" s="41">
        <f>P106*0.03</f>
        <v>0</v>
      </c>
      <c r="W106" s="41">
        <f>P106*0.04</f>
        <v>0</v>
      </c>
      <c r="X106" s="41">
        <f>P106*0.05</f>
        <v>0</v>
      </c>
      <c r="Y106" s="42">
        <f>P106*0.05</f>
        <v>0</v>
      </c>
      <c r="Z106" s="39">
        <f>T106-Y106</f>
        <v>0</v>
      </c>
      <c r="AA106" s="39">
        <f>U106-Y106</f>
        <v>0</v>
      </c>
      <c r="AB106" s="43"/>
      <c r="AC106" t="s" s="37">
        <v>0</v>
      </c>
      <c r="AD106" t="s" s="37">
        <v>0</v>
      </c>
      <c r="AE106" t="s" s="37">
        <v>0</v>
      </c>
      <c r="AF106" t="s" s="44">
        <v>0</v>
      </c>
      <c r="AG106" s="45"/>
      <c r="AH106" s="39"/>
      <c r="AI106" s="41">
        <f>AH106-T106-U106</f>
        <v>0</v>
      </c>
      <c r="AJ106" t="s" s="44">
        <v>0</v>
      </c>
      <c r="AK106" s="45"/>
      <c r="AL106" s="39"/>
      <c r="AM106" s="41">
        <f>AL106-Z106-AA106</f>
        <v>0</v>
      </c>
      <c r="AN106" t="s" s="44">
        <v>0</v>
      </c>
      <c r="AO106" s="45"/>
      <c r="AP106" s="39"/>
      <c r="AQ106" s="41">
        <f>AP106-Y106</f>
        <v>0</v>
      </c>
      <c r="AR106" s="37"/>
      <c r="AS106" s="46">
        <v>0</v>
      </c>
    </row>
    <row r="107" ht="54.85" customHeight="1">
      <c r="A107" t="s" s="2">
        <v>0</v>
      </c>
      <c r="B107" s="33"/>
      <c r="C107" s="34"/>
      <c r="D107" s="35"/>
      <c r="E107" s="49"/>
      <c r="F107" s="50"/>
      <c r="G107" s="49"/>
      <c r="H107" s="49"/>
      <c r="I107" t="s" s="51">
        <v>0</v>
      </c>
      <c r="J107" s="38"/>
      <c r="K107" s="52"/>
      <c r="L107" s="52"/>
      <c r="M107" s="52"/>
      <c r="N107" s="52"/>
      <c r="O107" s="52"/>
      <c r="P107" s="40">
        <f>K107-L107-O107+N107</f>
        <v>0</v>
      </c>
      <c r="Q107" s="52"/>
      <c r="R107" s="52"/>
      <c r="S107" s="40">
        <f>L107</f>
        <v>0</v>
      </c>
      <c r="T107" s="52">
        <f>P107+R107-Q107+M107</f>
        <v>0</v>
      </c>
      <c r="U107" s="52">
        <f>T107-V107-W107-X107</f>
        <v>0</v>
      </c>
      <c r="V107" s="41">
        <f>P107*0.03</f>
        <v>0</v>
      </c>
      <c r="W107" s="41">
        <f>P107*0.04</f>
        <v>0</v>
      </c>
      <c r="X107" s="41">
        <f>P107*0.05</f>
        <v>0</v>
      </c>
      <c r="Y107" s="42">
        <f>P107*0.05</f>
        <v>0</v>
      </c>
      <c r="Z107" s="52">
        <f>T107-Y107</f>
        <v>0</v>
      </c>
      <c r="AA107" s="52">
        <f>U107-Y107</f>
        <v>0</v>
      </c>
      <c r="AB107" s="43"/>
      <c r="AC107" t="s" s="51">
        <v>0</v>
      </c>
      <c r="AD107" t="s" s="51">
        <v>0</v>
      </c>
      <c r="AE107" t="s" s="51">
        <v>0</v>
      </c>
      <c r="AF107" t="s" s="44">
        <v>0</v>
      </c>
      <c r="AG107" s="54"/>
      <c r="AH107" s="52"/>
      <c r="AI107" s="41">
        <f>AH107-T107-U107</f>
        <v>0</v>
      </c>
      <c r="AJ107" t="s" s="44">
        <v>0</v>
      </c>
      <c r="AK107" s="54"/>
      <c r="AL107" s="52"/>
      <c r="AM107" s="41">
        <f>AL107-Z107-AA107</f>
        <v>0</v>
      </c>
      <c r="AN107" t="s" s="44">
        <v>0</v>
      </c>
      <c r="AO107" s="54"/>
      <c r="AP107" s="52"/>
      <c r="AQ107" s="41">
        <f>AP107-Y107</f>
        <v>0</v>
      </c>
      <c r="AR107" s="51"/>
      <c r="AS107" s="55">
        <v>0</v>
      </c>
    </row>
    <row r="108" ht="54.85" customHeight="1">
      <c r="A108" t="s" s="2">
        <v>0</v>
      </c>
      <c r="B108" s="33"/>
      <c r="C108" s="34"/>
      <c r="D108" s="35"/>
      <c r="E108" s="34"/>
      <c r="F108" s="36"/>
      <c r="G108" s="34"/>
      <c r="H108" s="34"/>
      <c r="I108" t="s" s="37">
        <v>0</v>
      </c>
      <c r="J108" s="38"/>
      <c r="K108" s="39"/>
      <c r="L108" s="39"/>
      <c r="M108" s="39"/>
      <c r="N108" s="39"/>
      <c r="O108" s="39"/>
      <c r="P108" s="40">
        <f>K108-L108-O108+N108</f>
        <v>0</v>
      </c>
      <c r="Q108" s="39"/>
      <c r="R108" s="39"/>
      <c r="S108" s="40">
        <f>L108</f>
        <v>0</v>
      </c>
      <c r="T108" s="39">
        <f>P108+R108-Q108+M108</f>
        <v>0</v>
      </c>
      <c r="U108" s="39">
        <f>T108-V108-W108-X108</f>
        <v>0</v>
      </c>
      <c r="V108" s="41">
        <f>P108*0.03</f>
        <v>0</v>
      </c>
      <c r="W108" s="41">
        <f>P108*0.04</f>
        <v>0</v>
      </c>
      <c r="X108" s="41">
        <f>P108*0.05</f>
        <v>0</v>
      </c>
      <c r="Y108" s="42">
        <f>P108*0.05</f>
        <v>0</v>
      </c>
      <c r="Z108" s="39">
        <f>T108-Y108</f>
        <v>0</v>
      </c>
      <c r="AA108" s="39">
        <f>U108-Y108</f>
        <v>0</v>
      </c>
      <c r="AB108" s="43"/>
      <c r="AC108" t="s" s="37">
        <v>0</v>
      </c>
      <c r="AD108" t="s" s="37">
        <v>0</v>
      </c>
      <c r="AE108" t="s" s="37">
        <v>0</v>
      </c>
      <c r="AF108" t="s" s="44">
        <v>0</v>
      </c>
      <c r="AG108" s="45"/>
      <c r="AH108" s="39"/>
      <c r="AI108" s="41">
        <f>AH108-T108-U108</f>
        <v>0</v>
      </c>
      <c r="AJ108" t="s" s="44">
        <v>0</v>
      </c>
      <c r="AK108" s="45"/>
      <c r="AL108" s="39"/>
      <c r="AM108" s="41">
        <f>AL108-Z108-AA108</f>
        <v>0</v>
      </c>
      <c r="AN108" t="s" s="44">
        <v>0</v>
      </c>
      <c r="AO108" s="45"/>
      <c r="AP108" s="39"/>
      <c r="AQ108" s="41">
        <f>AP108-Y108</f>
        <v>0</v>
      </c>
      <c r="AR108" s="37"/>
      <c r="AS108" s="46">
        <v>0</v>
      </c>
    </row>
    <row r="109" ht="54.85" customHeight="1">
      <c r="A109" t="s" s="2">
        <v>0</v>
      </c>
      <c r="B109" s="33"/>
      <c r="C109" s="34"/>
      <c r="D109" s="35"/>
      <c r="E109" s="49"/>
      <c r="F109" s="50"/>
      <c r="G109" s="49"/>
      <c r="H109" s="49"/>
      <c r="I109" t="s" s="51">
        <v>0</v>
      </c>
      <c r="J109" s="38"/>
      <c r="K109" s="52"/>
      <c r="L109" s="52"/>
      <c r="M109" s="52"/>
      <c r="N109" s="52"/>
      <c r="O109" s="52"/>
      <c r="P109" s="40">
        <f>K109-L109-O109+N109</f>
        <v>0</v>
      </c>
      <c r="Q109" s="52"/>
      <c r="R109" s="52"/>
      <c r="S109" s="40">
        <f>L109</f>
        <v>0</v>
      </c>
      <c r="T109" s="52">
        <f>P109+R109-Q109+M109</f>
        <v>0</v>
      </c>
      <c r="U109" s="52">
        <f>T109-V109-W109-X109</f>
        <v>0</v>
      </c>
      <c r="V109" s="41">
        <f>P109*0.03</f>
        <v>0</v>
      </c>
      <c r="W109" s="41">
        <f>P109*0.04</f>
        <v>0</v>
      </c>
      <c r="X109" s="41">
        <f>P109*0.05</f>
        <v>0</v>
      </c>
      <c r="Y109" s="42">
        <f>P109*0.05</f>
        <v>0</v>
      </c>
      <c r="Z109" s="52">
        <f>T109-Y109</f>
        <v>0</v>
      </c>
      <c r="AA109" s="52">
        <f>U109-Y109</f>
        <v>0</v>
      </c>
      <c r="AB109" s="43"/>
      <c r="AC109" t="s" s="51">
        <v>0</v>
      </c>
      <c r="AD109" t="s" s="51">
        <v>0</v>
      </c>
      <c r="AE109" t="s" s="51">
        <v>0</v>
      </c>
      <c r="AF109" t="s" s="44">
        <v>0</v>
      </c>
      <c r="AG109" s="54"/>
      <c r="AH109" s="52"/>
      <c r="AI109" s="41">
        <f>AH109-T109-U109</f>
        <v>0</v>
      </c>
      <c r="AJ109" t="s" s="44">
        <v>0</v>
      </c>
      <c r="AK109" s="54"/>
      <c r="AL109" s="52"/>
      <c r="AM109" s="41">
        <f>AL109-Z109-AA109</f>
        <v>0</v>
      </c>
      <c r="AN109" t="s" s="44">
        <v>0</v>
      </c>
      <c r="AO109" s="54"/>
      <c r="AP109" s="52"/>
      <c r="AQ109" s="41">
        <f>AP109-Y109</f>
        <v>0</v>
      </c>
      <c r="AR109" s="51"/>
      <c r="AS109" s="55">
        <v>0</v>
      </c>
    </row>
    <row r="110" ht="54.85" customHeight="1">
      <c r="A110" t="s" s="2">
        <v>0</v>
      </c>
      <c r="B110" s="33"/>
      <c r="C110" s="34"/>
      <c r="D110" s="35"/>
      <c r="E110" s="34"/>
      <c r="F110" s="36"/>
      <c r="G110" s="34"/>
      <c r="H110" s="34"/>
      <c r="I110" t="s" s="37">
        <v>0</v>
      </c>
      <c r="J110" s="38"/>
      <c r="K110" s="39"/>
      <c r="L110" s="39"/>
      <c r="M110" s="39"/>
      <c r="N110" s="39"/>
      <c r="O110" s="39"/>
      <c r="P110" s="40">
        <f>K110-L110-O110+N110</f>
        <v>0</v>
      </c>
      <c r="Q110" s="39"/>
      <c r="R110" s="39"/>
      <c r="S110" s="40">
        <f>L110</f>
        <v>0</v>
      </c>
      <c r="T110" s="39">
        <f>P110+R110-Q110+M110</f>
        <v>0</v>
      </c>
      <c r="U110" s="39">
        <f>T110-V110-W110-X110</f>
        <v>0</v>
      </c>
      <c r="V110" s="41">
        <f>P110*0.03</f>
        <v>0</v>
      </c>
      <c r="W110" s="41">
        <f>P110*0.04</f>
        <v>0</v>
      </c>
      <c r="X110" s="41">
        <f>P110*0.05</f>
        <v>0</v>
      </c>
      <c r="Y110" s="42">
        <f>P110*0.05</f>
        <v>0</v>
      </c>
      <c r="Z110" s="39">
        <f>T110-Y110</f>
        <v>0</v>
      </c>
      <c r="AA110" s="39">
        <f>U110-Y110</f>
        <v>0</v>
      </c>
      <c r="AB110" s="43"/>
      <c r="AC110" t="s" s="37">
        <v>0</v>
      </c>
      <c r="AD110" t="s" s="37">
        <v>0</v>
      </c>
      <c r="AE110" t="s" s="37">
        <v>0</v>
      </c>
      <c r="AF110" t="s" s="44">
        <v>0</v>
      </c>
      <c r="AG110" s="45"/>
      <c r="AH110" s="39"/>
      <c r="AI110" s="41">
        <f>AH110-T110-U110</f>
        <v>0</v>
      </c>
      <c r="AJ110" t="s" s="44">
        <v>0</v>
      </c>
      <c r="AK110" s="45"/>
      <c r="AL110" s="39"/>
      <c r="AM110" s="41">
        <f>AL110-Z110-AA110</f>
        <v>0</v>
      </c>
      <c r="AN110" t="s" s="44">
        <v>0</v>
      </c>
      <c r="AO110" s="45"/>
      <c r="AP110" s="39"/>
      <c r="AQ110" s="41">
        <f>AP110-Y110</f>
        <v>0</v>
      </c>
      <c r="AR110" s="37"/>
      <c r="AS110" s="46">
        <v>0</v>
      </c>
    </row>
    <row r="111" ht="54.85" customHeight="1">
      <c r="A111" t="s" s="2">
        <v>0</v>
      </c>
      <c r="B111" s="33"/>
      <c r="C111" s="34"/>
      <c r="D111" s="35"/>
      <c r="E111" s="49"/>
      <c r="F111" s="50"/>
      <c r="G111" s="49"/>
      <c r="H111" s="49"/>
      <c r="I111" t="s" s="51">
        <v>0</v>
      </c>
      <c r="J111" s="38"/>
      <c r="K111" s="52"/>
      <c r="L111" s="52"/>
      <c r="M111" s="52"/>
      <c r="N111" s="52"/>
      <c r="O111" s="52"/>
      <c r="P111" s="40">
        <f>K111-L111-O111+N111</f>
        <v>0</v>
      </c>
      <c r="Q111" s="52"/>
      <c r="R111" s="52"/>
      <c r="S111" s="40">
        <f>L111</f>
        <v>0</v>
      </c>
      <c r="T111" s="52">
        <f>P111+R111-Q111+M111</f>
        <v>0</v>
      </c>
      <c r="U111" s="52">
        <f>T111-V111-W111-X111</f>
        <v>0</v>
      </c>
      <c r="V111" s="41">
        <f>P111*0.03</f>
        <v>0</v>
      </c>
      <c r="W111" s="41">
        <f>P111*0.04</f>
        <v>0</v>
      </c>
      <c r="X111" s="41">
        <f>P111*0.05</f>
        <v>0</v>
      </c>
      <c r="Y111" s="42">
        <f>P111*0.05</f>
        <v>0</v>
      </c>
      <c r="Z111" s="52">
        <f>T111-Y111</f>
        <v>0</v>
      </c>
      <c r="AA111" s="52">
        <f>U111-Y111</f>
        <v>0</v>
      </c>
      <c r="AB111" s="43"/>
      <c r="AC111" t="s" s="51">
        <v>0</v>
      </c>
      <c r="AD111" t="s" s="51">
        <v>0</v>
      </c>
      <c r="AE111" t="s" s="51">
        <v>0</v>
      </c>
      <c r="AF111" t="s" s="44">
        <v>0</v>
      </c>
      <c r="AG111" s="54"/>
      <c r="AH111" s="52"/>
      <c r="AI111" s="41">
        <f>AH111-T111-U111</f>
        <v>0</v>
      </c>
      <c r="AJ111" t="s" s="44">
        <v>0</v>
      </c>
      <c r="AK111" s="54"/>
      <c r="AL111" s="52"/>
      <c r="AM111" s="41">
        <f>AL111-Z111-AA111</f>
        <v>0</v>
      </c>
      <c r="AN111" t="s" s="44">
        <v>0</v>
      </c>
      <c r="AO111" s="54"/>
      <c r="AP111" s="52"/>
      <c r="AQ111" s="41">
        <f>AP111-Y111</f>
        <v>0</v>
      </c>
      <c r="AR111" s="51"/>
      <c r="AS111" s="55">
        <v>0</v>
      </c>
    </row>
    <row r="112" ht="54.85" customHeight="1">
      <c r="A112" t="s" s="2">
        <v>0</v>
      </c>
      <c r="B112" s="33"/>
      <c r="C112" s="34"/>
      <c r="D112" s="35"/>
      <c r="E112" s="34"/>
      <c r="F112" s="36"/>
      <c r="G112" s="34"/>
      <c r="H112" s="34"/>
      <c r="I112" t="s" s="37">
        <v>0</v>
      </c>
      <c r="J112" s="38"/>
      <c r="K112" s="39"/>
      <c r="L112" s="39"/>
      <c r="M112" s="39"/>
      <c r="N112" s="39"/>
      <c r="O112" s="39"/>
      <c r="P112" s="40">
        <f>K112-L112-O112+N112</f>
        <v>0</v>
      </c>
      <c r="Q112" s="39"/>
      <c r="R112" s="39"/>
      <c r="S112" s="40">
        <f>L112</f>
        <v>0</v>
      </c>
      <c r="T112" s="39">
        <f>P112+R112-Q112+M112</f>
        <v>0</v>
      </c>
      <c r="U112" s="39">
        <f>T112-V112-W112-X112</f>
        <v>0</v>
      </c>
      <c r="V112" s="41">
        <f>P112*0.03</f>
        <v>0</v>
      </c>
      <c r="W112" s="41">
        <f>P112*0.04</f>
        <v>0</v>
      </c>
      <c r="X112" s="41">
        <f>P112*0.05</f>
        <v>0</v>
      </c>
      <c r="Y112" s="42">
        <f>P112*0.05</f>
        <v>0</v>
      </c>
      <c r="Z112" s="39">
        <f>T112-Y112</f>
        <v>0</v>
      </c>
      <c r="AA112" s="39">
        <f>U112-Y112</f>
        <v>0</v>
      </c>
      <c r="AB112" s="43"/>
      <c r="AC112" t="s" s="37">
        <v>0</v>
      </c>
      <c r="AD112" t="s" s="37">
        <v>0</v>
      </c>
      <c r="AE112" t="s" s="37">
        <v>0</v>
      </c>
      <c r="AF112" t="s" s="44">
        <v>0</v>
      </c>
      <c r="AG112" s="45"/>
      <c r="AH112" s="39"/>
      <c r="AI112" s="41">
        <f>AH112-T112-U112</f>
        <v>0</v>
      </c>
      <c r="AJ112" t="s" s="44">
        <v>0</v>
      </c>
      <c r="AK112" s="45"/>
      <c r="AL112" s="39"/>
      <c r="AM112" s="41">
        <f>AL112-Z112-AA112</f>
        <v>0</v>
      </c>
      <c r="AN112" t="s" s="44">
        <v>0</v>
      </c>
      <c r="AO112" s="45"/>
      <c r="AP112" s="39"/>
      <c r="AQ112" s="41">
        <f>AP112-Y112</f>
        <v>0</v>
      </c>
      <c r="AR112" s="37"/>
      <c r="AS112" s="46">
        <v>0</v>
      </c>
    </row>
    <row r="113" ht="54.85" customHeight="1">
      <c r="A113" t="s" s="2">
        <v>0</v>
      </c>
      <c r="B113" s="33"/>
      <c r="C113" s="34"/>
      <c r="D113" s="35"/>
      <c r="E113" s="49"/>
      <c r="F113" s="50"/>
      <c r="G113" s="49"/>
      <c r="H113" s="49"/>
      <c r="I113" t="s" s="51">
        <v>0</v>
      </c>
      <c r="J113" s="38"/>
      <c r="K113" s="52"/>
      <c r="L113" s="52"/>
      <c r="M113" s="52"/>
      <c r="N113" s="52"/>
      <c r="O113" s="52"/>
      <c r="P113" s="40">
        <f>K113-L113-O113+N113</f>
        <v>0</v>
      </c>
      <c r="Q113" s="52"/>
      <c r="R113" s="52"/>
      <c r="S113" s="40">
        <f>L113</f>
        <v>0</v>
      </c>
      <c r="T113" s="52">
        <f>P113+R113-Q113+M113</f>
        <v>0</v>
      </c>
      <c r="U113" s="52">
        <f>T113-V113-W113-X113</f>
        <v>0</v>
      </c>
      <c r="V113" s="41">
        <f>P113*0.03</f>
        <v>0</v>
      </c>
      <c r="W113" s="41">
        <f>P113*0.04</f>
        <v>0</v>
      </c>
      <c r="X113" s="41">
        <f>P113*0.05</f>
        <v>0</v>
      </c>
      <c r="Y113" s="42">
        <f>P113*0.05</f>
        <v>0</v>
      </c>
      <c r="Z113" s="52">
        <f>T113-Y113</f>
        <v>0</v>
      </c>
      <c r="AA113" s="52">
        <f>U113-Y113</f>
        <v>0</v>
      </c>
      <c r="AB113" s="43"/>
      <c r="AC113" t="s" s="51">
        <v>0</v>
      </c>
      <c r="AD113" t="s" s="51">
        <v>0</v>
      </c>
      <c r="AE113" t="s" s="51">
        <v>0</v>
      </c>
      <c r="AF113" t="s" s="44">
        <v>0</v>
      </c>
      <c r="AG113" s="54"/>
      <c r="AH113" s="52"/>
      <c r="AI113" s="41">
        <f>AH113-T113-U113</f>
        <v>0</v>
      </c>
      <c r="AJ113" t="s" s="44">
        <v>0</v>
      </c>
      <c r="AK113" s="54"/>
      <c r="AL113" s="52"/>
      <c r="AM113" s="41">
        <f>AL113-Z113-AA113</f>
        <v>0</v>
      </c>
      <c r="AN113" t="s" s="44">
        <v>0</v>
      </c>
      <c r="AO113" s="54"/>
      <c r="AP113" s="52"/>
      <c r="AQ113" s="41">
        <f>AP113-Y113</f>
        <v>0</v>
      </c>
      <c r="AR113" s="51"/>
      <c r="AS113" s="55">
        <v>0</v>
      </c>
    </row>
    <row r="114" ht="54.85" customHeight="1">
      <c r="A114" t="s" s="2">
        <v>0</v>
      </c>
      <c r="B114" s="33"/>
      <c r="C114" s="34"/>
      <c r="D114" s="35"/>
      <c r="E114" s="34"/>
      <c r="F114" s="36"/>
      <c r="G114" s="34"/>
      <c r="H114" s="34"/>
      <c r="I114" t="s" s="37">
        <v>0</v>
      </c>
      <c r="J114" s="38"/>
      <c r="K114" s="39"/>
      <c r="L114" s="39"/>
      <c r="M114" s="39"/>
      <c r="N114" s="39"/>
      <c r="O114" s="39"/>
      <c r="P114" s="40">
        <f>K114-L114-O114+N114</f>
        <v>0</v>
      </c>
      <c r="Q114" s="39"/>
      <c r="R114" s="39"/>
      <c r="S114" s="40">
        <f>L114</f>
        <v>0</v>
      </c>
      <c r="T114" s="39">
        <f>P114+R114-Q114+M114</f>
        <v>0</v>
      </c>
      <c r="U114" s="39">
        <f>T114-V114-W114-X114</f>
        <v>0</v>
      </c>
      <c r="V114" s="41">
        <f>P114*0.03</f>
        <v>0</v>
      </c>
      <c r="W114" s="41">
        <f>P114*0.04</f>
        <v>0</v>
      </c>
      <c r="X114" s="41">
        <f>P114*0.05</f>
        <v>0</v>
      </c>
      <c r="Y114" s="42">
        <f>P114*0.05</f>
        <v>0</v>
      </c>
      <c r="Z114" s="39">
        <f>T114-Y114</f>
        <v>0</v>
      </c>
      <c r="AA114" s="39">
        <f>U114-Y114</f>
        <v>0</v>
      </c>
      <c r="AB114" s="43"/>
      <c r="AC114" t="s" s="37">
        <v>0</v>
      </c>
      <c r="AD114" t="s" s="37">
        <v>0</v>
      </c>
      <c r="AE114" t="s" s="37">
        <v>0</v>
      </c>
      <c r="AF114" t="s" s="44">
        <v>0</v>
      </c>
      <c r="AG114" s="45"/>
      <c r="AH114" s="39"/>
      <c r="AI114" s="41">
        <f>AH114-T114-U114</f>
        <v>0</v>
      </c>
      <c r="AJ114" t="s" s="44">
        <v>0</v>
      </c>
      <c r="AK114" s="45"/>
      <c r="AL114" s="39"/>
      <c r="AM114" s="41">
        <f>AL114-Z114-AA114</f>
        <v>0</v>
      </c>
      <c r="AN114" t="s" s="44">
        <v>0</v>
      </c>
      <c r="AO114" s="45"/>
      <c r="AP114" s="39"/>
      <c r="AQ114" s="41">
        <f>AP114-Y114</f>
        <v>0</v>
      </c>
      <c r="AR114" s="37"/>
      <c r="AS114" s="46">
        <v>0</v>
      </c>
    </row>
    <row r="115" ht="54.85" customHeight="1">
      <c r="A115" t="s" s="2">
        <v>0</v>
      </c>
      <c r="B115" s="33"/>
      <c r="C115" s="34"/>
      <c r="D115" s="35"/>
      <c r="E115" s="49"/>
      <c r="F115" s="50"/>
      <c r="G115" s="49"/>
      <c r="H115" s="49"/>
      <c r="I115" t="s" s="51">
        <v>0</v>
      </c>
      <c r="J115" s="38"/>
      <c r="K115" s="52"/>
      <c r="L115" s="52"/>
      <c r="M115" s="52"/>
      <c r="N115" s="52"/>
      <c r="O115" s="52"/>
      <c r="P115" s="40">
        <f>K115-L115-O115+N115</f>
        <v>0</v>
      </c>
      <c r="Q115" s="52"/>
      <c r="R115" s="52"/>
      <c r="S115" s="40">
        <f>L115</f>
        <v>0</v>
      </c>
      <c r="T115" s="52">
        <f>P115+R115-Q115+M115</f>
        <v>0</v>
      </c>
      <c r="U115" s="52">
        <f>T115-V115-W115-X115</f>
        <v>0</v>
      </c>
      <c r="V115" s="41">
        <f>P115*0.03</f>
        <v>0</v>
      </c>
      <c r="W115" s="41">
        <f>P115*0.04</f>
        <v>0</v>
      </c>
      <c r="X115" s="41">
        <f>P115*0.05</f>
        <v>0</v>
      </c>
      <c r="Y115" s="42">
        <f>P115*0.05</f>
        <v>0</v>
      </c>
      <c r="Z115" s="52">
        <f>T115-Y115</f>
        <v>0</v>
      </c>
      <c r="AA115" s="52">
        <f>U115-Y115</f>
        <v>0</v>
      </c>
      <c r="AB115" s="43"/>
      <c r="AC115" t="s" s="51">
        <v>0</v>
      </c>
      <c r="AD115" t="s" s="51">
        <v>0</v>
      </c>
      <c r="AE115" t="s" s="51">
        <v>0</v>
      </c>
      <c r="AF115" t="s" s="44">
        <v>0</v>
      </c>
      <c r="AG115" s="54"/>
      <c r="AH115" s="52"/>
      <c r="AI115" s="41">
        <f>AH115-T115-U115</f>
        <v>0</v>
      </c>
      <c r="AJ115" t="s" s="44">
        <v>0</v>
      </c>
      <c r="AK115" s="54"/>
      <c r="AL115" s="52"/>
      <c r="AM115" s="41">
        <f>AL115-Z115-AA115</f>
        <v>0</v>
      </c>
      <c r="AN115" t="s" s="44">
        <v>0</v>
      </c>
      <c r="AO115" s="54"/>
      <c r="AP115" s="52"/>
      <c r="AQ115" s="41">
        <f>AP115-Y115</f>
        <v>0</v>
      </c>
      <c r="AR115" s="51"/>
      <c r="AS115" s="55">
        <v>0</v>
      </c>
    </row>
    <row r="116" ht="54.85" customHeight="1">
      <c r="A116" t="s" s="2">
        <v>0</v>
      </c>
      <c r="B116" s="33"/>
      <c r="C116" s="34"/>
      <c r="D116" s="35"/>
      <c r="E116" s="34"/>
      <c r="F116" s="36"/>
      <c r="G116" s="34"/>
      <c r="H116" s="34"/>
      <c r="I116" t="s" s="37">
        <v>0</v>
      </c>
      <c r="J116" s="38"/>
      <c r="K116" s="39"/>
      <c r="L116" s="39"/>
      <c r="M116" s="39"/>
      <c r="N116" s="39"/>
      <c r="O116" s="39"/>
      <c r="P116" s="40">
        <f>K116-L116-O116+N116</f>
        <v>0</v>
      </c>
      <c r="Q116" s="39"/>
      <c r="R116" s="39"/>
      <c r="S116" s="40">
        <f>L116</f>
        <v>0</v>
      </c>
      <c r="T116" s="39">
        <f>P116+R116-Q116+M116</f>
        <v>0</v>
      </c>
      <c r="U116" s="39">
        <f>T116-V116-W116-X116</f>
        <v>0</v>
      </c>
      <c r="V116" s="41">
        <f>P116*0.03</f>
        <v>0</v>
      </c>
      <c r="W116" s="41">
        <f>P116*0.04</f>
        <v>0</v>
      </c>
      <c r="X116" s="41">
        <f>P116*0.05</f>
        <v>0</v>
      </c>
      <c r="Y116" s="42">
        <f>P116*0.05</f>
        <v>0</v>
      </c>
      <c r="Z116" s="39">
        <f>T116-Y116</f>
        <v>0</v>
      </c>
      <c r="AA116" s="39">
        <f>U116-Y116</f>
        <v>0</v>
      </c>
      <c r="AB116" s="43"/>
      <c r="AC116" t="s" s="37">
        <v>0</v>
      </c>
      <c r="AD116" t="s" s="37">
        <v>0</v>
      </c>
      <c r="AE116" t="s" s="37">
        <v>0</v>
      </c>
      <c r="AF116" t="s" s="44">
        <v>0</v>
      </c>
      <c r="AG116" s="45"/>
      <c r="AH116" s="39"/>
      <c r="AI116" s="41">
        <f>AH116-T116-U116</f>
        <v>0</v>
      </c>
      <c r="AJ116" t="s" s="44">
        <v>0</v>
      </c>
      <c r="AK116" s="45"/>
      <c r="AL116" s="39"/>
      <c r="AM116" s="41">
        <f>AL116-Z116-AA116</f>
        <v>0</v>
      </c>
      <c r="AN116" t="s" s="44">
        <v>0</v>
      </c>
      <c r="AO116" s="45"/>
      <c r="AP116" s="39"/>
      <c r="AQ116" s="41">
        <f>AP116-Y116</f>
        <v>0</v>
      </c>
      <c r="AR116" s="37"/>
      <c r="AS116" s="46">
        <v>0</v>
      </c>
    </row>
    <row r="117" ht="54.85" customHeight="1">
      <c r="A117" t="s" s="2">
        <v>0</v>
      </c>
      <c r="B117" s="33"/>
      <c r="C117" s="34"/>
      <c r="D117" s="35"/>
      <c r="E117" s="49"/>
      <c r="F117" s="50"/>
      <c r="G117" s="49"/>
      <c r="H117" s="49"/>
      <c r="I117" t="s" s="51">
        <v>0</v>
      </c>
      <c r="J117" s="38"/>
      <c r="K117" s="52"/>
      <c r="L117" s="52"/>
      <c r="M117" s="52"/>
      <c r="N117" s="52"/>
      <c r="O117" s="52"/>
      <c r="P117" s="40">
        <f>K117-L117-O117+N117</f>
        <v>0</v>
      </c>
      <c r="Q117" s="52"/>
      <c r="R117" s="52"/>
      <c r="S117" s="40">
        <f>L117</f>
        <v>0</v>
      </c>
      <c r="T117" s="52">
        <f>P117+R117-Q117+M117</f>
        <v>0</v>
      </c>
      <c r="U117" s="52">
        <f>T117-V117-W117-X117</f>
        <v>0</v>
      </c>
      <c r="V117" s="41">
        <f>P117*0.03</f>
        <v>0</v>
      </c>
      <c r="W117" s="41">
        <f>P117*0.04</f>
        <v>0</v>
      </c>
      <c r="X117" s="41">
        <f>P117*0.05</f>
        <v>0</v>
      </c>
      <c r="Y117" s="42">
        <f>P117*0.05</f>
        <v>0</v>
      </c>
      <c r="Z117" s="52">
        <f>T117-Y117</f>
        <v>0</v>
      </c>
      <c r="AA117" s="52">
        <f>U117-Y117</f>
        <v>0</v>
      </c>
      <c r="AB117" s="43"/>
      <c r="AC117" t="s" s="51">
        <v>0</v>
      </c>
      <c r="AD117" t="s" s="51">
        <v>0</v>
      </c>
      <c r="AE117" t="s" s="51">
        <v>0</v>
      </c>
      <c r="AF117" t="s" s="44">
        <v>0</v>
      </c>
      <c r="AG117" s="54"/>
      <c r="AH117" s="52"/>
      <c r="AI117" s="41">
        <f>AH117-T117-U117</f>
        <v>0</v>
      </c>
      <c r="AJ117" t="s" s="44">
        <v>0</v>
      </c>
      <c r="AK117" s="54"/>
      <c r="AL117" s="52"/>
      <c r="AM117" s="41">
        <f>AL117-Z117-AA117</f>
        <v>0</v>
      </c>
      <c r="AN117" t="s" s="44">
        <v>0</v>
      </c>
      <c r="AO117" s="54"/>
      <c r="AP117" s="52"/>
      <c r="AQ117" s="41">
        <f>AP117-Y117</f>
        <v>0</v>
      </c>
      <c r="AR117" s="51"/>
      <c r="AS117" s="55">
        <v>0</v>
      </c>
    </row>
    <row r="118" ht="54.85" customHeight="1">
      <c r="A118" t="s" s="2">
        <v>0</v>
      </c>
      <c r="B118" s="33"/>
      <c r="C118" s="34"/>
      <c r="D118" s="35"/>
      <c r="E118" s="34"/>
      <c r="F118" s="36"/>
      <c r="G118" s="34"/>
      <c r="H118" s="34"/>
      <c r="I118" t="s" s="37">
        <v>0</v>
      </c>
      <c r="J118" s="38"/>
      <c r="K118" s="39"/>
      <c r="L118" s="39"/>
      <c r="M118" s="39"/>
      <c r="N118" s="39"/>
      <c r="O118" s="39"/>
      <c r="P118" s="40">
        <f>K118-L118-O118+N118</f>
        <v>0</v>
      </c>
      <c r="Q118" s="39"/>
      <c r="R118" s="39"/>
      <c r="S118" s="40">
        <f>L118</f>
        <v>0</v>
      </c>
      <c r="T118" s="39">
        <f>P118+R118-Q118+M118</f>
        <v>0</v>
      </c>
      <c r="U118" s="39">
        <f>T118-V118-W118-X118</f>
        <v>0</v>
      </c>
      <c r="V118" s="41">
        <f>P118*0.03</f>
        <v>0</v>
      </c>
      <c r="W118" s="41">
        <f>P118*0.04</f>
        <v>0</v>
      </c>
      <c r="X118" s="41">
        <f>P118*0.05</f>
        <v>0</v>
      </c>
      <c r="Y118" s="42">
        <f>P118*0.05</f>
        <v>0</v>
      </c>
      <c r="Z118" s="39">
        <f>T118-Y118</f>
        <v>0</v>
      </c>
      <c r="AA118" s="39">
        <f>U118-Y118</f>
        <v>0</v>
      </c>
      <c r="AB118" s="43"/>
      <c r="AC118" t="s" s="37">
        <v>0</v>
      </c>
      <c r="AD118" t="s" s="37">
        <v>0</v>
      </c>
      <c r="AE118" t="s" s="37">
        <v>0</v>
      </c>
      <c r="AF118" t="s" s="44">
        <v>0</v>
      </c>
      <c r="AG118" s="45"/>
      <c r="AH118" s="39"/>
      <c r="AI118" s="41">
        <f>AH118-T118-U118</f>
        <v>0</v>
      </c>
      <c r="AJ118" t="s" s="44">
        <v>0</v>
      </c>
      <c r="AK118" s="45"/>
      <c r="AL118" s="39"/>
      <c r="AM118" s="41">
        <f>AL118-Z118-AA118</f>
        <v>0</v>
      </c>
      <c r="AN118" t="s" s="44">
        <v>0</v>
      </c>
      <c r="AO118" s="45"/>
      <c r="AP118" s="39"/>
      <c r="AQ118" s="41">
        <f>AP118-Y118</f>
        <v>0</v>
      </c>
      <c r="AR118" s="37"/>
      <c r="AS118" s="46">
        <v>0</v>
      </c>
    </row>
    <row r="119" ht="54.85" customHeight="1">
      <c r="A119" t="s" s="2">
        <v>0</v>
      </c>
      <c r="B119" s="33"/>
      <c r="C119" s="34"/>
      <c r="D119" s="35"/>
      <c r="E119" s="49"/>
      <c r="F119" s="50"/>
      <c r="G119" s="49"/>
      <c r="H119" s="49"/>
      <c r="I119" t="s" s="51">
        <v>0</v>
      </c>
      <c r="J119" s="38"/>
      <c r="K119" s="52"/>
      <c r="L119" s="52"/>
      <c r="M119" s="52"/>
      <c r="N119" s="52"/>
      <c r="O119" s="52"/>
      <c r="P119" s="40">
        <f>K119-L119-O119+N119</f>
        <v>0</v>
      </c>
      <c r="Q119" s="52"/>
      <c r="R119" s="52"/>
      <c r="S119" s="40">
        <f>L119</f>
        <v>0</v>
      </c>
      <c r="T119" s="52">
        <f>P119+R119-Q119+M119</f>
        <v>0</v>
      </c>
      <c r="U119" s="52">
        <f>T119-V119-W119-X119</f>
        <v>0</v>
      </c>
      <c r="V119" s="41">
        <f>P119*0.03</f>
        <v>0</v>
      </c>
      <c r="W119" s="41">
        <f>P119*0.04</f>
        <v>0</v>
      </c>
      <c r="X119" s="41">
        <f>P119*0.05</f>
        <v>0</v>
      </c>
      <c r="Y119" s="42">
        <f>P119*0.05</f>
        <v>0</v>
      </c>
      <c r="Z119" s="52">
        <f>T119-Y119</f>
        <v>0</v>
      </c>
      <c r="AA119" s="52">
        <f>U119-Y119</f>
        <v>0</v>
      </c>
      <c r="AB119" s="43"/>
      <c r="AC119" t="s" s="51">
        <v>0</v>
      </c>
      <c r="AD119" t="s" s="51">
        <v>0</v>
      </c>
      <c r="AE119" t="s" s="51">
        <v>0</v>
      </c>
      <c r="AF119" t="s" s="44">
        <v>0</v>
      </c>
      <c r="AG119" s="54"/>
      <c r="AH119" s="52"/>
      <c r="AI119" s="41">
        <f>AH119-T119-U119</f>
        <v>0</v>
      </c>
      <c r="AJ119" t="s" s="44">
        <v>0</v>
      </c>
      <c r="AK119" s="54"/>
      <c r="AL119" s="52"/>
      <c r="AM119" s="41">
        <f>AL119-Z119-AA119</f>
        <v>0</v>
      </c>
      <c r="AN119" t="s" s="44">
        <v>0</v>
      </c>
      <c r="AO119" s="54"/>
      <c r="AP119" s="52"/>
      <c r="AQ119" s="41">
        <f>AP119-Y119</f>
        <v>0</v>
      </c>
      <c r="AR119" s="51"/>
      <c r="AS119" s="55">
        <v>0</v>
      </c>
    </row>
    <row r="120" ht="54.85" customHeight="1">
      <c r="A120" t="s" s="2">
        <v>0</v>
      </c>
      <c r="B120" s="33"/>
      <c r="C120" s="34"/>
      <c r="D120" s="35"/>
      <c r="E120" s="34"/>
      <c r="F120" s="36"/>
      <c r="G120" s="34"/>
      <c r="H120" s="34"/>
      <c r="I120" t="s" s="37">
        <v>0</v>
      </c>
      <c r="J120" s="38"/>
      <c r="K120" s="39"/>
      <c r="L120" s="39"/>
      <c r="M120" s="39"/>
      <c r="N120" s="39"/>
      <c r="O120" s="39"/>
      <c r="P120" s="40">
        <f>K120-L120-O120+N120</f>
        <v>0</v>
      </c>
      <c r="Q120" s="39"/>
      <c r="R120" s="39"/>
      <c r="S120" s="40">
        <f>L120</f>
        <v>0</v>
      </c>
      <c r="T120" s="39">
        <f>P120+R120-Q120+M120</f>
        <v>0</v>
      </c>
      <c r="U120" s="39">
        <f>T120-V120-W120-X120</f>
        <v>0</v>
      </c>
      <c r="V120" s="41">
        <f>P120*0.03</f>
        <v>0</v>
      </c>
      <c r="W120" s="41">
        <f>P120*0.04</f>
        <v>0</v>
      </c>
      <c r="X120" s="41">
        <f>P120*0.05</f>
        <v>0</v>
      </c>
      <c r="Y120" s="42">
        <f>P120*0.05</f>
        <v>0</v>
      </c>
      <c r="Z120" s="39">
        <f>T120-Y120</f>
        <v>0</v>
      </c>
      <c r="AA120" s="39">
        <f>U120-Y120</f>
        <v>0</v>
      </c>
      <c r="AB120" s="43"/>
      <c r="AC120" t="s" s="37">
        <v>0</v>
      </c>
      <c r="AD120" t="s" s="37">
        <v>0</v>
      </c>
      <c r="AE120" t="s" s="37">
        <v>0</v>
      </c>
      <c r="AF120" t="s" s="44">
        <v>0</v>
      </c>
      <c r="AG120" s="45"/>
      <c r="AH120" s="39"/>
      <c r="AI120" s="41">
        <f>AH120-T120-U120</f>
        <v>0</v>
      </c>
      <c r="AJ120" t="s" s="44">
        <v>0</v>
      </c>
      <c r="AK120" s="45"/>
      <c r="AL120" s="39"/>
      <c r="AM120" s="41">
        <f>AL120-Z120-AA120</f>
        <v>0</v>
      </c>
      <c r="AN120" t="s" s="44">
        <v>0</v>
      </c>
      <c r="AO120" s="45"/>
      <c r="AP120" s="39"/>
      <c r="AQ120" s="41">
        <f>AP120-Y120</f>
        <v>0</v>
      </c>
      <c r="AR120" s="37"/>
      <c r="AS120" s="46">
        <v>0</v>
      </c>
    </row>
    <row r="121" ht="54.85" customHeight="1">
      <c r="A121" t="s" s="2">
        <v>0</v>
      </c>
      <c r="B121" s="33"/>
      <c r="C121" s="34"/>
      <c r="D121" s="35"/>
      <c r="E121" s="49"/>
      <c r="F121" s="50"/>
      <c r="G121" s="49"/>
      <c r="H121" s="49"/>
      <c r="I121" t="s" s="51">
        <v>0</v>
      </c>
      <c r="J121" s="38"/>
      <c r="K121" s="52"/>
      <c r="L121" s="52"/>
      <c r="M121" s="52"/>
      <c r="N121" s="52"/>
      <c r="O121" s="52"/>
      <c r="P121" s="40">
        <f>K121-L121-O121+N121</f>
        <v>0</v>
      </c>
      <c r="Q121" s="52"/>
      <c r="R121" s="52"/>
      <c r="S121" s="40">
        <f>L121</f>
        <v>0</v>
      </c>
      <c r="T121" s="52">
        <f>P121+R121-Q121+M121</f>
        <v>0</v>
      </c>
      <c r="U121" s="52">
        <f>T121-V121-W121-X121</f>
        <v>0</v>
      </c>
      <c r="V121" s="41">
        <f>P121*0.03</f>
        <v>0</v>
      </c>
      <c r="W121" s="41">
        <f>P121*0.04</f>
        <v>0</v>
      </c>
      <c r="X121" s="41">
        <f>P121*0.05</f>
        <v>0</v>
      </c>
      <c r="Y121" s="42">
        <f>P121*0.05</f>
        <v>0</v>
      </c>
      <c r="Z121" s="52">
        <f>T121-Y121</f>
        <v>0</v>
      </c>
      <c r="AA121" s="52">
        <f>U121-Y121</f>
        <v>0</v>
      </c>
      <c r="AB121" s="43"/>
      <c r="AC121" t="s" s="51">
        <v>0</v>
      </c>
      <c r="AD121" t="s" s="51">
        <v>0</v>
      </c>
      <c r="AE121" t="s" s="51">
        <v>0</v>
      </c>
      <c r="AF121" t="s" s="44">
        <v>0</v>
      </c>
      <c r="AG121" s="54"/>
      <c r="AH121" s="52"/>
      <c r="AI121" s="41">
        <f>AH121-T121-U121</f>
        <v>0</v>
      </c>
      <c r="AJ121" t="s" s="44">
        <v>0</v>
      </c>
      <c r="AK121" s="54"/>
      <c r="AL121" s="52"/>
      <c r="AM121" s="41">
        <f>AL121-Z121-AA121</f>
        <v>0</v>
      </c>
      <c r="AN121" t="s" s="44">
        <v>0</v>
      </c>
      <c r="AO121" s="54"/>
      <c r="AP121" s="52"/>
      <c r="AQ121" s="41">
        <f>AP121-Y121</f>
        <v>0</v>
      </c>
      <c r="AR121" s="51"/>
      <c r="AS121" s="55">
        <v>0</v>
      </c>
    </row>
    <row r="122" ht="54.85" customHeight="1">
      <c r="A122" t="s" s="2">
        <v>0</v>
      </c>
      <c r="B122" s="33"/>
      <c r="C122" s="34"/>
      <c r="D122" s="35"/>
      <c r="E122" s="34"/>
      <c r="F122" s="36"/>
      <c r="G122" s="34"/>
      <c r="H122" s="34"/>
      <c r="I122" t="s" s="37">
        <v>0</v>
      </c>
      <c r="J122" s="38"/>
      <c r="K122" s="39"/>
      <c r="L122" s="39"/>
      <c r="M122" s="39"/>
      <c r="N122" s="39"/>
      <c r="O122" s="39"/>
      <c r="P122" s="40">
        <f>K122-L122-O122+N122</f>
        <v>0</v>
      </c>
      <c r="Q122" s="39"/>
      <c r="R122" s="39"/>
      <c r="S122" s="40">
        <f>L122</f>
        <v>0</v>
      </c>
      <c r="T122" s="39">
        <f>P122+R122-Q122+M122</f>
        <v>0</v>
      </c>
      <c r="U122" s="39">
        <f>T122-V122-W122-X122</f>
        <v>0</v>
      </c>
      <c r="V122" s="41">
        <f>P122*0.03</f>
        <v>0</v>
      </c>
      <c r="W122" s="41">
        <f>P122*0.04</f>
        <v>0</v>
      </c>
      <c r="X122" s="41">
        <f>P122*0.05</f>
        <v>0</v>
      </c>
      <c r="Y122" s="42">
        <f>P122*0.05</f>
        <v>0</v>
      </c>
      <c r="Z122" s="39">
        <f>T122-Y122</f>
        <v>0</v>
      </c>
      <c r="AA122" s="39">
        <f>U122-Y122</f>
        <v>0</v>
      </c>
      <c r="AB122" s="43"/>
      <c r="AC122" t="s" s="37">
        <v>0</v>
      </c>
      <c r="AD122" t="s" s="37">
        <v>0</v>
      </c>
      <c r="AE122" t="s" s="37">
        <v>0</v>
      </c>
      <c r="AF122" t="s" s="44">
        <v>0</v>
      </c>
      <c r="AG122" s="45"/>
      <c r="AH122" s="39"/>
      <c r="AI122" s="41">
        <f>AH122-T122-U122</f>
        <v>0</v>
      </c>
      <c r="AJ122" t="s" s="44">
        <v>0</v>
      </c>
      <c r="AK122" s="45"/>
      <c r="AL122" s="39"/>
      <c r="AM122" s="41">
        <f>AL122-Z122-AA122</f>
        <v>0</v>
      </c>
      <c r="AN122" t="s" s="44">
        <v>0</v>
      </c>
      <c r="AO122" s="45"/>
      <c r="AP122" s="39"/>
      <c r="AQ122" s="41">
        <f>AP122-Y122</f>
        <v>0</v>
      </c>
      <c r="AR122" s="37"/>
      <c r="AS122" s="46">
        <v>0</v>
      </c>
    </row>
    <row r="123" ht="54.85" customHeight="1">
      <c r="A123" t="s" s="2">
        <v>0</v>
      </c>
      <c r="B123" s="33"/>
      <c r="C123" s="34"/>
      <c r="D123" s="35"/>
      <c r="E123" s="49"/>
      <c r="F123" s="50"/>
      <c r="G123" s="49"/>
      <c r="H123" s="49"/>
      <c r="I123" t="s" s="51">
        <v>0</v>
      </c>
      <c r="J123" s="38"/>
      <c r="K123" s="52"/>
      <c r="L123" s="52"/>
      <c r="M123" s="52"/>
      <c r="N123" s="52"/>
      <c r="O123" s="52"/>
      <c r="P123" s="40">
        <f>K123-L123-O123+N123</f>
        <v>0</v>
      </c>
      <c r="Q123" s="52"/>
      <c r="R123" s="52"/>
      <c r="S123" s="40">
        <f>L123</f>
        <v>0</v>
      </c>
      <c r="T123" s="52">
        <f>P123+R123-Q123+M123</f>
        <v>0</v>
      </c>
      <c r="U123" s="52">
        <f>T123-V123-W123-X123</f>
        <v>0</v>
      </c>
      <c r="V123" s="41">
        <f>P123*0.03</f>
        <v>0</v>
      </c>
      <c r="W123" s="41">
        <f>P123*0.04</f>
        <v>0</v>
      </c>
      <c r="X123" s="41">
        <f>P123*0.05</f>
        <v>0</v>
      </c>
      <c r="Y123" s="42">
        <f>P123*0.05</f>
        <v>0</v>
      </c>
      <c r="Z123" s="52">
        <f>T123-Y123</f>
        <v>0</v>
      </c>
      <c r="AA123" s="52">
        <f>U123-Y123</f>
        <v>0</v>
      </c>
      <c r="AB123" s="43"/>
      <c r="AC123" t="s" s="51">
        <v>0</v>
      </c>
      <c r="AD123" t="s" s="51">
        <v>0</v>
      </c>
      <c r="AE123" t="s" s="51">
        <v>0</v>
      </c>
      <c r="AF123" t="s" s="44">
        <v>0</v>
      </c>
      <c r="AG123" s="54"/>
      <c r="AH123" s="52"/>
      <c r="AI123" s="41">
        <f>AH123-T123-U123</f>
        <v>0</v>
      </c>
      <c r="AJ123" t="s" s="44">
        <v>0</v>
      </c>
      <c r="AK123" s="54"/>
      <c r="AL123" s="52"/>
      <c r="AM123" s="41">
        <f>AL123-Z123-AA123</f>
        <v>0</v>
      </c>
      <c r="AN123" t="s" s="44">
        <v>0</v>
      </c>
      <c r="AO123" s="54"/>
      <c r="AP123" s="52"/>
      <c r="AQ123" s="41">
        <f>AP123-Y123</f>
        <v>0</v>
      </c>
      <c r="AR123" s="51"/>
      <c r="AS123" s="55">
        <v>0</v>
      </c>
    </row>
    <row r="124" ht="54.85" customHeight="1">
      <c r="A124" t="s" s="2">
        <v>0</v>
      </c>
      <c r="B124" s="33"/>
      <c r="C124" s="34"/>
      <c r="D124" s="35"/>
      <c r="E124" s="34"/>
      <c r="F124" s="36"/>
      <c r="G124" s="34"/>
      <c r="H124" s="34"/>
      <c r="I124" t="s" s="37">
        <v>0</v>
      </c>
      <c r="J124" s="38"/>
      <c r="K124" s="39"/>
      <c r="L124" s="39"/>
      <c r="M124" s="39"/>
      <c r="N124" s="39"/>
      <c r="O124" s="39"/>
      <c r="P124" s="40">
        <f>K124-L124-O124+N124</f>
        <v>0</v>
      </c>
      <c r="Q124" s="39"/>
      <c r="R124" s="39"/>
      <c r="S124" s="40">
        <f>L124</f>
        <v>0</v>
      </c>
      <c r="T124" s="39">
        <f>P124+R124-Q124+M124</f>
        <v>0</v>
      </c>
      <c r="U124" s="39">
        <f>T124-V124-W124-X124</f>
        <v>0</v>
      </c>
      <c r="V124" s="41">
        <f>P124*0.03</f>
        <v>0</v>
      </c>
      <c r="W124" s="41">
        <f>P124*0.04</f>
        <v>0</v>
      </c>
      <c r="X124" s="41">
        <f>P124*0.05</f>
        <v>0</v>
      </c>
      <c r="Y124" s="42">
        <f>P124*0.05</f>
        <v>0</v>
      </c>
      <c r="Z124" s="39">
        <f>T124-Y124</f>
        <v>0</v>
      </c>
      <c r="AA124" s="39">
        <f>U124-Y124</f>
        <v>0</v>
      </c>
      <c r="AB124" s="43"/>
      <c r="AC124" t="s" s="37">
        <v>0</v>
      </c>
      <c r="AD124" t="s" s="37">
        <v>0</v>
      </c>
      <c r="AE124" t="s" s="37">
        <v>0</v>
      </c>
      <c r="AF124" t="s" s="44">
        <v>0</v>
      </c>
      <c r="AG124" s="45"/>
      <c r="AH124" s="39"/>
      <c r="AI124" s="41">
        <f>AH124-T124-U124</f>
        <v>0</v>
      </c>
      <c r="AJ124" t="s" s="44">
        <v>0</v>
      </c>
      <c r="AK124" s="45"/>
      <c r="AL124" s="39"/>
      <c r="AM124" s="41">
        <f>AL124-Z124-AA124</f>
        <v>0</v>
      </c>
      <c r="AN124" t="s" s="44">
        <v>0</v>
      </c>
      <c r="AO124" s="45"/>
      <c r="AP124" s="39"/>
      <c r="AQ124" s="41">
        <f>AP124-Y124</f>
        <v>0</v>
      </c>
      <c r="AR124" s="37"/>
      <c r="AS124" s="46">
        <v>0</v>
      </c>
    </row>
    <row r="125" ht="54.85" customHeight="1">
      <c r="A125" t="s" s="2">
        <v>0</v>
      </c>
      <c r="B125" s="33"/>
      <c r="C125" s="34"/>
      <c r="D125" s="35"/>
      <c r="E125" s="49"/>
      <c r="F125" s="50"/>
      <c r="G125" s="49"/>
      <c r="H125" s="49"/>
      <c r="I125" t="s" s="51">
        <v>0</v>
      </c>
      <c r="J125" s="38"/>
      <c r="K125" s="52"/>
      <c r="L125" s="52"/>
      <c r="M125" s="52"/>
      <c r="N125" s="52"/>
      <c r="O125" s="52"/>
      <c r="P125" s="40">
        <f>K125-L125-O125+N125</f>
        <v>0</v>
      </c>
      <c r="Q125" s="52"/>
      <c r="R125" s="52"/>
      <c r="S125" s="40">
        <f>L125</f>
        <v>0</v>
      </c>
      <c r="T125" s="52">
        <f>P125+R125-Q125+M125</f>
        <v>0</v>
      </c>
      <c r="U125" s="52">
        <f>T125-V125-W125-X125</f>
        <v>0</v>
      </c>
      <c r="V125" s="41">
        <f>P125*0.03</f>
        <v>0</v>
      </c>
      <c r="W125" s="41">
        <f>P125*0.04</f>
        <v>0</v>
      </c>
      <c r="X125" s="41">
        <f>P125*0.05</f>
        <v>0</v>
      </c>
      <c r="Y125" s="42">
        <f>P125*0.05</f>
        <v>0</v>
      </c>
      <c r="Z125" s="52">
        <f>T125-Y125</f>
        <v>0</v>
      </c>
      <c r="AA125" s="52">
        <f>U125-Y125</f>
        <v>0</v>
      </c>
      <c r="AB125" s="43"/>
      <c r="AC125" t="s" s="51">
        <v>0</v>
      </c>
      <c r="AD125" t="s" s="51">
        <v>0</v>
      </c>
      <c r="AE125" t="s" s="51">
        <v>0</v>
      </c>
      <c r="AF125" t="s" s="44">
        <v>0</v>
      </c>
      <c r="AG125" s="54"/>
      <c r="AH125" s="52"/>
      <c r="AI125" s="41">
        <f>AH125-T125-U125</f>
        <v>0</v>
      </c>
      <c r="AJ125" t="s" s="44">
        <v>0</v>
      </c>
      <c r="AK125" s="54"/>
      <c r="AL125" s="52"/>
      <c r="AM125" s="41">
        <f>AL125-Z125-AA125</f>
        <v>0</v>
      </c>
      <c r="AN125" t="s" s="44">
        <v>0</v>
      </c>
      <c r="AO125" s="54"/>
      <c r="AP125" s="52"/>
      <c r="AQ125" s="41">
        <f>AP125-Y125</f>
        <v>0</v>
      </c>
      <c r="AR125" s="51"/>
      <c r="AS125" s="55">
        <v>0</v>
      </c>
    </row>
    <row r="126" ht="54.85" customHeight="1">
      <c r="A126" t="s" s="2">
        <v>0</v>
      </c>
      <c r="B126" s="33"/>
      <c r="C126" s="34"/>
      <c r="D126" s="35"/>
      <c r="E126" s="34"/>
      <c r="F126" s="36"/>
      <c r="G126" s="34"/>
      <c r="H126" s="34"/>
      <c r="I126" t="s" s="37">
        <v>0</v>
      </c>
      <c r="J126" s="38"/>
      <c r="K126" s="39"/>
      <c r="L126" s="39"/>
      <c r="M126" s="39"/>
      <c r="N126" s="39"/>
      <c r="O126" s="39"/>
      <c r="P126" s="40">
        <f>K126-L126-O126+N126</f>
        <v>0</v>
      </c>
      <c r="Q126" s="39"/>
      <c r="R126" s="39"/>
      <c r="S126" s="40">
        <f>L126</f>
        <v>0</v>
      </c>
      <c r="T126" s="39">
        <f>P126+R126-Q126+M126</f>
        <v>0</v>
      </c>
      <c r="U126" s="39">
        <f>T126-V126-W126-X126</f>
        <v>0</v>
      </c>
      <c r="V126" s="41">
        <f>P126*0.03</f>
        <v>0</v>
      </c>
      <c r="W126" s="41">
        <f>P126*0.04</f>
        <v>0</v>
      </c>
      <c r="X126" s="41">
        <f>P126*0.05</f>
        <v>0</v>
      </c>
      <c r="Y126" s="42">
        <f>P126*0.05</f>
        <v>0</v>
      </c>
      <c r="Z126" s="39">
        <f>T126-Y126</f>
        <v>0</v>
      </c>
      <c r="AA126" s="39">
        <f>U126-Y126</f>
        <v>0</v>
      </c>
      <c r="AB126" s="43"/>
      <c r="AC126" t="s" s="37">
        <v>0</v>
      </c>
      <c r="AD126" t="s" s="37">
        <v>0</v>
      </c>
      <c r="AE126" t="s" s="37">
        <v>0</v>
      </c>
      <c r="AF126" t="s" s="44">
        <v>0</v>
      </c>
      <c r="AG126" s="45"/>
      <c r="AH126" s="39"/>
      <c r="AI126" s="41">
        <f>AH126-T126-U126</f>
        <v>0</v>
      </c>
      <c r="AJ126" t="s" s="44">
        <v>0</v>
      </c>
      <c r="AK126" s="45"/>
      <c r="AL126" s="39"/>
      <c r="AM126" s="41">
        <f>AL126-Z126-AA126</f>
        <v>0</v>
      </c>
      <c r="AN126" t="s" s="44">
        <v>0</v>
      </c>
      <c r="AO126" s="45"/>
      <c r="AP126" s="39"/>
      <c r="AQ126" s="41">
        <f>AP126-Y126</f>
        <v>0</v>
      </c>
      <c r="AR126" s="37"/>
      <c r="AS126" s="46">
        <v>0</v>
      </c>
    </row>
    <row r="127" ht="54.85" customHeight="1">
      <c r="A127" t="s" s="2">
        <v>0</v>
      </c>
      <c r="B127" s="33"/>
      <c r="C127" s="34"/>
      <c r="D127" s="35"/>
      <c r="E127" s="49"/>
      <c r="F127" s="50"/>
      <c r="G127" s="49"/>
      <c r="H127" s="49"/>
      <c r="I127" t="s" s="51">
        <v>0</v>
      </c>
      <c r="J127" s="38"/>
      <c r="K127" s="52"/>
      <c r="L127" s="52"/>
      <c r="M127" s="52"/>
      <c r="N127" s="52"/>
      <c r="O127" s="52"/>
      <c r="P127" s="40">
        <f>K127-L127-O127+N127</f>
        <v>0</v>
      </c>
      <c r="Q127" s="52"/>
      <c r="R127" s="52"/>
      <c r="S127" s="40">
        <f>L127</f>
        <v>0</v>
      </c>
      <c r="T127" s="52">
        <f>P127+R127-Q127+M127</f>
        <v>0</v>
      </c>
      <c r="U127" s="52">
        <f>T127-V127-W127-X127</f>
        <v>0</v>
      </c>
      <c r="V127" s="41">
        <f>P127*0.03</f>
        <v>0</v>
      </c>
      <c r="W127" s="41">
        <f>P127*0.04</f>
        <v>0</v>
      </c>
      <c r="X127" s="41">
        <f>P127*0.05</f>
        <v>0</v>
      </c>
      <c r="Y127" s="42">
        <f>P127*0.05</f>
        <v>0</v>
      </c>
      <c r="Z127" s="52">
        <f>T127-Y127</f>
        <v>0</v>
      </c>
      <c r="AA127" s="52">
        <f>U127-Y127</f>
        <v>0</v>
      </c>
      <c r="AB127" s="43"/>
      <c r="AC127" t="s" s="51">
        <v>0</v>
      </c>
      <c r="AD127" t="s" s="51">
        <v>0</v>
      </c>
      <c r="AE127" t="s" s="51">
        <v>0</v>
      </c>
      <c r="AF127" t="s" s="44">
        <v>0</v>
      </c>
      <c r="AG127" s="54"/>
      <c r="AH127" s="52"/>
      <c r="AI127" s="41">
        <f>AH127-T127-U127</f>
        <v>0</v>
      </c>
      <c r="AJ127" t="s" s="44">
        <v>0</v>
      </c>
      <c r="AK127" s="54"/>
      <c r="AL127" s="52"/>
      <c r="AM127" s="41">
        <f>AL127-Z127-AA127</f>
        <v>0</v>
      </c>
      <c r="AN127" t="s" s="44">
        <v>0</v>
      </c>
      <c r="AO127" s="54"/>
      <c r="AP127" s="52"/>
      <c r="AQ127" s="41">
        <f>AP127-Y127</f>
        <v>0</v>
      </c>
      <c r="AR127" s="51"/>
      <c r="AS127" s="55">
        <v>0</v>
      </c>
    </row>
    <row r="128" ht="54.85" customHeight="1">
      <c r="A128" t="s" s="2">
        <v>0</v>
      </c>
      <c r="B128" s="33"/>
      <c r="C128" s="34"/>
      <c r="D128" s="35"/>
      <c r="E128" s="34"/>
      <c r="F128" s="36"/>
      <c r="G128" s="34"/>
      <c r="H128" s="34"/>
      <c r="I128" t="s" s="37">
        <v>0</v>
      </c>
      <c r="J128" s="38"/>
      <c r="K128" s="39"/>
      <c r="L128" s="39"/>
      <c r="M128" s="39"/>
      <c r="N128" s="39"/>
      <c r="O128" s="39"/>
      <c r="P128" s="40">
        <f>K128-L128-O128+N128</f>
        <v>0</v>
      </c>
      <c r="Q128" s="39"/>
      <c r="R128" s="39"/>
      <c r="S128" s="40">
        <f>L128</f>
        <v>0</v>
      </c>
      <c r="T128" s="39">
        <f>P128+R128-Q128+M128</f>
        <v>0</v>
      </c>
      <c r="U128" s="39">
        <f>T128-V128-W128-X128</f>
        <v>0</v>
      </c>
      <c r="V128" s="41">
        <f>P128*0.03</f>
        <v>0</v>
      </c>
      <c r="W128" s="41">
        <f>P128*0.04</f>
        <v>0</v>
      </c>
      <c r="X128" s="41">
        <f>P128*0.05</f>
        <v>0</v>
      </c>
      <c r="Y128" s="42">
        <f>P128*0.05</f>
        <v>0</v>
      </c>
      <c r="Z128" s="39">
        <f>T128-Y128</f>
        <v>0</v>
      </c>
      <c r="AA128" s="39">
        <f>U128-Y128</f>
        <v>0</v>
      </c>
      <c r="AB128" s="43"/>
      <c r="AC128" t="s" s="37">
        <v>0</v>
      </c>
      <c r="AD128" t="s" s="37">
        <v>0</v>
      </c>
      <c r="AE128" t="s" s="37">
        <v>0</v>
      </c>
      <c r="AF128" t="s" s="44">
        <v>0</v>
      </c>
      <c r="AG128" s="45"/>
      <c r="AH128" s="39"/>
      <c r="AI128" s="41">
        <f>AH128-T128-U128</f>
        <v>0</v>
      </c>
      <c r="AJ128" t="s" s="44">
        <v>0</v>
      </c>
      <c r="AK128" s="45"/>
      <c r="AL128" s="39"/>
      <c r="AM128" s="41">
        <f>AL128-Z128-AA128</f>
        <v>0</v>
      </c>
      <c r="AN128" t="s" s="44">
        <v>0</v>
      </c>
      <c r="AO128" s="45"/>
      <c r="AP128" s="39"/>
      <c r="AQ128" s="41">
        <f>AP128-Y128</f>
        <v>0</v>
      </c>
      <c r="AR128" s="37"/>
      <c r="AS128" s="46">
        <v>0</v>
      </c>
    </row>
    <row r="129" ht="54.85" customHeight="1">
      <c r="A129" t="s" s="2">
        <v>0</v>
      </c>
      <c r="B129" s="33"/>
      <c r="C129" s="34"/>
      <c r="D129" s="35"/>
      <c r="E129" s="49"/>
      <c r="F129" s="50"/>
      <c r="G129" s="49"/>
      <c r="H129" s="49"/>
      <c r="I129" t="s" s="51">
        <v>0</v>
      </c>
      <c r="J129" s="38"/>
      <c r="K129" s="52"/>
      <c r="L129" s="52"/>
      <c r="M129" s="52"/>
      <c r="N129" s="52"/>
      <c r="O129" s="52"/>
      <c r="P129" s="40">
        <f>K129-L129-O129+N129</f>
        <v>0</v>
      </c>
      <c r="Q129" s="52"/>
      <c r="R129" s="52"/>
      <c r="S129" s="40">
        <f>L129</f>
        <v>0</v>
      </c>
      <c r="T129" s="52">
        <f>P129+R129-Q129+M129</f>
        <v>0</v>
      </c>
      <c r="U129" s="52">
        <f>T129-V129-W129-X129</f>
        <v>0</v>
      </c>
      <c r="V129" s="41">
        <f>P129*0.03</f>
        <v>0</v>
      </c>
      <c r="W129" s="41">
        <f>P129*0.04</f>
        <v>0</v>
      </c>
      <c r="X129" s="41">
        <f>P129*0.05</f>
        <v>0</v>
      </c>
      <c r="Y129" s="42">
        <f>P129*0.05</f>
        <v>0</v>
      </c>
      <c r="Z129" s="52">
        <f>T129-Y129</f>
        <v>0</v>
      </c>
      <c r="AA129" s="52">
        <f>U129-Y129</f>
        <v>0</v>
      </c>
      <c r="AB129" s="43"/>
      <c r="AC129" t="s" s="51">
        <v>0</v>
      </c>
      <c r="AD129" t="s" s="51">
        <v>0</v>
      </c>
      <c r="AE129" t="s" s="51">
        <v>0</v>
      </c>
      <c r="AF129" t="s" s="44">
        <v>0</v>
      </c>
      <c r="AG129" s="54"/>
      <c r="AH129" s="52"/>
      <c r="AI129" s="41">
        <f>AH129-T129-U129</f>
        <v>0</v>
      </c>
      <c r="AJ129" t="s" s="44">
        <v>0</v>
      </c>
      <c r="AK129" s="54"/>
      <c r="AL129" s="52"/>
      <c r="AM129" s="41">
        <f>AL129-Z129-AA129</f>
        <v>0</v>
      </c>
      <c r="AN129" t="s" s="44">
        <v>0</v>
      </c>
      <c r="AO129" s="54"/>
      <c r="AP129" s="52"/>
      <c r="AQ129" s="41">
        <f>AP129-Y129</f>
        <v>0</v>
      </c>
      <c r="AR129" s="51"/>
      <c r="AS129" s="55">
        <v>0</v>
      </c>
    </row>
    <row r="130" ht="54.85" customHeight="1">
      <c r="A130" t="s" s="2">
        <v>0</v>
      </c>
      <c r="B130" s="33"/>
      <c r="C130" s="34"/>
      <c r="D130" s="35"/>
      <c r="E130" s="34"/>
      <c r="F130" s="36"/>
      <c r="G130" s="34"/>
      <c r="H130" s="34"/>
      <c r="I130" t="s" s="37">
        <v>0</v>
      </c>
      <c r="J130" s="38"/>
      <c r="K130" s="39"/>
      <c r="L130" s="39"/>
      <c r="M130" s="39"/>
      <c r="N130" s="39"/>
      <c r="O130" s="39"/>
      <c r="P130" s="40">
        <f>K130-L130-O130+N130</f>
        <v>0</v>
      </c>
      <c r="Q130" s="39"/>
      <c r="R130" s="39"/>
      <c r="S130" s="40">
        <f>L130</f>
        <v>0</v>
      </c>
      <c r="T130" s="39">
        <f>P130+R130-Q130+M130</f>
        <v>0</v>
      </c>
      <c r="U130" s="39">
        <f>T130-V130-W130-X130</f>
        <v>0</v>
      </c>
      <c r="V130" s="41">
        <f>P130*0.03</f>
        <v>0</v>
      </c>
      <c r="W130" s="41">
        <f>P130*0.04</f>
        <v>0</v>
      </c>
      <c r="X130" s="41">
        <f>P130*0.05</f>
        <v>0</v>
      </c>
      <c r="Y130" s="42">
        <f>P130*0.05</f>
        <v>0</v>
      </c>
      <c r="Z130" s="39">
        <f>T130-Y130</f>
        <v>0</v>
      </c>
      <c r="AA130" s="39">
        <f>U130-Y130</f>
        <v>0</v>
      </c>
      <c r="AB130" s="43"/>
      <c r="AC130" t="s" s="37">
        <v>0</v>
      </c>
      <c r="AD130" t="s" s="37">
        <v>0</v>
      </c>
      <c r="AE130" t="s" s="37">
        <v>0</v>
      </c>
      <c r="AF130" t="s" s="44">
        <v>0</v>
      </c>
      <c r="AG130" s="45"/>
      <c r="AH130" s="39"/>
      <c r="AI130" s="41">
        <f>AH130-T130-U130</f>
        <v>0</v>
      </c>
      <c r="AJ130" t="s" s="44">
        <v>0</v>
      </c>
      <c r="AK130" s="45"/>
      <c r="AL130" s="39"/>
      <c r="AM130" s="41">
        <f>AL130-Z130-AA130</f>
        <v>0</v>
      </c>
      <c r="AN130" t="s" s="44">
        <v>0</v>
      </c>
      <c r="AO130" s="45"/>
      <c r="AP130" s="39"/>
      <c r="AQ130" s="41">
        <f>AP130-Y130</f>
        <v>0</v>
      </c>
      <c r="AR130" s="37"/>
      <c r="AS130" s="46">
        <v>0</v>
      </c>
    </row>
    <row r="131" ht="54.85" customHeight="1">
      <c r="A131" t="s" s="2">
        <v>0</v>
      </c>
      <c r="B131" s="33"/>
      <c r="C131" s="34"/>
      <c r="D131" s="35"/>
      <c r="E131" s="49"/>
      <c r="F131" s="50"/>
      <c r="G131" s="49"/>
      <c r="H131" s="49"/>
      <c r="I131" t="s" s="51">
        <v>0</v>
      </c>
      <c r="J131" s="38"/>
      <c r="K131" s="52"/>
      <c r="L131" s="52"/>
      <c r="M131" s="52"/>
      <c r="N131" s="52"/>
      <c r="O131" s="52"/>
      <c r="P131" s="40">
        <f>K131-L131-O131+N131</f>
        <v>0</v>
      </c>
      <c r="Q131" s="52"/>
      <c r="R131" s="52"/>
      <c r="S131" s="40">
        <f>L131</f>
        <v>0</v>
      </c>
      <c r="T131" s="52">
        <f>P131+R131-Q131+M131</f>
        <v>0</v>
      </c>
      <c r="U131" s="52">
        <f>T131-V131-W131-X131</f>
        <v>0</v>
      </c>
      <c r="V131" s="41">
        <f>P131*0.03</f>
        <v>0</v>
      </c>
      <c r="W131" s="41">
        <f>P131*0.04</f>
        <v>0</v>
      </c>
      <c r="X131" s="41">
        <f>P131*0.05</f>
        <v>0</v>
      </c>
      <c r="Y131" s="42">
        <f>P131*0.05</f>
        <v>0</v>
      </c>
      <c r="Z131" s="52">
        <f>T131-Y131</f>
        <v>0</v>
      </c>
      <c r="AA131" s="52">
        <f>U131-Y131</f>
        <v>0</v>
      </c>
      <c r="AB131" s="43"/>
      <c r="AC131" t="s" s="51">
        <v>0</v>
      </c>
      <c r="AD131" t="s" s="51">
        <v>0</v>
      </c>
      <c r="AE131" t="s" s="51">
        <v>0</v>
      </c>
      <c r="AF131" t="s" s="44">
        <v>0</v>
      </c>
      <c r="AG131" s="54"/>
      <c r="AH131" s="52"/>
      <c r="AI131" s="41">
        <f>AH131-T131-U131</f>
        <v>0</v>
      </c>
      <c r="AJ131" t="s" s="44">
        <v>0</v>
      </c>
      <c r="AK131" s="54"/>
      <c r="AL131" s="52"/>
      <c r="AM131" s="41">
        <f>AL131-Z131-AA131</f>
        <v>0</v>
      </c>
      <c r="AN131" t="s" s="44">
        <v>0</v>
      </c>
      <c r="AO131" s="54"/>
      <c r="AP131" s="52"/>
      <c r="AQ131" s="41">
        <f>AP131-Y131</f>
        <v>0</v>
      </c>
      <c r="AR131" s="51"/>
      <c r="AS131" s="55">
        <v>0</v>
      </c>
    </row>
    <row r="132" ht="54.85" customHeight="1">
      <c r="A132" t="s" s="2">
        <v>0</v>
      </c>
      <c r="B132" s="33"/>
      <c r="C132" s="34"/>
      <c r="D132" s="35"/>
      <c r="E132" s="34"/>
      <c r="F132" s="36"/>
      <c r="G132" s="34"/>
      <c r="H132" s="34"/>
      <c r="I132" t="s" s="37">
        <v>0</v>
      </c>
      <c r="J132" s="38"/>
      <c r="K132" s="39"/>
      <c r="L132" s="39"/>
      <c r="M132" s="39"/>
      <c r="N132" s="39"/>
      <c r="O132" s="39"/>
      <c r="P132" s="40">
        <f>K132-L132-O132+N132</f>
        <v>0</v>
      </c>
      <c r="Q132" s="39"/>
      <c r="R132" s="39"/>
      <c r="S132" s="40">
        <f>L132</f>
        <v>0</v>
      </c>
      <c r="T132" s="39">
        <f>P132+R132-Q132+M132</f>
        <v>0</v>
      </c>
      <c r="U132" s="39">
        <f>T132-V132-W132-X132</f>
        <v>0</v>
      </c>
      <c r="V132" s="41">
        <f>P132*0.03</f>
        <v>0</v>
      </c>
      <c r="W132" s="41">
        <f>P132*0.04</f>
        <v>0</v>
      </c>
      <c r="X132" s="41">
        <f>P132*0.05</f>
        <v>0</v>
      </c>
      <c r="Y132" s="42">
        <f>P132*0.05</f>
        <v>0</v>
      </c>
      <c r="Z132" s="39">
        <f>T132-Y132</f>
        <v>0</v>
      </c>
      <c r="AA132" s="39">
        <f>U132-Y132</f>
        <v>0</v>
      </c>
      <c r="AB132" s="43"/>
      <c r="AC132" t="s" s="37">
        <v>0</v>
      </c>
      <c r="AD132" t="s" s="37">
        <v>0</v>
      </c>
      <c r="AE132" t="s" s="37">
        <v>0</v>
      </c>
      <c r="AF132" t="s" s="44">
        <v>0</v>
      </c>
      <c r="AG132" s="45"/>
      <c r="AH132" s="39"/>
      <c r="AI132" s="41">
        <f>AH132-T132-U132</f>
        <v>0</v>
      </c>
      <c r="AJ132" t="s" s="44">
        <v>0</v>
      </c>
      <c r="AK132" s="45"/>
      <c r="AL132" s="39"/>
      <c r="AM132" s="41">
        <f>AL132-Z132-AA132</f>
        <v>0</v>
      </c>
      <c r="AN132" t="s" s="44">
        <v>0</v>
      </c>
      <c r="AO132" s="45"/>
      <c r="AP132" s="39"/>
      <c r="AQ132" s="41">
        <f>AP132-Y132</f>
        <v>0</v>
      </c>
      <c r="AR132" s="37"/>
      <c r="AS132" s="46">
        <v>0</v>
      </c>
    </row>
    <row r="133" ht="54.85" customHeight="1">
      <c r="A133" t="s" s="2">
        <v>0</v>
      </c>
      <c r="B133" s="33"/>
      <c r="C133" s="34"/>
      <c r="D133" s="35"/>
      <c r="E133" s="49"/>
      <c r="F133" s="50"/>
      <c r="G133" s="49"/>
      <c r="H133" s="49"/>
      <c r="I133" t="s" s="51">
        <v>0</v>
      </c>
      <c r="J133" s="38"/>
      <c r="K133" s="52"/>
      <c r="L133" s="52"/>
      <c r="M133" s="52"/>
      <c r="N133" s="52"/>
      <c r="O133" s="52"/>
      <c r="P133" s="40">
        <f>K133-L133-O133+N133</f>
        <v>0</v>
      </c>
      <c r="Q133" s="52"/>
      <c r="R133" s="52"/>
      <c r="S133" s="40">
        <f>L133</f>
        <v>0</v>
      </c>
      <c r="T133" s="52">
        <f>P133+R133-Q133+M133</f>
        <v>0</v>
      </c>
      <c r="U133" s="52">
        <f>T133-V133-W133-X133</f>
        <v>0</v>
      </c>
      <c r="V133" s="41">
        <f>P133*0.03</f>
        <v>0</v>
      </c>
      <c r="W133" s="41">
        <f>P133*0.04</f>
        <v>0</v>
      </c>
      <c r="X133" s="41">
        <f>P133*0.05</f>
        <v>0</v>
      </c>
      <c r="Y133" s="42">
        <f>P133*0.05</f>
        <v>0</v>
      </c>
      <c r="Z133" s="52">
        <f>T133-Y133</f>
        <v>0</v>
      </c>
      <c r="AA133" s="52">
        <f>U133-Y133</f>
        <v>0</v>
      </c>
      <c r="AB133" s="43"/>
      <c r="AC133" t="s" s="51">
        <v>0</v>
      </c>
      <c r="AD133" t="s" s="51">
        <v>0</v>
      </c>
      <c r="AE133" t="s" s="51">
        <v>0</v>
      </c>
      <c r="AF133" t="s" s="44">
        <v>0</v>
      </c>
      <c r="AG133" s="54"/>
      <c r="AH133" s="52"/>
      <c r="AI133" s="41">
        <f>AH133-T133-U133</f>
        <v>0</v>
      </c>
      <c r="AJ133" t="s" s="44">
        <v>0</v>
      </c>
      <c r="AK133" s="54"/>
      <c r="AL133" s="52"/>
      <c r="AM133" s="41">
        <f>AL133-Z133-AA133</f>
        <v>0</v>
      </c>
      <c r="AN133" t="s" s="44">
        <v>0</v>
      </c>
      <c r="AO133" s="54"/>
      <c r="AP133" s="52"/>
      <c r="AQ133" s="41">
        <f>AP133-Y133</f>
        <v>0</v>
      </c>
      <c r="AR133" s="51"/>
      <c r="AS133" s="55">
        <v>0</v>
      </c>
    </row>
    <row r="134" ht="54.85" customHeight="1">
      <c r="A134" t="s" s="2">
        <v>0</v>
      </c>
      <c r="B134" s="33"/>
      <c r="C134" s="34"/>
      <c r="D134" s="35"/>
      <c r="E134" s="34"/>
      <c r="F134" s="36"/>
      <c r="G134" s="34"/>
      <c r="H134" s="34"/>
      <c r="I134" t="s" s="37">
        <v>0</v>
      </c>
      <c r="J134" s="38"/>
      <c r="K134" s="39"/>
      <c r="L134" s="39"/>
      <c r="M134" s="39"/>
      <c r="N134" s="39"/>
      <c r="O134" s="39"/>
      <c r="P134" s="40">
        <f>K134-L134-O134+N134</f>
        <v>0</v>
      </c>
      <c r="Q134" s="39"/>
      <c r="R134" s="39"/>
      <c r="S134" s="40">
        <f>L134</f>
        <v>0</v>
      </c>
      <c r="T134" s="39">
        <f>P134+R134-Q134+M134</f>
        <v>0</v>
      </c>
      <c r="U134" s="39">
        <f>T134-V134-W134-X134</f>
        <v>0</v>
      </c>
      <c r="V134" s="41">
        <f>P134*0.03</f>
        <v>0</v>
      </c>
      <c r="W134" s="41">
        <f>P134*0.04</f>
        <v>0</v>
      </c>
      <c r="X134" s="41">
        <f>P134*0.05</f>
        <v>0</v>
      </c>
      <c r="Y134" s="42">
        <f>P134*0.05</f>
        <v>0</v>
      </c>
      <c r="Z134" s="39">
        <f>T134-Y134</f>
        <v>0</v>
      </c>
      <c r="AA134" s="39">
        <f>U134-Y134</f>
        <v>0</v>
      </c>
      <c r="AB134" s="43"/>
      <c r="AC134" t="s" s="37">
        <v>0</v>
      </c>
      <c r="AD134" t="s" s="37">
        <v>0</v>
      </c>
      <c r="AE134" t="s" s="37">
        <v>0</v>
      </c>
      <c r="AF134" t="s" s="44">
        <v>0</v>
      </c>
      <c r="AG134" s="45"/>
      <c r="AH134" s="39"/>
      <c r="AI134" s="41">
        <f>AH134-T134-U134</f>
        <v>0</v>
      </c>
      <c r="AJ134" t="s" s="44">
        <v>0</v>
      </c>
      <c r="AK134" s="45"/>
      <c r="AL134" s="39"/>
      <c r="AM134" s="41">
        <f>AL134-Z134-AA134</f>
        <v>0</v>
      </c>
      <c r="AN134" t="s" s="44">
        <v>0</v>
      </c>
      <c r="AO134" s="45"/>
      <c r="AP134" s="39"/>
      <c r="AQ134" s="41">
        <f>AP134-Y134</f>
        <v>0</v>
      </c>
      <c r="AR134" s="37"/>
      <c r="AS134" s="46">
        <v>0</v>
      </c>
    </row>
    <row r="135" ht="54.85" customHeight="1">
      <c r="A135" t="s" s="2">
        <v>0</v>
      </c>
      <c r="B135" s="33"/>
      <c r="C135" s="34"/>
      <c r="D135" s="35"/>
      <c r="E135" s="49"/>
      <c r="F135" s="50"/>
      <c r="G135" s="49"/>
      <c r="H135" s="49"/>
      <c r="I135" t="s" s="51">
        <v>0</v>
      </c>
      <c r="J135" s="38"/>
      <c r="K135" s="52"/>
      <c r="L135" s="52"/>
      <c r="M135" s="52"/>
      <c r="N135" s="52"/>
      <c r="O135" s="52"/>
      <c r="P135" s="40">
        <f>K135-L135-O135+N135</f>
        <v>0</v>
      </c>
      <c r="Q135" s="52"/>
      <c r="R135" s="52"/>
      <c r="S135" s="40">
        <f>L135</f>
        <v>0</v>
      </c>
      <c r="T135" s="52">
        <f>P135+R135-Q135+M135</f>
        <v>0</v>
      </c>
      <c r="U135" s="52">
        <f>T135-V135-W135-X135</f>
        <v>0</v>
      </c>
      <c r="V135" s="41">
        <f>P135*0.03</f>
        <v>0</v>
      </c>
      <c r="W135" s="41">
        <f>P135*0.04</f>
        <v>0</v>
      </c>
      <c r="X135" s="41">
        <f>P135*0.05</f>
        <v>0</v>
      </c>
      <c r="Y135" s="42">
        <f>P135*0.05</f>
        <v>0</v>
      </c>
      <c r="Z135" s="52">
        <f>T135-Y135</f>
        <v>0</v>
      </c>
      <c r="AA135" s="52">
        <f>U135-Y135</f>
        <v>0</v>
      </c>
      <c r="AB135" s="43"/>
      <c r="AC135" t="s" s="51">
        <v>0</v>
      </c>
      <c r="AD135" t="s" s="51">
        <v>0</v>
      </c>
      <c r="AE135" t="s" s="51">
        <v>0</v>
      </c>
      <c r="AF135" t="s" s="44">
        <v>0</v>
      </c>
      <c r="AG135" s="54"/>
      <c r="AH135" s="52"/>
      <c r="AI135" s="41">
        <f>AH135-T135-U135</f>
        <v>0</v>
      </c>
      <c r="AJ135" t="s" s="44">
        <v>0</v>
      </c>
      <c r="AK135" s="54"/>
      <c r="AL135" s="52"/>
      <c r="AM135" s="41">
        <f>AL135-Z135-AA135</f>
        <v>0</v>
      </c>
      <c r="AN135" t="s" s="44">
        <v>0</v>
      </c>
      <c r="AO135" s="54"/>
      <c r="AP135" s="52"/>
      <c r="AQ135" s="41">
        <f>AP135-Y135</f>
        <v>0</v>
      </c>
      <c r="AR135" s="51"/>
      <c r="AS135" s="55">
        <v>0</v>
      </c>
    </row>
    <row r="136" ht="54.85" customHeight="1">
      <c r="A136" t="s" s="2">
        <v>0</v>
      </c>
      <c r="B136" s="33"/>
      <c r="C136" s="34"/>
      <c r="D136" s="35"/>
      <c r="E136" s="34"/>
      <c r="F136" s="36"/>
      <c r="G136" s="34"/>
      <c r="H136" s="34"/>
      <c r="I136" t="s" s="37">
        <v>0</v>
      </c>
      <c r="J136" s="38"/>
      <c r="K136" s="39"/>
      <c r="L136" s="39"/>
      <c r="M136" s="39"/>
      <c r="N136" s="39"/>
      <c r="O136" s="39"/>
      <c r="P136" s="40">
        <f>K136-L136-O136+N136</f>
        <v>0</v>
      </c>
      <c r="Q136" s="39"/>
      <c r="R136" s="39"/>
      <c r="S136" s="40">
        <f>L136</f>
        <v>0</v>
      </c>
      <c r="T136" s="39">
        <f>P136+R136-Q136+M136</f>
        <v>0</v>
      </c>
      <c r="U136" s="39">
        <f>T136-V136-W136-X136</f>
        <v>0</v>
      </c>
      <c r="V136" s="41">
        <f>P136*0.03</f>
        <v>0</v>
      </c>
      <c r="W136" s="41">
        <f>P136*0.04</f>
        <v>0</v>
      </c>
      <c r="X136" s="41">
        <f>P136*0.05</f>
        <v>0</v>
      </c>
      <c r="Y136" s="42">
        <f>P136*0.05</f>
        <v>0</v>
      </c>
      <c r="Z136" s="39">
        <f>T136-Y136</f>
        <v>0</v>
      </c>
      <c r="AA136" s="39">
        <f>U136-Y136</f>
        <v>0</v>
      </c>
      <c r="AB136" s="43"/>
      <c r="AC136" t="s" s="37">
        <v>0</v>
      </c>
      <c r="AD136" t="s" s="37">
        <v>0</v>
      </c>
      <c r="AE136" t="s" s="37">
        <v>0</v>
      </c>
      <c r="AF136" t="s" s="44">
        <v>0</v>
      </c>
      <c r="AG136" s="45"/>
      <c r="AH136" s="39"/>
      <c r="AI136" s="41">
        <f>AH136-T136-U136</f>
        <v>0</v>
      </c>
      <c r="AJ136" t="s" s="44">
        <v>0</v>
      </c>
      <c r="AK136" s="45"/>
      <c r="AL136" s="39"/>
      <c r="AM136" s="41">
        <f>AL136-Z136-AA136</f>
        <v>0</v>
      </c>
      <c r="AN136" t="s" s="44">
        <v>0</v>
      </c>
      <c r="AO136" s="45"/>
      <c r="AP136" s="39"/>
      <c r="AQ136" s="41">
        <f>AP136-Y136</f>
        <v>0</v>
      </c>
      <c r="AR136" s="37"/>
      <c r="AS136" s="46">
        <v>0</v>
      </c>
    </row>
    <row r="137" ht="54.85" customHeight="1">
      <c r="A137" t="s" s="2">
        <v>0</v>
      </c>
      <c r="B137" s="33"/>
      <c r="C137" s="34"/>
      <c r="D137" s="35"/>
      <c r="E137" s="49"/>
      <c r="F137" s="50"/>
      <c r="G137" s="49"/>
      <c r="H137" s="49"/>
      <c r="I137" t="s" s="51">
        <v>0</v>
      </c>
      <c r="J137" s="38"/>
      <c r="K137" s="52"/>
      <c r="L137" s="52"/>
      <c r="M137" s="52"/>
      <c r="N137" s="52"/>
      <c r="O137" s="52"/>
      <c r="P137" s="40">
        <f>K137-L137-O137+N137</f>
        <v>0</v>
      </c>
      <c r="Q137" s="52"/>
      <c r="R137" s="52"/>
      <c r="S137" s="40">
        <f>L137</f>
        <v>0</v>
      </c>
      <c r="T137" s="52">
        <f>P137+R137-Q137+M137</f>
        <v>0</v>
      </c>
      <c r="U137" s="52">
        <f>T137-V137-W137-X137</f>
        <v>0</v>
      </c>
      <c r="V137" s="41">
        <f>P137*0.03</f>
        <v>0</v>
      </c>
      <c r="W137" s="41">
        <f>P137*0.04</f>
        <v>0</v>
      </c>
      <c r="X137" s="41">
        <f>P137*0.05</f>
        <v>0</v>
      </c>
      <c r="Y137" s="42">
        <f>P137*0.05</f>
        <v>0</v>
      </c>
      <c r="Z137" s="52">
        <f>T137-Y137</f>
        <v>0</v>
      </c>
      <c r="AA137" s="52">
        <f>U137-Y137</f>
        <v>0</v>
      </c>
      <c r="AB137" s="43"/>
      <c r="AC137" t="s" s="51">
        <v>0</v>
      </c>
      <c r="AD137" t="s" s="51">
        <v>0</v>
      </c>
      <c r="AE137" t="s" s="51">
        <v>0</v>
      </c>
      <c r="AF137" t="s" s="44">
        <v>0</v>
      </c>
      <c r="AG137" s="54"/>
      <c r="AH137" s="52"/>
      <c r="AI137" s="41">
        <f>AH137-T137-U137</f>
        <v>0</v>
      </c>
      <c r="AJ137" t="s" s="44">
        <v>0</v>
      </c>
      <c r="AK137" s="54"/>
      <c r="AL137" s="52"/>
      <c r="AM137" s="41">
        <f>AL137-Z137-AA137</f>
        <v>0</v>
      </c>
      <c r="AN137" t="s" s="44">
        <v>0</v>
      </c>
      <c r="AO137" s="54"/>
      <c r="AP137" s="52"/>
      <c r="AQ137" s="41">
        <f>AP137-Y137</f>
        <v>0</v>
      </c>
      <c r="AR137" s="51"/>
      <c r="AS137" s="55">
        <v>0</v>
      </c>
    </row>
    <row r="138" ht="54.85" customHeight="1">
      <c r="A138" t="s" s="2">
        <v>0</v>
      </c>
      <c r="B138" s="33"/>
      <c r="C138" s="34"/>
      <c r="D138" s="35"/>
      <c r="E138" s="34"/>
      <c r="F138" s="36"/>
      <c r="G138" s="34"/>
      <c r="H138" s="34"/>
      <c r="I138" t="s" s="37">
        <v>0</v>
      </c>
      <c r="J138" s="38"/>
      <c r="K138" s="39"/>
      <c r="L138" s="39"/>
      <c r="M138" s="39"/>
      <c r="N138" s="39"/>
      <c r="O138" s="39"/>
      <c r="P138" s="40">
        <f>K138-L138-O138+N138</f>
        <v>0</v>
      </c>
      <c r="Q138" s="39"/>
      <c r="R138" s="39"/>
      <c r="S138" s="40">
        <f>L138</f>
        <v>0</v>
      </c>
      <c r="T138" s="39">
        <f>P138+R138-Q138+M138</f>
        <v>0</v>
      </c>
      <c r="U138" s="39">
        <f>T138-V138-W138-X138</f>
        <v>0</v>
      </c>
      <c r="V138" s="41">
        <f>P138*0.03</f>
        <v>0</v>
      </c>
      <c r="W138" s="41">
        <f>P138*0.04</f>
        <v>0</v>
      </c>
      <c r="X138" s="41">
        <f>P138*0.05</f>
        <v>0</v>
      </c>
      <c r="Y138" s="42">
        <f>P138*0.05</f>
        <v>0</v>
      </c>
      <c r="Z138" s="39">
        <f>T138-Y138</f>
        <v>0</v>
      </c>
      <c r="AA138" s="39">
        <f>U138-Y138</f>
        <v>0</v>
      </c>
      <c r="AB138" s="43"/>
      <c r="AC138" t="s" s="37">
        <v>0</v>
      </c>
      <c r="AD138" t="s" s="37">
        <v>0</v>
      </c>
      <c r="AE138" t="s" s="37">
        <v>0</v>
      </c>
      <c r="AF138" t="s" s="44">
        <v>0</v>
      </c>
      <c r="AG138" s="45"/>
      <c r="AH138" s="39"/>
      <c r="AI138" s="41">
        <f>AH138-T138-U138</f>
        <v>0</v>
      </c>
      <c r="AJ138" t="s" s="44">
        <v>0</v>
      </c>
      <c r="AK138" s="45"/>
      <c r="AL138" s="39"/>
      <c r="AM138" s="41">
        <f>AL138-Z138-AA138</f>
        <v>0</v>
      </c>
      <c r="AN138" t="s" s="44">
        <v>0</v>
      </c>
      <c r="AO138" s="45"/>
      <c r="AP138" s="39"/>
      <c r="AQ138" s="41">
        <f>AP138-Y138</f>
        <v>0</v>
      </c>
      <c r="AR138" s="37"/>
      <c r="AS138" s="46">
        <v>0</v>
      </c>
    </row>
    <row r="139" ht="54.85" customHeight="1">
      <c r="A139" t="s" s="2">
        <v>0</v>
      </c>
      <c r="B139" s="33"/>
      <c r="C139" s="34"/>
      <c r="D139" s="35"/>
      <c r="E139" s="49"/>
      <c r="F139" s="50"/>
      <c r="G139" s="49"/>
      <c r="H139" s="49"/>
      <c r="I139" t="s" s="51">
        <v>0</v>
      </c>
      <c r="J139" s="38"/>
      <c r="K139" s="52"/>
      <c r="L139" s="52"/>
      <c r="M139" s="52"/>
      <c r="N139" s="52"/>
      <c r="O139" s="52"/>
      <c r="P139" s="40">
        <f>K139-L139-O139+N139</f>
        <v>0</v>
      </c>
      <c r="Q139" s="52"/>
      <c r="R139" s="52"/>
      <c r="S139" s="40">
        <f>L139</f>
        <v>0</v>
      </c>
      <c r="T139" s="52">
        <f>P139+R139-Q139+M139</f>
        <v>0</v>
      </c>
      <c r="U139" s="52">
        <f>T139-V139-W139-X139</f>
        <v>0</v>
      </c>
      <c r="V139" s="41">
        <f>P139*0.03</f>
        <v>0</v>
      </c>
      <c r="W139" s="41">
        <f>P139*0.04</f>
        <v>0</v>
      </c>
      <c r="X139" s="41">
        <f>P139*0.05</f>
        <v>0</v>
      </c>
      <c r="Y139" s="42">
        <f>P139*0.05</f>
        <v>0</v>
      </c>
      <c r="Z139" s="52">
        <f>T139-Y139</f>
        <v>0</v>
      </c>
      <c r="AA139" s="52">
        <f>U139-Y139</f>
        <v>0</v>
      </c>
      <c r="AB139" s="43"/>
      <c r="AC139" t="s" s="51">
        <v>0</v>
      </c>
      <c r="AD139" t="s" s="51">
        <v>0</v>
      </c>
      <c r="AE139" t="s" s="51">
        <v>0</v>
      </c>
      <c r="AF139" t="s" s="44">
        <v>0</v>
      </c>
      <c r="AG139" s="54"/>
      <c r="AH139" s="52"/>
      <c r="AI139" s="41">
        <f>AH139-T139-U139</f>
        <v>0</v>
      </c>
      <c r="AJ139" t="s" s="44">
        <v>0</v>
      </c>
      <c r="AK139" s="54"/>
      <c r="AL139" s="52"/>
      <c r="AM139" s="41">
        <f>AL139-Z139-AA139</f>
        <v>0</v>
      </c>
      <c r="AN139" t="s" s="44">
        <v>0</v>
      </c>
      <c r="AO139" s="54"/>
      <c r="AP139" s="52"/>
      <c r="AQ139" s="41">
        <f>AP139-Y139</f>
        <v>0</v>
      </c>
      <c r="AR139" s="51"/>
      <c r="AS139" s="55">
        <v>0</v>
      </c>
    </row>
    <row r="140" ht="54.85" customHeight="1">
      <c r="A140" t="s" s="2">
        <v>0</v>
      </c>
      <c r="B140" s="33"/>
      <c r="C140" s="34"/>
      <c r="D140" s="35"/>
      <c r="E140" s="34"/>
      <c r="F140" s="36"/>
      <c r="G140" s="34"/>
      <c r="H140" s="34"/>
      <c r="I140" t="s" s="37">
        <v>0</v>
      </c>
      <c r="J140" s="38"/>
      <c r="K140" s="39"/>
      <c r="L140" s="39"/>
      <c r="M140" s="39"/>
      <c r="N140" s="39"/>
      <c r="O140" s="39"/>
      <c r="P140" s="40">
        <f>K140-L140-O140+N140</f>
        <v>0</v>
      </c>
      <c r="Q140" s="39"/>
      <c r="R140" s="39"/>
      <c r="S140" s="40">
        <f>L140</f>
        <v>0</v>
      </c>
      <c r="T140" s="39">
        <f>P140+R140-Q140+M140</f>
        <v>0</v>
      </c>
      <c r="U140" s="39">
        <f>T140-V140-W140-X140</f>
        <v>0</v>
      </c>
      <c r="V140" s="41">
        <f>P140*0.03</f>
        <v>0</v>
      </c>
      <c r="W140" s="41">
        <f>P140*0.04</f>
        <v>0</v>
      </c>
      <c r="X140" s="41">
        <f>P140*0.05</f>
        <v>0</v>
      </c>
      <c r="Y140" s="42">
        <f>P140*0.05</f>
        <v>0</v>
      </c>
      <c r="Z140" s="39">
        <f>T140-Y140</f>
        <v>0</v>
      </c>
      <c r="AA140" s="39">
        <f>U140-Y140</f>
        <v>0</v>
      </c>
      <c r="AB140" s="43"/>
      <c r="AC140" t="s" s="37">
        <v>0</v>
      </c>
      <c r="AD140" t="s" s="37">
        <v>0</v>
      </c>
      <c r="AE140" t="s" s="37">
        <v>0</v>
      </c>
      <c r="AF140" t="s" s="44">
        <v>0</v>
      </c>
      <c r="AG140" s="45"/>
      <c r="AH140" s="39"/>
      <c r="AI140" s="41">
        <f>AH140-T140-U140</f>
        <v>0</v>
      </c>
      <c r="AJ140" t="s" s="44">
        <v>0</v>
      </c>
      <c r="AK140" s="45"/>
      <c r="AL140" s="39"/>
      <c r="AM140" s="41">
        <f>AL140-Z140-AA140</f>
        <v>0</v>
      </c>
      <c r="AN140" t="s" s="44">
        <v>0</v>
      </c>
      <c r="AO140" s="45"/>
      <c r="AP140" s="39"/>
      <c r="AQ140" s="41">
        <f>AP140-Y140</f>
        <v>0</v>
      </c>
      <c r="AR140" s="37"/>
      <c r="AS140" s="46">
        <v>0</v>
      </c>
    </row>
    <row r="141" ht="54.85" customHeight="1">
      <c r="A141" t="s" s="2">
        <v>0</v>
      </c>
      <c r="B141" s="33"/>
      <c r="C141" s="34"/>
      <c r="D141" s="35"/>
      <c r="E141" s="49"/>
      <c r="F141" s="50"/>
      <c r="G141" s="49"/>
      <c r="H141" s="49"/>
      <c r="I141" t="s" s="51">
        <v>0</v>
      </c>
      <c r="J141" s="38"/>
      <c r="K141" s="52"/>
      <c r="L141" s="52"/>
      <c r="M141" s="52"/>
      <c r="N141" s="52"/>
      <c r="O141" s="52"/>
      <c r="P141" s="40">
        <f>K141-L141-O141+N141</f>
        <v>0</v>
      </c>
      <c r="Q141" s="52"/>
      <c r="R141" s="52"/>
      <c r="S141" s="40">
        <f>L141</f>
        <v>0</v>
      </c>
      <c r="T141" s="52">
        <f>P141+R141-Q141+M141</f>
        <v>0</v>
      </c>
      <c r="U141" s="52">
        <f>T141-V141-W141-X141</f>
        <v>0</v>
      </c>
      <c r="V141" s="41">
        <f>P141*0.03</f>
        <v>0</v>
      </c>
      <c r="W141" s="41">
        <f>P141*0.04</f>
        <v>0</v>
      </c>
      <c r="X141" s="41">
        <f>P141*0.05</f>
        <v>0</v>
      </c>
      <c r="Y141" s="42">
        <f>P141*0.05</f>
        <v>0</v>
      </c>
      <c r="Z141" s="52">
        <f>T141-Y141</f>
        <v>0</v>
      </c>
      <c r="AA141" s="52">
        <f>U141-Y141</f>
        <v>0</v>
      </c>
      <c r="AB141" s="43"/>
      <c r="AC141" t="s" s="51">
        <v>0</v>
      </c>
      <c r="AD141" t="s" s="51">
        <v>0</v>
      </c>
      <c r="AE141" t="s" s="51">
        <v>0</v>
      </c>
      <c r="AF141" t="s" s="44">
        <v>0</v>
      </c>
      <c r="AG141" s="54"/>
      <c r="AH141" s="52"/>
      <c r="AI141" s="41">
        <f>AH141-T141-U141</f>
        <v>0</v>
      </c>
      <c r="AJ141" t="s" s="44">
        <v>0</v>
      </c>
      <c r="AK141" s="54"/>
      <c r="AL141" s="52"/>
      <c r="AM141" s="41">
        <f>AL141-Z141-AA141</f>
        <v>0</v>
      </c>
      <c r="AN141" t="s" s="44">
        <v>0</v>
      </c>
      <c r="AO141" s="54"/>
      <c r="AP141" s="52"/>
      <c r="AQ141" s="41">
        <f>AP141-Y141</f>
        <v>0</v>
      </c>
      <c r="AR141" s="51"/>
      <c r="AS141" s="55">
        <v>0</v>
      </c>
    </row>
    <row r="142" ht="54.85" customHeight="1">
      <c r="A142" t="s" s="2">
        <v>0</v>
      </c>
      <c r="B142" s="33"/>
      <c r="C142" s="34"/>
      <c r="D142" s="35"/>
      <c r="E142" s="34"/>
      <c r="F142" s="36"/>
      <c r="G142" s="34"/>
      <c r="H142" s="34"/>
      <c r="I142" t="s" s="37">
        <v>0</v>
      </c>
      <c r="J142" s="38"/>
      <c r="K142" s="39"/>
      <c r="L142" s="39"/>
      <c r="M142" s="39"/>
      <c r="N142" s="39"/>
      <c r="O142" s="39"/>
      <c r="P142" s="40">
        <f>K142-L142-O142+N142</f>
        <v>0</v>
      </c>
      <c r="Q142" s="39"/>
      <c r="R142" s="39"/>
      <c r="S142" s="40">
        <f>L142</f>
        <v>0</v>
      </c>
      <c r="T142" s="39">
        <f>P142+R142-Q142+M142</f>
        <v>0</v>
      </c>
      <c r="U142" s="39">
        <f>T142-V142-W142-X142</f>
        <v>0</v>
      </c>
      <c r="V142" s="41">
        <f>P142*0.03</f>
        <v>0</v>
      </c>
      <c r="W142" s="41">
        <f>P142*0.04</f>
        <v>0</v>
      </c>
      <c r="X142" s="41">
        <f>P142*0.05</f>
        <v>0</v>
      </c>
      <c r="Y142" s="42">
        <f>P142*0.05</f>
        <v>0</v>
      </c>
      <c r="Z142" s="39">
        <f>T142-Y142</f>
        <v>0</v>
      </c>
      <c r="AA142" s="39">
        <f>U142-Y142</f>
        <v>0</v>
      </c>
      <c r="AB142" s="43"/>
      <c r="AC142" t="s" s="37">
        <v>0</v>
      </c>
      <c r="AD142" t="s" s="37">
        <v>0</v>
      </c>
      <c r="AE142" t="s" s="37">
        <v>0</v>
      </c>
      <c r="AF142" t="s" s="44">
        <v>0</v>
      </c>
      <c r="AG142" s="45"/>
      <c r="AH142" s="39"/>
      <c r="AI142" s="41">
        <f>AH142-T142-U142</f>
        <v>0</v>
      </c>
      <c r="AJ142" t="s" s="44">
        <v>0</v>
      </c>
      <c r="AK142" s="45"/>
      <c r="AL142" s="39"/>
      <c r="AM142" s="41">
        <f>AL142-Z142-AA142</f>
        <v>0</v>
      </c>
      <c r="AN142" t="s" s="44">
        <v>0</v>
      </c>
      <c r="AO142" s="45"/>
      <c r="AP142" s="39"/>
      <c r="AQ142" s="41">
        <f>AP142-Y142</f>
        <v>0</v>
      </c>
      <c r="AR142" s="37"/>
      <c r="AS142" s="46">
        <v>0</v>
      </c>
    </row>
    <row r="143" ht="54.85" customHeight="1">
      <c r="A143" t="s" s="2">
        <v>0</v>
      </c>
      <c r="B143" s="33"/>
      <c r="C143" s="34"/>
      <c r="D143" s="35"/>
      <c r="E143" s="49"/>
      <c r="F143" s="50"/>
      <c r="G143" s="49"/>
      <c r="H143" s="49"/>
      <c r="I143" t="s" s="51">
        <v>0</v>
      </c>
      <c r="J143" s="38"/>
      <c r="K143" s="52"/>
      <c r="L143" s="52"/>
      <c r="M143" s="52"/>
      <c r="N143" s="52"/>
      <c r="O143" s="52"/>
      <c r="P143" s="40">
        <f>K143-L143-O143+N143</f>
        <v>0</v>
      </c>
      <c r="Q143" s="52"/>
      <c r="R143" s="52"/>
      <c r="S143" s="40">
        <f>L143</f>
        <v>0</v>
      </c>
      <c r="T143" s="52">
        <f>P143+R143-Q143+M143</f>
        <v>0</v>
      </c>
      <c r="U143" s="52">
        <f>T143-V143-W143-X143</f>
        <v>0</v>
      </c>
      <c r="V143" s="41">
        <f>P143*0.03</f>
        <v>0</v>
      </c>
      <c r="W143" s="41">
        <f>P143*0.04</f>
        <v>0</v>
      </c>
      <c r="X143" s="41">
        <f>P143*0.05</f>
        <v>0</v>
      </c>
      <c r="Y143" s="42">
        <f>P143*0.05</f>
        <v>0</v>
      </c>
      <c r="Z143" s="52">
        <f>T143-Y143</f>
        <v>0</v>
      </c>
      <c r="AA143" s="52">
        <f>U143-Y143</f>
        <v>0</v>
      </c>
      <c r="AB143" s="43"/>
      <c r="AC143" t="s" s="51">
        <v>0</v>
      </c>
      <c r="AD143" t="s" s="51">
        <v>0</v>
      </c>
      <c r="AE143" t="s" s="51">
        <v>0</v>
      </c>
      <c r="AF143" t="s" s="44">
        <v>0</v>
      </c>
      <c r="AG143" s="54"/>
      <c r="AH143" s="52"/>
      <c r="AI143" s="41">
        <f>AH143-T143-U143</f>
        <v>0</v>
      </c>
      <c r="AJ143" t="s" s="44">
        <v>0</v>
      </c>
      <c r="AK143" s="54"/>
      <c r="AL143" s="52"/>
      <c r="AM143" s="41">
        <f>AL143-Z143-AA143</f>
        <v>0</v>
      </c>
      <c r="AN143" t="s" s="44">
        <v>0</v>
      </c>
      <c r="AO143" s="54"/>
      <c r="AP143" s="52"/>
      <c r="AQ143" s="41">
        <f>AP143-Y143</f>
        <v>0</v>
      </c>
      <c r="AR143" s="51"/>
      <c r="AS143" s="55">
        <v>0</v>
      </c>
    </row>
    <row r="144" ht="54.85" customHeight="1">
      <c r="A144" t="s" s="2">
        <v>0</v>
      </c>
      <c r="B144" s="33"/>
      <c r="C144" s="34"/>
      <c r="D144" s="35"/>
      <c r="E144" s="34"/>
      <c r="F144" s="36"/>
      <c r="G144" s="34"/>
      <c r="H144" s="34"/>
      <c r="I144" t="s" s="37">
        <v>0</v>
      </c>
      <c r="J144" s="38"/>
      <c r="K144" s="39"/>
      <c r="L144" s="39"/>
      <c r="M144" s="39"/>
      <c r="N144" s="39"/>
      <c r="O144" s="39"/>
      <c r="P144" s="40">
        <f>K144-L144-O144+N144</f>
        <v>0</v>
      </c>
      <c r="Q144" s="39"/>
      <c r="R144" s="39"/>
      <c r="S144" s="40">
        <f>L144</f>
        <v>0</v>
      </c>
      <c r="T144" s="39">
        <f>P144+R144-Q144+M144</f>
        <v>0</v>
      </c>
      <c r="U144" s="39">
        <f>T144-V144-W144-X144</f>
        <v>0</v>
      </c>
      <c r="V144" s="41">
        <f>P144*0.03</f>
        <v>0</v>
      </c>
      <c r="W144" s="41">
        <f>P144*0.04</f>
        <v>0</v>
      </c>
      <c r="X144" s="41">
        <f>P144*0.05</f>
        <v>0</v>
      </c>
      <c r="Y144" s="42">
        <f>P144*0.05</f>
        <v>0</v>
      </c>
      <c r="Z144" s="39">
        <f>T144-Y144</f>
        <v>0</v>
      </c>
      <c r="AA144" s="39">
        <f>U144-Y144</f>
        <v>0</v>
      </c>
      <c r="AB144" s="43"/>
      <c r="AC144" t="s" s="37">
        <v>0</v>
      </c>
      <c r="AD144" t="s" s="37">
        <v>0</v>
      </c>
      <c r="AE144" t="s" s="37">
        <v>0</v>
      </c>
      <c r="AF144" t="s" s="44">
        <v>0</v>
      </c>
      <c r="AG144" s="45"/>
      <c r="AH144" s="39"/>
      <c r="AI144" s="41">
        <f>AH144-T144-U144</f>
        <v>0</v>
      </c>
      <c r="AJ144" t="s" s="44">
        <v>0</v>
      </c>
      <c r="AK144" s="45"/>
      <c r="AL144" s="39"/>
      <c r="AM144" s="41">
        <f>AL144-Z144-AA144</f>
        <v>0</v>
      </c>
      <c r="AN144" t="s" s="44">
        <v>0</v>
      </c>
      <c r="AO144" s="45"/>
      <c r="AP144" s="39"/>
      <c r="AQ144" s="41">
        <f>AP144-Y144</f>
        <v>0</v>
      </c>
      <c r="AR144" s="37"/>
      <c r="AS144" s="46">
        <v>0</v>
      </c>
    </row>
    <row r="145" ht="54.85" customHeight="1">
      <c r="A145" t="s" s="2">
        <v>0</v>
      </c>
      <c r="B145" s="33"/>
      <c r="C145" s="34"/>
      <c r="D145" s="35"/>
      <c r="E145" s="49"/>
      <c r="F145" s="50"/>
      <c r="G145" s="49"/>
      <c r="H145" s="49"/>
      <c r="I145" t="s" s="51">
        <v>0</v>
      </c>
      <c r="J145" s="38"/>
      <c r="K145" s="52"/>
      <c r="L145" s="52"/>
      <c r="M145" s="52"/>
      <c r="N145" s="52"/>
      <c r="O145" s="52"/>
      <c r="P145" s="40">
        <f>K145-L145-O145+N145</f>
        <v>0</v>
      </c>
      <c r="Q145" s="52"/>
      <c r="R145" s="52"/>
      <c r="S145" s="40">
        <f>L145</f>
        <v>0</v>
      </c>
      <c r="T145" s="52">
        <f>P145+R145-Q145+M145</f>
        <v>0</v>
      </c>
      <c r="U145" s="52">
        <f>T145-V145-W145-X145</f>
        <v>0</v>
      </c>
      <c r="V145" s="41">
        <f>P145*0.03</f>
        <v>0</v>
      </c>
      <c r="W145" s="41">
        <f>P145*0.04</f>
        <v>0</v>
      </c>
      <c r="X145" s="41">
        <f>P145*0.05</f>
        <v>0</v>
      </c>
      <c r="Y145" s="42">
        <f>P145*0.05</f>
        <v>0</v>
      </c>
      <c r="Z145" s="52">
        <f>T145-Y145</f>
        <v>0</v>
      </c>
      <c r="AA145" s="52">
        <f>U145-Y145</f>
        <v>0</v>
      </c>
      <c r="AB145" s="43"/>
      <c r="AC145" t="s" s="51">
        <v>0</v>
      </c>
      <c r="AD145" t="s" s="51">
        <v>0</v>
      </c>
      <c r="AE145" t="s" s="51">
        <v>0</v>
      </c>
      <c r="AF145" t="s" s="44">
        <v>0</v>
      </c>
      <c r="AG145" s="54"/>
      <c r="AH145" s="52"/>
      <c r="AI145" s="41">
        <f>AH145-T145-U145</f>
        <v>0</v>
      </c>
      <c r="AJ145" t="s" s="44">
        <v>0</v>
      </c>
      <c r="AK145" s="54"/>
      <c r="AL145" s="52"/>
      <c r="AM145" s="41">
        <f>AL145-Z145-AA145</f>
        <v>0</v>
      </c>
      <c r="AN145" t="s" s="44">
        <v>0</v>
      </c>
      <c r="AO145" s="54"/>
      <c r="AP145" s="52"/>
      <c r="AQ145" s="41">
        <f>AP145-Y145</f>
        <v>0</v>
      </c>
      <c r="AR145" s="51"/>
      <c r="AS145" s="55">
        <v>0</v>
      </c>
    </row>
    <row r="146" ht="54.85" customHeight="1">
      <c r="A146" t="s" s="2">
        <v>0</v>
      </c>
      <c r="B146" s="33"/>
      <c r="C146" s="34"/>
      <c r="D146" s="35"/>
      <c r="E146" s="34"/>
      <c r="F146" s="36"/>
      <c r="G146" s="34"/>
      <c r="H146" s="34"/>
      <c r="I146" t="s" s="37">
        <v>0</v>
      </c>
      <c r="J146" s="38"/>
      <c r="K146" s="39"/>
      <c r="L146" s="39"/>
      <c r="M146" s="39"/>
      <c r="N146" s="39"/>
      <c r="O146" s="39"/>
      <c r="P146" s="40">
        <f>K146-L146-O146+N146</f>
        <v>0</v>
      </c>
      <c r="Q146" s="39"/>
      <c r="R146" s="39"/>
      <c r="S146" s="40">
        <f>L146</f>
        <v>0</v>
      </c>
      <c r="T146" s="39">
        <f>P146+R146-Q146+M146</f>
        <v>0</v>
      </c>
      <c r="U146" s="39">
        <f>T146-V146-W146-X146</f>
        <v>0</v>
      </c>
      <c r="V146" s="41">
        <f>P146*0.03</f>
        <v>0</v>
      </c>
      <c r="W146" s="41">
        <f>P146*0.04</f>
        <v>0</v>
      </c>
      <c r="X146" s="41">
        <f>P146*0.05</f>
        <v>0</v>
      </c>
      <c r="Y146" s="42">
        <f>P146*0.05</f>
        <v>0</v>
      </c>
      <c r="Z146" s="39">
        <f>T146-Y146</f>
        <v>0</v>
      </c>
      <c r="AA146" s="39">
        <f>U146-Y146</f>
        <v>0</v>
      </c>
      <c r="AB146" s="43"/>
      <c r="AC146" t="s" s="37">
        <v>0</v>
      </c>
      <c r="AD146" t="s" s="37">
        <v>0</v>
      </c>
      <c r="AE146" t="s" s="37">
        <v>0</v>
      </c>
      <c r="AF146" t="s" s="44">
        <v>0</v>
      </c>
      <c r="AG146" s="45"/>
      <c r="AH146" s="39"/>
      <c r="AI146" s="41">
        <f>AH146-T146-U146</f>
        <v>0</v>
      </c>
      <c r="AJ146" t="s" s="44">
        <v>0</v>
      </c>
      <c r="AK146" s="45"/>
      <c r="AL146" s="39"/>
      <c r="AM146" s="41">
        <f>AL146-Z146-AA146</f>
        <v>0</v>
      </c>
      <c r="AN146" t="s" s="44">
        <v>0</v>
      </c>
      <c r="AO146" s="45"/>
      <c r="AP146" s="39"/>
      <c r="AQ146" s="41">
        <f>AP146-Y146</f>
        <v>0</v>
      </c>
      <c r="AR146" s="37"/>
      <c r="AS146" s="46">
        <v>0</v>
      </c>
    </row>
    <row r="147" ht="54.85" customHeight="1">
      <c r="A147" t="s" s="2">
        <v>0</v>
      </c>
      <c r="B147" s="33"/>
      <c r="C147" s="34"/>
      <c r="D147" s="35"/>
      <c r="E147" s="49"/>
      <c r="F147" s="50"/>
      <c r="G147" s="49"/>
      <c r="H147" s="49"/>
      <c r="I147" t="s" s="51">
        <v>0</v>
      </c>
      <c r="J147" s="38"/>
      <c r="K147" s="52"/>
      <c r="L147" s="52"/>
      <c r="M147" s="52"/>
      <c r="N147" s="52"/>
      <c r="O147" s="52"/>
      <c r="P147" s="40">
        <f>K147-L147-O147+N147</f>
        <v>0</v>
      </c>
      <c r="Q147" s="52"/>
      <c r="R147" s="52"/>
      <c r="S147" s="40">
        <f>L147</f>
        <v>0</v>
      </c>
      <c r="T147" s="52">
        <f>P147+R147-Q147+M147</f>
        <v>0</v>
      </c>
      <c r="U147" s="52">
        <f>T147-V147-W147-X147</f>
        <v>0</v>
      </c>
      <c r="V147" s="41">
        <f>P147*0.03</f>
        <v>0</v>
      </c>
      <c r="W147" s="41">
        <f>P147*0.04</f>
        <v>0</v>
      </c>
      <c r="X147" s="41">
        <f>P147*0.05</f>
        <v>0</v>
      </c>
      <c r="Y147" s="42">
        <f>P147*0.05</f>
        <v>0</v>
      </c>
      <c r="Z147" s="52">
        <f>T147-Y147</f>
        <v>0</v>
      </c>
      <c r="AA147" s="52">
        <f>U147-Y147</f>
        <v>0</v>
      </c>
      <c r="AB147" s="43"/>
      <c r="AC147" t="s" s="51">
        <v>0</v>
      </c>
      <c r="AD147" t="s" s="51">
        <v>0</v>
      </c>
      <c r="AE147" t="s" s="51">
        <v>0</v>
      </c>
      <c r="AF147" t="s" s="44">
        <v>0</v>
      </c>
      <c r="AG147" s="54"/>
      <c r="AH147" s="52"/>
      <c r="AI147" s="41">
        <f>AH147-T147-U147</f>
        <v>0</v>
      </c>
      <c r="AJ147" t="s" s="44">
        <v>0</v>
      </c>
      <c r="AK147" s="54"/>
      <c r="AL147" s="52"/>
      <c r="AM147" s="41">
        <f>AL147-Z147-AA147</f>
        <v>0</v>
      </c>
      <c r="AN147" t="s" s="44">
        <v>0</v>
      </c>
      <c r="AO147" s="54"/>
      <c r="AP147" s="52"/>
      <c r="AQ147" s="41">
        <f>AP147-Y147</f>
        <v>0</v>
      </c>
      <c r="AR147" s="51"/>
      <c r="AS147" s="55">
        <v>0</v>
      </c>
    </row>
    <row r="148" ht="54.85" customHeight="1">
      <c r="A148" t="s" s="2">
        <v>0</v>
      </c>
      <c r="B148" s="33"/>
      <c r="C148" s="34"/>
      <c r="D148" s="35"/>
      <c r="E148" s="34"/>
      <c r="F148" s="36"/>
      <c r="G148" s="34"/>
      <c r="H148" s="34"/>
      <c r="I148" t="s" s="37">
        <v>0</v>
      </c>
      <c r="J148" s="38"/>
      <c r="K148" s="39"/>
      <c r="L148" s="39"/>
      <c r="M148" s="39"/>
      <c r="N148" s="39"/>
      <c r="O148" s="39"/>
      <c r="P148" s="40">
        <f>K148-L148-O148+N148</f>
        <v>0</v>
      </c>
      <c r="Q148" s="39"/>
      <c r="R148" s="39"/>
      <c r="S148" s="40">
        <f>L148</f>
        <v>0</v>
      </c>
      <c r="T148" s="39">
        <f>P148+R148-Q148+M148</f>
        <v>0</v>
      </c>
      <c r="U148" s="39">
        <f>T148-V148-W148-X148</f>
        <v>0</v>
      </c>
      <c r="V148" s="41">
        <f>P148*0.03</f>
        <v>0</v>
      </c>
      <c r="W148" s="41">
        <f>P148*0.04</f>
        <v>0</v>
      </c>
      <c r="X148" s="41">
        <f>P148*0.05</f>
        <v>0</v>
      </c>
      <c r="Y148" s="42">
        <f>P148*0.05</f>
        <v>0</v>
      </c>
      <c r="Z148" s="39">
        <f>T148-Y148</f>
        <v>0</v>
      </c>
      <c r="AA148" s="39">
        <f>U148-Y148</f>
        <v>0</v>
      </c>
      <c r="AB148" s="43"/>
      <c r="AC148" t="s" s="37">
        <v>0</v>
      </c>
      <c r="AD148" t="s" s="37">
        <v>0</v>
      </c>
      <c r="AE148" t="s" s="37">
        <v>0</v>
      </c>
      <c r="AF148" t="s" s="44">
        <v>0</v>
      </c>
      <c r="AG148" s="45"/>
      <c r="AH148" s="39"/>
      <c r="AI148" s="41">
        <f>AH148-T148-U148</f>
        <v>0</v>
      </c>
      <c r="AJ148" t="s" s="44">
        <v>0</v>
      </c>
      <c r="AK148" s="45"/>
      <c r="AL148" s="39"/>
      <c r="AM148" s="41">
        <f>AL148-Z148-AA148</f>
        <v>0</v>
      </c>
      <c r="AN148" t="s" s="44">
        <v>0</v>
      </c>
      <c r="AO148" s="45"/>
      <c r="AP148" s="39"/>
      <c r="AQ148" s="41">
        <f>AP148-Y148</f>
        <v>0</v>
      </c>
      <c r="AR148" s="37"/>
      <c r="AS148" s="46">
        <v>0</v>
      </c>
    </row>
    <row r="149" ht="54.85" customHeight="1">
      <c r="A149" t="s" s="2">
        <v>0</v>
      </c>
      <c r="B149" s="33"/>
      <c r="C149" s="34"/>
      <c r="D149" s="35"/>
      <c r="E149" s="49"/>
      <c r="F149" s="50"/>
      <c r="G149" s="49"/>
      <c r="H149" s="49"/>
      <c r="I149" t="s" s="51">
        <v>0</v>
      </c>
      <c r="J149" s="38"/>
      <c r="K149" s="52"/>
      <c r="L149" s="52"/>
      <c r="M149" s="52"/>
      <c r="N149" s="52"/>
      <c r="O149" s="52"/>
      <c r="P149" s="40">
        <f>K149-L149-O149+N149</f>
        <v>0</v>
      </c>
      <c r="Q149" s="52"/>
      <c r="R149" s="52"/>
      <c r="S149" s="40">
        <f>L149</f>
        <v>0</v>
      </c>
      <c r="T149" s="52">
        <f>P149+R149-Q149+M149</f>
        <v>0</v>
      </c>
      <c r="U149" s="52">
        <f>T149-V149-W149-X149</f>
        <v>0</v>
      </c>
      <c r="V149" s="41">
        <f>P149*0.03</f>
        <v>0</v>
      </c>
      <c r="W149" s="41">
        <f>P149*0.04</f>
        <v>0</v>
      </c>
      <c r="X149" s="41">
        <f>P149*0.05</f>
        <v>0</v>
      </c>
      <c r="Y149" s="42">
        <f>P149*0.05</f>
        <v>0</v>
      </c>
      <c r="Z149" s="52">
        <f>T149-Y149</f>
        <v>0</v>
      </c>
      <c r="AA149" s="52">
        <f>U149-Y149</f>
        <v>0</v>
      </c>
      <c r="AB149" s="43"/>
      <c r="AC149" t="s" s="51">
        <v>0</v>
      </c>
      <c r="AD149" t="s" s="51">
        <v>0</v>
      </c>
      <c r="AE149" t="s" s="51">
        <v>0</v>
      </c>
      <c r="AF149" t="s" s="44">
        <v>0</v>
      </c>
      <c r="AG149" s="54"/>
      <c r="AH149" s="52"/>
      <c r="AI149" s="41">
        <f>AH149-T149-U149</f>
        <v>0</v>
      </c>
      <c r="AJ149" t="s" s="44">
        <v>0</v>
      </c>
      <c r="AK149" s="54"/>
      <c r="AL149" s="52"/>
      <c r="AM149" s="41">
        <f>AL149-Z149-AA149</f>
        <v>0</v>
      </c>
      <c r="AN149" t="s" s="44">
        <v>0</v>
      </c>
      <c r="AO149" s="54"/>
      <c r="AP149" s="52"/>
      <c r="AQ149" s="41">
        <f>AP149-Y149</f>
        <v>0</v>
      </c>
      <c r="AR149" s="51"/>
      <c r="AS149" s="55">
        <v>0</v>
      </c>
    </row>
    <row r="150" ht="54.85" customHeight="1">
      <c r="A150" t="s" s="2">
        <v>0</v>
      </c>
      <c r="B150" s="33"/>
      <c r="C150" s="34"/>
      <c r="D150" s="35"/>
      <c r="E150" s="34"/>
      <c r="F150" s="36"/>
      <c r="G150" s="34"/>
      <c r="H150" s="34"/>
      <c r="I150" t="s" s="37">
        <v>0</v>
      </c>
      <c r="J150" s="38"/>
      <c r="K150" s="39"/>
      <c r="L150" s="39"/>
      <c r="M150" s="39"/>
      <c r="N150" s="39"/>
      <c r="O150" s="39"/>
      <c r="P150" s="40">
        <f>K150-L150-O150+N150</f>
        <v>0</v>
      </c>
      <c r="Q150" s="39"/>
      <c r="R150" s="39"/>
      <c r="S150" s="40">
        <f>L150</f>
        <v>0</v>
      </c>
      <c r="T150" s="39">
        <f>P150+R150-Q150+M150</f>
        <v>0</v>
      </c>
      <c r="U150" s="39">
        <f>T150-V150-W150-X150</f>
        <v>0</v>
      </c>
      <c r="V150" s="41">
        <f>P150*0.03</f>
        <v>0</v>
      </c>
      <c r="W150" s="41">
        <f>P150*0.04</f>
        <v>0</v>
      </c>
      <c r="X150" s="41">
        <f>P150*0.05</f>
        <v>0</v>
      </c>
      <c r="Y150" s="42">
        <f>P150*0.05</f>
        <v>0</v>
      </c>
      <c r="Z150" s="39">
        <f>T150-Y150</f>
        <v>0</v>
      </c>
      <c r="AA150" s="39">
        <f>U150-Y150</f>
        <v>0</v>
      </c>
      <c r="AB150" s="43"/>
      <c r="AC150" t="s" s="37">
        <v>0</v>
      </c>
      <c r="AD150" t="s" s="37">
        <v>0</v>
      </c>
      <c r="AE150" t="s" s="37">
        <v>0</v>
      </c>
      <c r="AF150" t="s" s="44">
        <v>0</v>
      </c>
      <c r="AG150" s="45"/>
      <c r="AH150" s="39"/>
      <c r="AI150" s="41">
        <f>AH150-T150-U150</f>
        <v>0</v>
      </c>
      <c r="AJ150" t="s" s="44">
        <v>0</v>
      </c>
      <c r="AK150" s="45"/>
      <c r="AL150" s="39"/>
      <c r="AM150" s="41">
        <f>AL150-Z150-AA150</f>
        <v>0</v>
      </c>
      <c r="AN150" t="s" s="44">
        <v>0</v>
      </c>
      <c r="AO150" s="45"/>
      <c r="AP150" s="39"/>
      <c r="AQ150" s="41">
        <f>AP150-Y150</f>
        <v>0</v>
      </c>
      <c r="AR150" s="37"/>
      <c r="AS150" s="46">
        <v>0</v>
      </c>
    </row>
    <row r="151" ht="54.85" customHeight="1">
      <c r="A151" t="s" s="2">
        <v>0</v>
      </c>
      <c r="B151" s="33"/>
      <c r="C151" s="34"/>
      <c r="D151" s="35"/>
      <c r="E151" s="49"/>
      <c r="F151" s="50"/>
      <c r="G151" s="49"/>
      <c r="H151" s="49"/>
      <c r="I151" t="s" s="51">
        <v>0</v>
      </c>
      <c r="J151" s="38"/>
      <c r="K151" s="52"/>
      <c r="L151" s="52"/>
      <c r="M151" s="52"/>
      <c r="N151" s="52"/>
      <c r="O151" s="52"/>
      <c r="P151" s="40">
        <f>K151-L151-O151+N151</f>
        <v>0</v>
      </c>
      <c r="Q151" s="52"/>
      <c r="R151" s="52"/>
      <c r="S151" s="40">
        <f>L151</f>
        <v>0</v>
      </c>
      <c r="T151" s="52">
        <f>P151+R151-Q151+M151</f>
        <v>0</v>
      </c>
      <c r="U151" s="52">
        <f>T151-V151-W151-X151</f>
        <v>0</v>
      </c>
      <c r="V151" s="41">
        <f>P151*0.03</f>
        <v>0</v>
      </c>
      <c r="W151" s="41">
        <f>P151*0.04</f>
        <v>0</v>
      </c>
      <c r="X151" s="41">
        <f>P151*0.05</f>
        <v>0</v>
      </c>
      <c r="Y151" s="42">
        <f>P151*0.05</f>
        <v>0</v>
      </c>
      <c r="Z151" s="52">
        <f>T151-Y151</f>
        <v>0</v>
      </c>
      <c r="AA151" s="52">
        <f>U151-Y151</f>
        <v>0</v>
      </c>
      <c r="AB151" s="43"/>
      <c r="AC151" t="s" s="51">
        <v>0</v>
      </c>
      <c r="AD151" t="s" s="51">
        <v>0</v>
      </c>
      <c r="AE151" t="s" s="51">
        <v>0</v>
      </c>
      <c r="AF151" t="s" s="44">
        <v>0</v>
      </c>
      <c r="AG151" s="54"/>
      <c r="AH151" s="52"/>
      <c r="AI151" s="41">
        <f>AH151-T151-U151</f>
        <v>0</v>
      </c>
      <c r="AJ151" t="s" s="44">
        <v>0</v>
      </c>
      <c r="AK151" s="54"/>
      <c r="AL151" s="52"/>
      <c r="AM151" s="41">
        <f>AL151-Z151-AA151</f>
        <v>0</v>
      </c>
      <c r="AN151" t="s" s="44">
        <v>0</v>
      </c>
      <c r="AO151" s="54"/>
      <c r="AP151" s="52"/>
      <c r="AQ151" s="41">
        <f>AP151-Y151</f>
        <v>0</v>
      </c>
      <c r="AR151" s="51"/>
      <c r="AS151" s="55">
        <v>0</v>
      </c>
    </row>
    <row r="152" ht="54.85" customHeight="1">
      <c r="A152" t="s" s="2">
        <v>0</v>
      </c>
      <c r="B152" s="33"/>
      <c r="C152" s="34"/>
      <c r="D152" s="35"/>
      <c r="E152" s="34"/>
      <c r="F152" s="36"/>
      <c r="G152" s="34"/>
      <c r="H152" s="34"/>
      <c r="I152" t="s" s="37">
        <v>0</v>
      </c>
      <c r="J152" s="38"/>
      <c r="K152" s="39"/>
      <c r="L152" s="39"/>
      <c r="M152" s="39"/>
      <c r="N152" s="39"/>
      <c r="O152" s="39"/>
      <c r="P152" s="40">
        <f>K152-L152-O152+N152</f>
        <v>0</v>
      </c>
      <c r="Q152" s="39"/>
      <c r="R152" s="39"/>
      <c r="S152" s="40">
        <f>L152</f>
        <v>0</v>
      </c>
      <c r="T152" s="39">
        <f>P152+R152-Q152+M152</f>
        <v>0</v>
      </c>
      <c r="U152" s="39">
        <f>T152-V152-W152-X152</f>
        <v>0</v>
      </c>
      <c r="V152" s="41">
        <f>P152*0.03</f>
        <v>0</v>
      </c>
      <c r="W152" s="41">
        <f>P152*0.04</f>
        <v>0</v>
      </c>
      <c r="X152" s="41">
        <f>P152*0.05</f>
        <v>0</v>
      </c>
      <c r="Y152" s="42">
        <f>P152*0.05</f>
        <v>0</v>
      </c>
      <c r="Z152" s="39">
        <f>T152-Y152</f>
        <v>0</v>
      </c>
      <c r="AA152" s="39">
        <f>U152-Y152</f>
        <v>0</v>
      </c>
      <c r="AB152" s="43"/>
      <c r="AC152" t="s" s="37">
        <v>0</v>
      </c>
      <c r="AD152" t="s" s="37">
        <v>0</v>
      </c>
      <c r="AE152" t="s" s="37">
        <v>0</v>
      </c>
      <c r="AF152" t="s" s="44">
        <v>0</v>
      </c>
      <c r="AG152" s="45"/>
      <c r="AH152" s="39"/>
      <c r="AI152" s="41">
        <f>AH152-T152-U152</f>
        <v>0</v>
      </c>
      <c r="AJ152" t="s" s="44">
        <v>0</v>
      </c>
      <c r="AK152" s="45"/>
      <c r="AL152" s="39"/>
      <c r="AM152" s="41">
        <f>AL152-Z152-AA152</f>
        <v>0</v>
      </c>
      <c r="AN152" t="s" s="44">
        <v>0</v>
      </c>
      <c r="AO152" s="45"/>
      <c r="AP152" s="39"/>
      <c r="AQ152" s="41">
        <f>AP152-Y152</f>
        <v>0</v>
      </c>
      <c r="AR152" s="37"/>
      <c r="AS152" s="46">
        <v>0</v>
      </c>
    </row>
    <row r="153" ht="54.85" customHeight="1">
      <c r="A153" t="s" s="2">
        <v>0</v>
      </c>
      <c r="B153" s="33"/>
      <c r="C153" s="34"/>
      <c r="D153" s="35"/>
      <c r="E153" s="49"/>
      <c r="F153" s="50"/>
      <c r="G153" s="49"/>
      <c r="H153" s="49"/>
      <c r="I153" t="s" s="51">
        <v>0</v>
      </c>
      <c r="J153" s="38"/>
      <c r="K153" s="52"/>
      <c r="L153" s="52"/>
      <c r="M153" s="52"/>
      <c r="N153" s="52"/>
      <c r="O153" s="52"/>
      <c r="P153" s="40">
        <f>K153-L153-O153+N153</f>
        <v>0</v>
      </c>
      <c r="Q153" s="52"/>
      <c r="R153" s="52"/>
      <c r="S153" s="40">
        <f>L153</f>
        <v>0</v>
      </c>
      <c r="T153" s="52">
        <f>P153+R153-Q153+M153</f>
        <v>0</v>
      </c>
      <c r="U153" s="52">
        <f>T153-V153-W153-X153</f>
        <v>0</v>
      </c>
      <c r="V153" s="41">
        <f>P153*0.03</f>
        <v>0</v>
      </c>
      <c r="W153" s="41">
        <f>P153*0.04</f>
        <v>0</v>
      </c>
      <c r="X153" s="41">
        <f>P153*0.05</f>
        <v>0</v>
      </c>
      <c r="Y153" s="42">
        <f>P153*0.05</f>
        <v>0</v>
      </c>
      <c r="Z153" s="52">
        <f>T153-Y153</f>
        <v>0</v>
      </c>
      <c r="AA153" s="52">
        <f>U153-Y153</f>
        <v>0</v>
      </c>
      <c r="AB153" s="43"/>
      <c r="AC153" t="s" s="51">
        <v>0</v>
      </c>
      <c r="AD153" t="s" s="51">
        <v>0</v>
      </c>
      <c r="AE153" t="s" s="51">
        <v>0</v>
      </c>
      <c r="AF153" t="s" s="44">
        <v>0</v>
      </c>
      <c r="AG153" s="54"/>
      <c r="AH153" s="52"/>
      <c r="AI153" s="41">
        <f>AH153-T153-U153</f>
        <v>0</v>
      </c>
      <c r="AJ153" t="s" s="44">
        <v>0</v>
      </c>
      <c r="AK153" s="54"/>
      <c r="AL153" s="52"/>
      <c r="AM153" s="41">
        <f>AL153-Z153-AA153</f>
        <v>0</v>
      </c>
      <c r="AN153" t="s" s="44">
        <v>0</v>
      </c>
      <c r="AO153" s="54"/>
      <c r="AP153" s="52"/>
      <c r="AQ153" s="41">
        <f>AP153-Y153</f>
        <v>0</v>
      </c>
      <c r="AR153" s="51"/>
      <c r="AS153" s="55">
        <v>0</v>
      </c>
    </row>
    <row r="154" ht="54.85" customHeight="1">
      <c r="A154" t="s" s="2">
        <v>0</v>
      </c>
      <c r="B154" s="33"/>
      <c r="C154" s="34"/>
      <c r="D154" s="35"/>
      <c r="E154" s="34"/>
      <c r="F154" s="36"/>
      <c r="G154" s="34"/>
      <c r="H154" s="34"/>
      <c r="I154" t="s" s="37">
        <v>0</v>
      </c>
      <c r="J154" s="38"/>
      <c r="K154" s="39"/>
      <c r="L154" s="39"/>
      <c r="M154" s="39"/>
      <c r="N154" s="39"/>
      <c r="O154" s="39"/>
      <c r="P154" s="40">
        <f>K154-L154-O154+N154</f>
        <v>0</v>
      </c>
      <c r="Q154" s="39"/>
      <c r="R154" s="39"/>
      <c r="S154" s="40">
        <f>L154</f>
        <v>0</v>
      </c>
      <c r="T154" s="39">
        <f>P154+R154-Q154+M154</f>
        <v>0</v>
      </c>
      <c r="U154" s="39">
        <f>T154-V154-W154-X154</f>
        <v>0</v>
      </c>
      <c r="V154" s="41">
        <f>P154*0.03</f>
        <v>0</v>
      </c>
      <c r="W154" s="41">
        <f>P154*0.04</f>
        <v>0</v>
      </c>
      <c r="X154" s="41">
        <f>P154*0.05</f>
        <v>0</v>
      </c>
      <c r="Y154" s="42">
        <f>P154*0.05</f>
        <v>0</v>
      </c>
      <c r="Z154" s="39">
        <f>T154-Y154</f>
        <v>0</v>
      </c>
      <c r="AA154" s="39">
        <f>U154-Y154</f>
        <v>0</v>
      </c>
      <c r="AB154" s="43"/>
      <c r="AC154" t="s" s="37">
        <v>0</v>
      </c>
      <c r="AD154" t="s" s="37">
        <v>0</v>
      </c>
      <c r="AE154" t="s" s="37">
        <v>0</v>
      </c>
      <c r="AF154" t="s" s="44">
        <v>0</v>
      </c>
      <c r="AG154" s="45"/>
      <c r="AH154" s="39"/>
      <c r="AI154" s="41">
        <f>AH154-T154-U154</f>
        <v>0</v>
      </c>
      <c r="AJ154" t="s" s="44">
        <v>0</v>
      </c>
      <c r="AK154" s="45"/>
      <c r="AL154" s="39"/>
      <c r="AM154" s="41">
        <f>AL154-Z154-AA154</f>
        <v>0</v>
      </c>
      <c r="AN154" t="s" s="44">
        <v>0</v>
      </c>
      <c r="AO154" s="45"/>
      <c r="AP154" s="39"/>
      <c r="AQ154" s="41">
        <f>AP154-Y154</f>
        <v>0</v>
      </c>
      <c r="AR154" s="37"/>
      <c r="AS154" s="46">
        <v>0</v>
      </c>
    </row>
    <row r="155" ht="54.85" customHeight="1">
      <c r="A155" t="s" s="2">
        <v>0</v>
      </c>
      <c r="B155" s="33"/>
      <c r="C155" s="34"/>
      <c r="D155" s="35"/>
      <c r="E155" s="49"/>
      <c r="F155" s="50"/>
      <c r="G155" s="49"/>
      <c r="H155" s="49"/>
      <c r="I155" t="s" s="51">
        <v>0</v>
      </c>
      <c r="J155" s="38"/>
      <c r="K155" s="52"/>
      <c r="L155" s="52"/>
      <c r="M155" s="52"/>
      <c r="N155" s="52"/>
      <c r="O155" s="52"/>
      <c r="P155" s="40">
        <f>K155-L155-O155+N155</f>
        <v>0</v>
      </c>
      <c r="Q155" s="52"/>
      <c r="R155" s="52"/>
      <c r="S155" s="40">
        <f>L155</f>
        <v>0</v>
      </c>
      <c r="T155" s="52">
        <f>P155+R155-Q155+M155</f>
        <v>0</v>
      </c>
      <c r="U155" s="52">
        <f>T155-V155-W155-X155</f>
        <v>0</v>
      </c>
      <c r="V155" s="41">
        <f>P155*0.03</f>
        <v>0</v>
      </c>
      <c r="W155" s="41">
        <f>P155*0.04</f>
        <v>0</v>
      </c>
      <c r="X155" s="41">
        <f>P155*0.05</f>
        <v>0</v>
      </c>
      <c r="Y155" s="42">
        <f>P155*0.05</f>
        <v>0</v>
      </c>
      <c r="Z155" s="52">
        <f>T155-Y155</f>
        <v>0</v>
      </c>
      <c r="AA155" s="52">
        <f>U155-Y155</f>
        <v>0</v>
      </c>
      <c r="AB155" s="43"/>
      <c r="AC155" t="s" s="51">
        <v>0</v>
      </c>
      <c r="AD155" t="s" s="51">
        <v>0</v>
      </c>
      <c r="AE155" t="s" s="51">
        <v>0</v>
      </c>
      <c r="AF155" t="s" s="44">
        <v>0</v>
      </c>
      <c r="AG155" s="54"/>
      <c r="AH155" s="52"/>
      <c r="AI155" s="41">
        <f>AH155-T155-U155</f>
        <v>0</v>
      </c>
      <c r="AJ155" t="s" s="44">
        <v>0</v>
      </c>
      <c r="AK155" s="54"/>
      <c r="AL155" s="52"/>
      <c r="AM155" s="41">
        <f>AL155-Z155-AA155</f>
        <v>0</v>
      </c>
      <c r="AN155" t="s" s="44">
        <v>0</v>
      </c>
      <c r="AO155" s="54"/>
      <c r="AP155" s="52"/>
      <c r="AQ155" s="41">
        <f>AP155-Y155</f>
        <v>0</v>
      </c>
      <c r="AR155" s="51"/>
      <c r="AS155" s="55">
        <v>0</v>
      </c>
    </row>
    <row r="156" ht="54.85" customHeight="1">
      <c r="A156" t="s" s="2">
        <v>0</v>
      </c>
      <c r="B156" s="33"/>
      <c r="C156" s="34"/>
      <c r="D156" s="35"/>
      <c r="E156" s="34"/>
      <c r="F156" s="36"/>
      <c r="G156" s="34"/>
      <c r="H156" s="34"/>
      <c r="I156" t="s" s="37">
        <v>0</v>
      </c>
      <c r="J156" s="38"/>
      <c r="K156" s="39"/>
      <c r="L156" s="39"/>
      <c r="M156" s="39"/>
      <c r="N156" s="39"/>
      <c r="O156" s="39"/>
      <c r="P156" s="40">
        <f>K156-L156-O156+N156</f>
        <v>0</v>
      </c>
      <c r="Q156" s="39"/>
      <c r="R156" s="39"/>
      <c r="S156" s="40">
        <f>L156</f>
        <v>0</v>
      </c>
      <c r="T156" s="39">
        <f>P156+R156-Q156+M156</f>
        <v>0</v>
      </c>
      <c r="U156" s="39">
        <f>T156-V156-W156-X156</f>
        <v>0</v>
      </c>
      <c r="V156" s="41">
        <f>P156*0.03</f>
        <v>0</v>
      </c>
      <c r="W156" s="41">
        <f>P156*0.04</f>
        <v>0</v>
      </c>
      <c r="X156" s="41">
        <f>P156*0.05</f>
        <v>0</v>
      </c>
      <c r="Y156" s="42">
        <f>P156*0.05</f>
        <v>0</v>
      </c>
      <c r="Z156" s="39">
        <f>T156-Y156</f>
        <v>0</v>
      </c>
      <c r="AA156" s="39">
        <f>U156-Y156</f>
        <v>0</v>
      </c>
      <c r="AB156" s="43"/>
      <c r="AC156" t="s" s="37">
        <v>0</v>
      </c>
      <c r="AD156" t="s" s="37">
        <v>0</v>
      </c>
      <c r="AE156" t="s" s="37">
        <v>0</v>
      </c>
      <c r="AF156" t="s" s="44">
        <v>0</v>
      </c>
      <c r="AG156" s="45"/>
      <c r="AH156" s="39"/>
      <c r="AI156" s="41">
        <f>AH156-T156-U156</f>
        <v>0</v>
      </c>
      <c r="AJ156" t="s" s="44">
        <v>0</v>
      </c>
      <c r="AK156" s="45"/>
      <c r="AL156" s="39"/>
      <c r="AM156" s="41">
        <f>AL156-Z156-AA156</f>
        <v>0</v>
      </c>
      <c r="AN156" t="s" s="44">
        <v>0</v>
      </c>
      <c r="AO156" s="45"/>
      <c r="AP156" s="39"/>
      <c r="AQ156" s="41">
        <f>AP156-Y156</f>
        <v>0</v>
      </c>
      <c r="AR156" s="37"/>
      <c r="AS156" s="46">
        <v>0</v>
      </c>
    </row>
    <row r="157" ht="54.85" customHeight="1">
      <c r="A157" t="s" s="2">
        <v>0</v>
      </c>
      <c r="B157" s="33"/>
      <c r="C157" s="34"/>
      <c r="D157" s="35"/>
      <c r="E157" s="49"/>
      <c r="F157" s="50"/>
      <c r="G157" s="49"/>
      <c r="H157" s="49"/>
      <c r="I157" t="s" s="51">
        <v>0</v>
      </c>
      <c r="J157" s="38"/>
      <c r="K157" s="52"/>
      <c r="L157" s="52"/>
      <c r="M157" s="52"/>
      <c r="N157" s="52"/>
      <c r="O157" s="52"/>
      <c r="P157" s="40">
        <f>K157-L157-O157+N157</f>
        <v>0</v>
      </c>
      <c r="Q157" s="52"/>
      <c r="R157" s="52"/>
      <c r="S157" s="40">
        <f>L157</f>
        <v>0</v>
      </c>
      <c r="T157" s="52">
        <f>P157+R157-Q157+M157</f>
        <v>0</v>
      </c>
      <c r="U157" s="52">
        <f>T157-V157-W157-X157</f>
        <v>0</v>
      </c>
      <c r="V157" s="41">
        <f>P157*0.03</f>
        <v>0</v>
      </c>
      <c r="W157" s="41">
        <f>P157*0.04</f>
        <v>0</v>
      </c>
      <c r="X157" s="41">
        <f>P157*0.05</f>
        <v>0</v>
      </c>
      <c r="Y157" s="42">
        <f>P157*0.05</f>
        <v>0</v>
      </c>
      <c r="Z157" s="52">
        <f>T157-Y157</f>
        <v>0</v>
      </c>
      <c r="AA157" s="52">
        <f>U157-Y157</f>
        <v>0</v>
      </c>
      <c r="AB157" s="43"/>
      <c r="AC157" t="s" s="51">
        <v>0</v>
      </c>
      <c r="AD157" t="s" s="51">
        <v>0</v>
      </c>
      <c r="AE157" t="s" s="51">
        <v>0</v>
      </c>
      <c r="AF157" t="s" s="44">
        <v>0</v>
      </c>
      <c r="AG157" s="54"/>
      <c r="AH157" s="52"/>
      <c r="AI157" s="41">
        <f>AH157-T157-U157</f>
        <v>0</v>
      </c>
      <c r="AJ157" t="s" s="44">
        <v>0</v>
      </c>
      <c r="AK157" s="54"/>
      <c r="AL157" s="52"/>
      <c r="AM157" s="41">
        <f>AL157-Z157-AA157</f>
        <v>0</v>
      </c>
      <c r="AN157" t="s" s="44">
        <v>0</v>
      </c>
      <c r="AO157" s="54"/>
      <c r="AP157" s="52"/>
      <c r="AQ157" s="41">
        <f>AP157-Y157</f>
        <v>0</v>
      </c>
      <c r="AR157" s="51"/>
      <c r="AS157" s="55">
        <v>0</v>
      </c>
    </row>
    <row r="158" ht="54.85" customHeight="1">
      <c r="A158" t="s" s="2">
        <v>0</v>
      </c>
      <c r="B158" s="33"/>
      <c r="C158" s="34"/>
      <c r="D158" s="35"/>
      <c r="E158" s="34"/>
      <c r="F158" s="36"/>
      <c r="G158" s="34"/>
      <c r="H158" s="34"/>
      <c r="I158" t="s" s="37">
        <v>0</v>
      </c>
      <c r="J158" s="38"/>
      <c r="K158" s="39"/>
      <c r="L158" s="39"/>
      <c r="M158" s="39"/>
      <c r="N158" s="39"/>
      <c r="O158" s="39"/>
      <c r="P158" s="40">
        <f>K158-L158-O158+N158</f>
        <v>0</v>
      </c>
      <c r="Q158" s="39"/>
      <c r="R158" s="39"/>
      <c r="S158" s="40">
        <f>L158</f>
        <v>0</v>
      </c>
      <c r="T158" s="39">
        <f>P158+R158-Q158+M158</f>
        <v>0</v>
      </c>
      <c r="U158" s="39">
        <f>T158-V158-W158-X158</f>
        <v>0</v>
      </c>
      <c r="V158" s="41">
        <f>P158*0.03</f>
        <v>0</v>
      </c>
      <c r="W158" s="41">
        <f>P158*0.04</f>
        <v>0</v>
      </c>
      <c r="X158" s="41">
        <f>P158*0.05</f>
        <v>0</v>
      </c>
      <c r="Y158" s="42">
        <f>P158*0.05</f>
        <v>0</v>
      </c>
      <c r="Z158" s="39">
        <f>T158-Y158</f>
        <v>0</v>
      </c>
      <c r="AA158" s="39">
        <f>U158-Y158</f>
        <v>0</v>
      </c>
      <c r="AB158" s="43"/>
      <c r="AC158" t="s" s="37">
        <v>0</v>
      </c>
      <c r="AD158" t="s" s="37">
        <v>0</v>
      </c>
      <c r="AE158" t="s" s="37">
        <v>0</v>
      </c>
      <c r="AF158" t="s" s="44">
        <v>0</v>
      </c>
      <c r="AG158" s="45"/>
      <c r="AH158" s="39"/>
      <c r="AI158" s="41">
        <f>AH158-T158-U158</f>
        <v>0</v>
      </c>
      <c r="AJ158" t="s" s="44">
        <v>0</v>
      </c>
      <c r="AK158" s="45"/>
      <c r="AL158" s="39"/>
      <c r="AM158" s="41">
        <f>AL158-Z158-AA158</f>
        <v>0</v>
      </c>
      <c r="AN158" t="s" s="44">
        <v>0</v>
      </c>
      <c r="AO158" s="45"/>
      <c r="AP158" s="39"/>
      <c r="AQ158" s="41">
        <f>AP158-Y158</f>
        <v>0</v>
      </c>
      <c r="AR158" s="37"/>
      <c r="AS158" s="46">
        <v>0</v>
      </c>
    </row>
    <row r="159" ht="54.85" customHeight="1">
      <c r="A159" t="s" s="2">
        <v>0</v>
      </c>
      <c r="B159" s="33"/>
      <c r="C159" s="34"/>
      <c r="D159" s="35"/>
      <c r="E159" s="49"/>
      <c r="F159" s="50"/>
      <c r="G159" s="49"/>
      <c r="H159" s="49"/>
      <c r="I159" t="s" s="51">
        <v>0</v>
      </c>
      <c r="J159" s="38"/>
      <c r="K159" s="52"/>
      <c r="L159" s="52"/>
      <c r="M159" s="52"/>
      <c r="N159" s="52"/>
      <c r="O159" s="52"/>
      <c r="P159" s="40">
        <f>K159-L159-O159+N159</f>
        <v>0</v>
      </c>
      <c r="Q159" s="52"/>
      <c r="R159" s="52"/>
      <c r="S159" s="40">
        <f>L159</f>
        <v>0</v>
      </c>
      <c r="T159" s="52">
        <f>P159+R159-Q159+M159</f>
        <v>0</v>
      </c>
      <c r="U159" s="52">
        <f>T159-V159-W159-X159</f>
        <v>0</v>
      </c>
      <c r="V159" s="41">
        <f>P159*0.03</f>
        <v>0</v>
      </c>
      <c r="W159" s="41">
        <f>P159*0.04</f>
        <v>0</v>
      </c>
      <c r="X159" s="41">
        <f>P159*0.05</f>
        <v>0</v>
      </c>
      <c r="Y159" s="42">
        <f>P159*0.05</f>
        <v>0</v>
      </c>
      <c r="Z159" s="52">
        <f>T159-Y159</f>
        <v>0</v>
      </c>
      <c r="AA159" s="52">
        <f>U159-Y159</f>
        <v>0</v>
      </c>
      <c r="AB159" s="43"/>
      <c r="AC159" t="s" s="51">
        <v>0</v>
      </c>
      <c r="AD159" t="s" s="51">
        <v>0</v>
      </c>
      <c r="AE159" t="s" s="51">
        <v>0</v>
      </c>
      <c r="AF159" t="s" s="44">
        <v>0</v>
      </c>
      <c r="AG159" s="54"/>
      <c r="AH159" s="52"/>
      <c r="AI159" s="41">
        <f>AH159-T159-U159</f>
        <v>0</v>
      </c>
      <c r="AJ159" t="s" s="44">
        <v>0</v>
      </c>
      <c r="AK159" s="54"/>
      <c r="AL159" s="52"/>
      <c r="AM159" s="41">
        <f>AL159-Z159-AA159</f>
        <v>0</v>
      </c>
      <c r="AN159" t="s" s="44">
        <v>0</v>
      </c>
      <c r="AO159" s="54"/>
      <c r="AP159" s="52"/>
      <c r="AQ159" s="41">
        <f>AP159-Y159</f>
        <v>0</v>
      </c>
      <c r="AR159" s="51"/>
      <c r="AS159" s="55">
        <v>0</v>
      </c>
    </row>
    <row r="160" ht="54.85" customHeight="1">
      <c r="A160" t="s" s="2">
        <v>0</v>
      </c>
      <c r="B160" s="33"/>
      <c r="C160" s="34"/>
      <c r="D160" s="35"/>
      <c r="E160" s="34"/>
      <c r="F160" s="36"/>
      <c r="G160" s="34"/>
      <c r="H160" s="34"/>
      <c r="I160" t="s" s="37">
        <v>0</v>
      </c>
      <c r="J160" s="38"/>
      <c r="K160" s="39"/>
      <c r="L160" s="39"/>
      <c r="M160" s="39"/>
      <c r="N160" s="39"/>
      <c r="O160" s="39"/>
      <c r="P160" s="40">
        <f>K160-L160-O160+N160</f>
        <v>0</v>
      </c>
      <c r="Q160" s="39"/>
      <c r="R160" s="39"/>
      <c r="S160" s="40">
        <f>L160</f>
        <v>0</v>
      </c>
      <c r="T160" s="39">
        <f>P160+R160-Q160+M160</f>
        <v>0</v>
      </c>
      <c r="U160" s="39">
        <f>T160-V160-W160-X160</f>
        <v>0</v>
      </c>
      <c r="V160" s="41">
        <f>P160*0.03</f>
        <v>0</v>
      </c>
      <c r="W160" s="41">
        <f>P160*0.04</f>
        <v>0</v>
      </c>
      <c r="X160" s="41">
        <f>P160*0.05</f>
        <v>0</v>
      </c>
      <c r="Y160" s="42">
        <f>P160*0.05</f>
        <v>0</v>
      </c>
      <c r="Z160" s="39">
        <f>T160-Y160</f>
        <v>0</v>
      </c>
      <c r="AA160" s="39">
        <f>U160-Y160</f>
        <v>0</v>
      </c>
      <c r="AB160" s="43"/>
      <c r="AC160" t="s" s="37">
        <v>0</v>
      </c>
      <c r="AD160" t="s" s="37">
        <v>0</v>
      </c>
      <c r="AE160" t="s" s="37">
        <v>0</v>
      </c>
      <c r="AF160" t="s" s="44">
        <v>0</v>
      </c>
      <c r="AG160" s="45"/>
      <c r="AH160" s="39"/>
      <c r="AI160" s="41">
        <f>AH160-T160-U160</f>
        <v>0</v>
      </c>
      <c r="AJ160" t="s" s="44">
        <v>0</v>
      </c>
      <c r="AK160" s="45"/>
      <c r="AL160" s="39"/>
      <c r="AM160" s="41">
        <f>AL160-Z160-AA160</f>
        <v>0</v>
      </c>
      <c r="AN160" t="s" s="44">
        <v>0</v>
      </c>
      <c r="AO160" s="45"/>
      <c r="AP160" s="39"/>
      <c r="AQ160" s="41">
        <f>AP160-Y160</f>
        <v>0</v>
      </c>
      <c r="AR160" s="37"/>
      <c r="AS160" s="46">
        <v>0</v>
      </c>
    </row>
    <row r="161" ht="54.85" customHeight="1">
      <c r="A161" t="s" s="2">
        <v>0</v>
      </c>
      <c r="B161" s="33"/>
      <c r="C161" s="34"/>
      <c r="D161" s="35"/>
      <c r="E161" s="49"/>
      <c r="F161" s="50"/>
      <c r="G161" s="49"/>
      <c r="H161" s="49"/>
      <c r="I161" t="s" s="51">
        <v>0</v>
      </c>
      <c r="J161" s="38"/>
      <c r="K161" s="52"/>
      <c r="L161" s="52"/>
      <c r="M161" s="52"/>
      <c r="N161" s="52"/>
      <c r="O161" s="52"/>
      <c r="P161" s="40">
        <f>K161-L161-O161+N161</f>
        <v>0</v>
      </c>
      <c r="Q161" s="52"/>
      <c r="R161" s="52"/>
      <c r="S161" s="40">
        <f>L161</f>
        <v>0</v>
      </c>
      <c r="T161" s="52">
        <f>P161+R161-Q161+M161</f>
        <v>0</v>
      </c>
      <c r="U161" s="52">
        <f>T161-V161-W161-X161</f>
        <v>0</v>
      </c>
      <c r="V161" s="41">
        <f>P161*0.03</f>
        <v>0</v>
      </c>
      <c r="W161" s="41">
        <f>P161*0.04</f>
        <v>0</v>
      </c>
      <c r="X161" s="41">
        <f>P161*0.05</f>
        <v>0</v>
      </c>
      <c r="Y161" s="42">
        <f>P161*0.05</f>
        <v>0</v>
      </c>
      <c r="Z161" s="52">
        <f>T161-Y161</f>
        <v>0</v>
      </c>
      <c r="AA161" s="52">
        <f>U161-Y161</f>
        <v>0</v>
      </c>
      <c r="AB161" s="43"/>
      <c r="AC161" t="s" s="51">
        <v>0</v>
      </c>
      <c r="AD161" t="s" s="51">
        <v>0</v>
      </c>
      <c r="AE161" t="s" s="51">
        <v>0</v>
      </c>
      <c r="AF161" t="s" s="44">
        <v>0</v>
      </c>
      <c r="AG161" s="54"/>
      <c r="AH161" s="52"/>
      <c r="AI161" s="41">
        <f>AH161-T161-U161</f>
        <v>0</v>
      </c>
      <c r="AJ161" t="s" s="44">
        <v>0</v>
      </c>
      <c r="AK161" s="54"/>
      <c r="AL161" s="52"/>
      <c r="AM161" s="41">
        <f>AL161-Z161-AA161</f>
        <v>0</v>
      </c>
      <c r="AN161" t="s" s="44">
        <v>0</v>
      </c>
      <c r="AO161" s="54"/>
      <c r="AP161" s="52"/>
      <c r="AQ161" s="41">
        <f>AP161-Y161</f>
        <v>0</v>
      </c>
      <c r="AR161" s="51"/>
      <c r="AS161" s="55">
        <v>0</v>
      </c>
    </row>
    <row r="162" ht="54.85" customHeight="1">
      <c r="A162" t="s" s="2">
        <v>0</v>
      </c>
      <c r="B162" s="33"/>
      <c r="C162" s="34"/>
      <c r="D162" s="35"/>
      <c r="E162" s="34"/>
      <c r="F162" s="36"/>
      <c r="G162" s="34"/>
      <c r="H162" s="34"/>
      <c r="I162" t="s" s="37">
        <v>0</v>
      </c>
      <c r="J162" s="38"/>
      <c r="K162" s="39"/>
      <c r="L162" s="39"/>
      <c r="M162" s="39"/>
      <c r="N162" s="39"/>
      <c r="O162" s="39"/>
      <c r="P162" s="40">
        <f>K162-L162-O162+N162</f>
        <v>0</v>
      </c>
      <c r="Q162" s="39"/>
      <c r="R162" s="39"/>
      <c r="S162" s="40">
        <f>L162</f>
        <v>0</v>
      </c>
      <c r="T162" s="39">
        <f>P162+R162-Q162+M162</f>
        <v>0</v>
      </c>
      <c r="U162" s="39">
        <f>T162-V162-W162-X162</f>
        <v>0</v>
      </c>
      <c r="V162" s="41">
        <f>P162*0.03</f>
        <v>0</v>
      </c>
      <c r="W162" s="41">
        <f>P162*0.04</f>
        <v>0</v>
      </c>
      <c r="X162" s="41">
        <f>P162*0.05</f>
        <v>0</v>
      </c>
      <c r="Y162" s="42">
        <f>P162*0.05</f>
        <v>0</v>
      </c>
      <c r="Z162" s="39">
        <f>T162-Y162</f>
        <v>0</v>
      </c>
      <c r="AA162" s="39">
        <f>U162-Y162</f>
        <v>0</v>
      </c>
      <c r="AB162" s="43"/>
      <c r="AC162" t="s" s="37">
        <v>0</v>
      </c>
      <c r="AD162" t="s" s="37">
        <v>0</v>
      </c>
      <c r="AE162" t="s" s="37">
        <v>0</v>
      </c>
      <c r="AF162" t="s" s="44">
        <v>0</v>
      </c>
      <c r="AG162" s="45"/>
      <c r="AH162" s="39"/>
      <c r="AI162" s="41">
        <f>AH162-T162-U162</f>
        <v>0</v>
      </c>
      <c r="AJ162" t="s" s="44">
        <v>0</v>
      </c>
      <c r="AK162" s="45"/>
      <c r="AL162" s="39"/>
      <c r="AM162" s="41">
        <f>AL162-Z162-AA162</f>
        <v>0</v>
      </c>
      <c r="AN162" t="s" s="44">
        <v>0</v>
      </c>
      <c r="AO162" s="45"/>
      <c r="AP162" s="39"/>
      <c r="AQ162" s="41">
        <f>AP162-Y162</f>
        <v>0</v>
      </c>
      <c r="AR162" s="37"/>
      <c r="AS162" s="46">
        <v>0</v>
      </c>
    </row>
    <row r="163" ht="54.85" customHeight="1">
      <c r="A163" t="s" s="2">
        <v>0</v>
      </c>
      <c r="B163" s="33"/>
      <c r="C163" s="34"/>
      <c r="D163" s="35"/>
      <c r="E163" s="49"/>
      <c r="F163" s="50"/>
      <c r="G163" s="49"/>
      <c r="H163" s="49"/>
      <c r="I163" t="s" s="51">
        <v>0</v>
      </c>
      <c r="J163" s="38"/>
      <c r="K163" s="52"/>
      <c r="L163" s="52"/>
      <c r="M163" s="52"/>
      <c r="N163" s="52"/>
      <c r="O163" s="52"/>
      <c r="P163" s="40">
        <f>K163-L163-O163+N163</f>
        <v>0</v>
      </c>
      <c r="Q163" s="52"/>
      <c r="R163" s="52"/>
      <c r="S163" s="40">
        <f>L163</f>
        <v>0</v>
      </c>
      <c r="T163" s="52">
        <f>P163+R163-Q163+M163</f>
        <v>0</v>
      </c>
      <c r="U163" s="52">
        <f>T163-V163-W163-X163</f>
        <v>0</v>
      </c>
      <c r="V163" s="41">
        <f>P163*0.03</f>
        <v>0</v>
      </c>
      <c r="W163" s="41">
        <f>P163*0.04</f>
        <v>0</v>
      </c>
      <c r="X163" s="41">
        <f>P163*0.05</f>
        <v>0</v>
      </c>
      <c r="Y163" s="42">
        <f>P163*0.05</f>
        <v>0</v>
      </c>
      <c r="Z163" s="52">
        <f>T163-Y163</f>
        <v>0</v>
      </c>
      <c r="AA163" s="52">
        <f>U163-Y163</f>
        <v>0</v>
      </c>
      <c r="AB163" s="43"/>
      <c r="AC163" t="s" s="51">
        <v>0</v>
      </c>
      <c r="AD163" t="s" s="51">
        <v>0</v>
      </c>
      <c r="AE163" t="s" s="51">
        <v>0</v>
      </c>
      <c r="AF163" t="s" s="44">
        <v>0</v>
      </c>
      <c r="AG163" s="54"/>
      <c r="AH163" s="52"/>
      <c r="AI163" s="41">
        <f>AH163-T163-U163</f>
        <v>0</v>
      </c>
      <c r="AJ163" t="s" s="44">
        <v>0</v>
      </c>
      <c r="AK163" s="54"/>
      <c r="AL163" s="52"/>
      <c r="AM163" s="41">
        <f>AL163-Z163-AA163</f>
        <v>0</v>
      </c>
      <c r="AN163" t="s" s="44">
        <v>0</v>
      </c>
      <c r="AO163" s="54"/>
      <c r="AP163" s="52"/>
      <c r="AQ163" s="41">
        <f>AP163-Y163</f>
        <v>0</v>
      </c>
      <c r="AR163" s="51"/>
      <c r="AS163" s="55">
        <v>0</v>
      </c>
    </row>
    <row r="164" ht="54.85" customHeight="1">
      <c r="A164" t="s" s="2">
        <v>0</v>
      </c>
      <c r="B164" s="33"/>
      <c r="C164" s="34"/>
      <c r="D164" s="35"/>
      <c r="E164" s="34"/>
      <c r="F164" s="36"/>
      <c r="G164" s="34"/>
      <c r="H164" s="34"/>
      <c r="I164" t="s" s="37">
        <v>0</v>
      </c>
      <c r="J164" s="38"/>
      <c r="K164" s="39"/>
      <c r="L164" s="39"/>
      <c r="M164" s="39"/>
      <c r="N164" s="39"/>
      <c r="O164" s="39"/>
      <c r="P164" s="40">
        <f>K164-L164-O164+N164</f>
        <v>0</v>
      </c>
      <c r="Q164" s="39"/>
      <c r="R164" s="39"/>
      <c r="S164" s="40">
        <f>L164</f>
        <v>0</v>
      </c>
      <c r="T164" s="39">
        <f>P164+R164-Q164+M164</f>
        <v>0</v>
      </c>
      <c r="U164" s="39">
        <f>T164-V164-W164-X164</f>
        <v>0</v>
      </c>
      <c r="V164" s="41">
        <f>P164*0.03</f>
        <v>0</v>
      </c>
      <c r="W164" s="41">
        <f>P164*0.04</f>
        <v>0</v>
      </c>
      <c r="X164" s="41">
        <f>P164*0.05</f>
        <v>0</v>
      </c>
      <c r="Y164" s="42">
        <f>P164*0.05</f>
        <v>0</v>
      </c>
      <c r="Z164" s="39">
        <f>T164-Y164</f>
        <v>0</v>
      </c>
      <c r="AA164" s="39">
        <f>U164-Y164</f>
        <v>0</v>
      </c>
      <c r="AB164" s="43"/>
      <c r="AC164" t="s" s="37">
        <v>0</v>
      </c>
      <c r="AD164" t="s" s="37">
        <v>0</v>
      </c>
      <c r="AE164" t="s" s="37">
        <v>0</v>
      </c>
      <c r="AF164" t="s" s="44">
        <v>0</v>
      </c>
      <c r="AG164" s="45"/>
      <c r="AH164" s="39"/>
      <c r="AI164" s="41">
        <f>AH164-T164-U164</f>
        <v>0</v>
      </c>
      <c r="AJ164" t="s" s="44">
        <v>0</v>
      </c>
      <c r="AK164" s="45"/>
      <c r="AL164" s="39"/>
      <c r="AM164" s="41">
        <f>AL164-Z164-AA164</f>
        <v>0</v>
      </c>
      <c r="AN164" t="s" s="44">
        <v>0</v>
      </c>
      <c r="AO164" s="45"/>
      <c r="AP164" s="39"/>
      <c r="AQ164" s="41">
        <f>AP164-Y164</f>
        <v>0</v>
      </c>
      <c r="AR164" s="37"/>
      <c r="AS164" s="46">
        <v>0</v>
      </c>
    </row>
    <row r="165" ht="54.85" customHeight="1">
      <c r="A165" t="s" s="2">
        <v>0</v>
      </c>
      <c r="B165" s="33"/>
      <c r="C165" s="34"/>
      <c r="D165" s="35"/>
      <c r="E165" s="49"/>
      <c r="F165" s="50"/>
      <c r="G165" s="49"/>
      <c r="H165" s="49"/>
      <c r="I165" t="s" s="51">
        <v>0</v>
      </c>
      <c r="J165" s="38"/>
      <c r="K165" s="52"/>
      <c r="L165" s="52"/>
      <c r="M165" s="52"/>
      <c r="N165" s="52"/>
      <c r="O165" s="52"/>
      <c r="P165" s="40">
        <f>K165-L165-O165+N165</f>
        <v>0</v>
      </c>
      <c r="Q165" s="52"/>
      <c r="R165" s="52"/>
      <c r="S165" s="40">
        <f>L165</f>
        <v>0</v>
      </c>
      <c r="T165" s="52">
        <f>P165+R165-Q165+M165</f>
        <v>0</v>
      </c>
      <c r="U165" s="52">
        <f>T165-V165-W165-X165</f>
        <v>0</v>
      </c>
      <c r="V165" s="41">
        <f>P165*0.03</f>
        <v>0</v>
      </c>
      <c r="W165" s="41">
        <f>P165*0.04</f>
        <v>0</v>
      </c>
      <c r="X165" s="41">
        <f>P165*0.05</f>
        <v>0</v>
      </c>
      <c r="Y165" s="42">
        <f>P165*0.05</f>
        <v>0</v>
      </c>
      <c r="Z165" s="52">
        <f>T165-Y165</f>
        <v>0</v>
      </c>
      <c r="AA165" s="52">
        <f>U165-Y165</f>
        <v>0</v>
      </c>
      <c r="AB165" s="43"/>
      <c r="AC165" t="s" s="51">
        <v>0</v>
      </c>
      <c r="AD165" t="s" s="51">
        <v>0</v>
      </c>
      <c r="AE165" t="s" s="51">
        <v>0</v>
      </c>
      <c r="AF165" t="s" s="44">
        <v>0</v>
      </c>
      <c r="AG165" s="54"/>
      <c r="AH165" s="52"/>
      <c r="AI165" s="41">
        <f>AH165-T165-U165</f>
        <v>0</v>
      </c>
      <c r="AJ165" t="s" s="44">
        <v>0</v>
      </c>
      <c r="AK165" s="54"/>
      <c r="AL165" s="52"/>
      <c r="AM165" s="41">
        <f>AL165-Z165-AA165</f>
        <v>0</v>
      </c>
      <c r="AN165" t="s" s="44">
        <v>0</v>
      </c>
      <c r="AO165" s="54"/>
      <c r="AP165" s="52"/>
      <c r="AQ165" s="41">
        <f>AP165-Y165</f>
        <v>0</v>
      </c>
      <c r="AR165" s="51"/>
      <c r="AS165" s="55">
        <v>0</v>
      </c>
    </row>
    <row r="166" ht="54.85" customHeight="1">
      <c r="A166" t="s" s="2">
        <v>0</v>
      </c>
      <c r="B166" s="33"/>
      <c r="C166" s="34"/>
      <c r="D166" s="35"/>
      <c r="E166" s="34"/>
      <c r="F166" s="36"/>
      <c r="G166" s="34"/>
      <c r="H166" s="34"/>
      <c r="I166" t="s" s="37">
        <v>0</v>
      </c>
      <c r="J166" s="38"/>
      <c r="K166" s="39"/>
      <c r="L166" s="39"/>
      <c r="M166" s="39"/>
      <c r="N166" s="39"/>
      <c r="O166" s="39"/>
      <c r="P166" s="40">
        <f>K166-L166-O166+N166</f>
        <v>0</v>
      </c>
      <c r="Q166" s="39"/>
      <c r="R166" s="39"/>
      <c r="S166" s="40">
        <f>L166</f>
        <v>0</v>
      </c>
      <c r="T166" s="39">
        <f>P166+R166-Q166+M166</f>
        <v>0</v>
      </c>
      <c r="U166" s="39">
        <f>T166-V166-W166-X166</f>
        <v>0</v>
      </c>
      <c r="V166" s="41">
        <f>P166*0.03</f>
        <v>0</v>
      </c>
      <c r="W166" s="41">
        <f>P166*0.04</f>
        <v>0</v>
      </c>
      <c r="X166" s="41">
        <f>P166*0.05</f>
        <v>0</v>
      </c>
      <c r="Y166" s="42">
        <f>P166*0.05</f>
        <v>0</v>
      </c>
      <c r="Z166" s="39">
        <f>T166-Y166</f>
        <v>0</v>
      </c>
      <c r="AA166" s="39">
        <f>U166-Y166</f>
        <v>0</v>
      </c>
      <c r="AB166" s="43"/>
      <c r="AC166" t="s" s="37">
        <v>0</v>
      </c>
      <c r="AD166" t="s" s="37">
        <v>0</v>
      </c>
      <c r="AE166" t="s" s="37">
        <v>0</v>
      </c>
      <c r="AF166" t="s" s="44">
        <v>0</v>
      </c>
      <c r="AG166" s="45"/>
      <c r="AH166" s="39"/>
      <c r="AI166" s="41">
        <f>AH166-T166-U166</f>
        <v>0</v>
      </c>
      <c r="AJ166" t="s" s="44">
        <v>0</v>
      </c>
      <c r="AK166" s="45"/>
      <c r="AL166" s="39"/>
      <c r="AM166" s="41">
        <f>AL166-Z166-AA166</f>
        <v>0</v>
      </c>
      <c r="AN166" t="s" s="44">
        <v>0</v>
      </c>
      <c r="AO166" s="45"/>
      <c r="AP166" s="39"/>
      <c r="AQ166" s="41">
        <f>AP166-Y166</f>
        <v>0</v>
      </c>
      <c r="AR166" s="37"/>
      <c r="AS166" s="46">
        <v>0</v>
      </c>
    </row>
    <row r="167" ht="54.85" customHeight="1">
      <c r="A167" t="s" s="2">
        <v>0</v>
      </c>
      <c r="B167" s="33"/>
      <c r="C167" s="34"/>
      <c r="D167" s="35"/>
      <c r="E167" s="49"/>
      <c r="F167" s="50"/>
      <c r="G167" s="49"/>
      <c r="H167" s="49"/>
      <c r="I167" t="s" s="51">
        <v>0</v>
      </c>
      <c r="J167" s="38"/>
      <c r="K167" s="52"/>
      <c r="L167" s="52"/>
      <c r="M167" s="52"/>
      <c r="N167" s="52"/>
      <c r="O167" s="52"/>
      <c r="P167" s="40">
        <f>K167-L167-O167+N167</f>
        <v>0</v>
      </c>
      <c r="Q167" s="52"/>
      <c r="R167" s="52"/>
      <c r="S167" s="40">
        <f>L167</f>
        <v>0</v>
      </c>
      <c r="T167" s="52">
        <f>P167+R167-Q167+M167</f>
        <v>0</v>
      </c>
      <c r="U167" s="52">
        <f>T167-V167-W167-X167</f>
        <v>0</v>
      </c>
      <c r="V167" s="41">
        <f>P167*0.03</f>
        <v>0</v>
      </c>
      <c r="W167" s="41">
        <f>P167*0.04</f>
        <v>0</v>
      </c>
      <c r="X167" s="41">
        <f>P167*0.05</f>
        <v>0</v>
      </c>
      <c r="Y167" s="42">
        <f>P167*0.05</f>
        <v>0</v>
      </c>
      <c r="Z167" s="52">
        <f>T167-Y167</f>
        <v>0</v>
      </c>
      <c r="AA167" s="52">
        <f>U167-Y167</f>
        <v>0</v>
      </c>
      <c r="AB167" s="43"/>
      <c r="AC167" t="s" s="51">
        <v>0</v>
      </c>
      <c r="AD167" t="s" s="51">
        <v>0</v>
      </c>
      <c r="AE167" t="s" s="51">
        <v>0</v>
      </c>
      <c r="AF167" t="s" s="44">
        <v>0</v>
      </c>
      <c r="AG167" s="54"/>
      <c r="AH167" s="52"/>
      <c r="AI167" s="41">
        <f>AH167-T167-U167</f>
        <v>0</v>
      </c>
      <c r="AJ167" t="s" s="44">
        <v>0</v>
      </c>
      <c r="AK167" s="54"/>
      <c r="AL167" s="52"/>
      <c r="AM167" s="41">
        <f>AL167-Z167-AA167</f>
        <v>0</v>
      </c>
      <c r="AN167" t="s" s="44">
        <v>0</v>
      </c>
      <c r="AO167" s="54"/>
      <c r="AP167" s="52"/>
      <c r="AQ167" s="41">
        <f>AP167-Y167</f>
        <v>0</v>
      </c>
      <c r="AR167" s="51"/>
      <c r="AS167" s="55">
        <v>0</v>
      </c>
    </row>
    <row r="168" ht="54.85" customHeight="1">
      <c r="A168" t="s" s="2">
        <v>0</v>
      </c>
      <c r="B168" s="33"/>
      <c r="C168" s="34"/>
      <c r="D168" s="35"/>
      <c r="E168" s="34"/>
      <c r="F168" s="36"/>
      <c r="G168" s="34"/>
      <c r="H168" s="34"/>
      <c r="I168" t="s" s="37">
        <v>0</v>
      </c>
      <c r="J168" s="38"/>
      <c r="K168" s="39"/>
      <c r="L168" s="39"/>
      <c r="M168" s="39"/>
      <c r="N168" s="39"/>
      <c r="O168" s="39"/>
      <c r="P168" s="40">
        <f>K168-L168-O168+N168</f>
        <v>0</v>
      </c>
      <c r="Q168" s="39"/>
      <c r="R168" s="39"/>
      <c r="S168" s="40">
        <f>L168</f>
        <v>0</v>
      </c>
      <c r="T168" s="39">
        <f>P168+R168-Q168+M168</f>
        <v>0</v>
      </c>
      <c r="U168" s="39">
        <f>T168-V168-W168-X168</f>
        <v>0</v>
      </c>
      <c r="V168" s="41">
        <f>P168*0.03</f>
        <v>0</v>
      </c>
      <c r="W168" s="41">
        <f>P168*0.04</f>
        <v>0</v>
      </c>
      <c r="X168" s="41">
        <f>P168*0.05</f>
        <v>0</v>
      </c>
      <c r="Y168" s="42">
        <f>P168*0.05</f>
        <v>0</v>
      </c>
      <c r="Z168" s="39">
        <f>T168-Y168</f>
        <v>0</v>
      </c>
      <c r="AA168" s="39">
        <f>U168-Y168</f>
        <v>0</v>
      </c>
      <c r="AB168" s="43"/>
      <c r="AC168" t="s" s="37">
        <v>0</v>
      </c>
      <c r="AD168" t="s" s="37">
        <v>0</v>
      </c>
      <c r="AE168" t="s" s="37">
        <v>0</v>
      </c>
      <c r="AF168" t="s" s="44">
        <v>0</v>
      </c>
      <c r="AG168" s="45"/>
      <c r="AH168" s="39"/>
      <c r="AI168" s="41">
        <f>AH168-T168-U168</f>
        <v>0</v>
      </c>
      <c r="AJ168" t="s" s="44">
        <v>0</v>
      </c>
      <c r="AK168" s="45"/>
      <c r="AL168" s="39"/>
      <c r="AM168" s="41">
        <f>AL168-Z168-AA168</f>
        <v>0</v>
      </c>
      <c r="AN168" t="s" s="44">
        <v>0</v>
      </c>
      <c r="AO168" s="45"/>
      <c r="AP168" s="39"/>
      <c r="AQ168" s="41">
        <f>AP168-Y168</f>
        <v>0</v>
      </c>
      <c r="AR168" s="37"/>
      <c r="AS168" s="46">
        <v>0</v>
      </c>
    </row>
    <row r="169" ht="54.85" customHeight="1">
      <c r="A169" t="s" s="2">
        <v>0</v>
      </c>
      <c r="B169" s="33"/>
      <c r="C169" s="34"/>
      <c r="D169" s="35"/>
      <c r="E169" s="49"/>
      <c r="F169" s="50"/>
      <c r="G169" s="49"/>
      <c r="H169" s="49"/>
      <c r="I169" t="s" s="51">
        <v>0</v>
      </c>
      <c r="J169" s="38"/>
      <c r="K169" s="52"/>
      <c r="L169" s="52"/>
      <c r="M169" s="52"/>
      <c r="N169" s="52"/>
      <c r="O169" s="52"/>
      <c r="P169" s="40">
        <f>K169-L169-O169+N169</f>
        <v>0</v>
      </c>
      <c r="Q169" s="52"/>
      <c r="R169" s="52"/>
      <c r="S169" s="40">
        <f>L169</f>
        <v>0</v>
      </c>
      <c r="T169" s="52">
        <f>P169+R169-Q169+M169</f>
        <v>0</v>
      </c>
      <c r="U169" s="52">
        <f>T169-V169-W169-X169</f>
        <v>0</v>
      </c>
      <c r="V169" s="41">
        <f>P169*0.03</f>
        <v>0</v>
      </c>
      <c r="W169" s="41">
        <f>P169*0.04</f>
        <v>0</v>
      </c>
      <c r="X169" s="41">
        <f>P169*0.05</f>
        <v>0</v>
      </c>
      <c r="Y169" s="42">
        <f>P169*0.05</f>
        <v>0</v>
      </c>
      <c r="Z169" s="52">
        <f>T169-Y169</f>
        <v>0</v>
      </c>
      <c r="AA169" s="52">
        <f>U169-Y169</f>
        <v>0</v>
      </c>
      <c r="AB169" s="43"/>
      <c r="AC169" t="s" s="51">
        <v>0</v>
      </c>
      <c r="AD169" t="s" s="51">
        <v>0</v>
      </c>
      <c r="AE169" t="s" s="51">
        <v>0</v>
      </c>
      <c r="AF169" t="s" s="44">
        <v>0</v>
      </c>
      <c r="AG169" s="54"/>
      <c r="AH169" s="52"/>
      <c r="AI169" s="41">
        <f>AH169-T169-U169</f>
        <v>0</v>
      </c>
      <c r="AJ169" t="s" s="44">
        <v>0</v>
      </c>
      <c r="AK169" s="54"/>
      <c r="AL169" s="52"/>
      <c r="AM169" s="41">
        <f>AL169-Z169-AA169</f>
        <v>0</v>
      </c>
      <c r="AN169" t="s" s="44">
        <v>0</v>
      </c>
      <c r="AO169" s="54"/>
      <c r="AP169" s="52"/>
      <c r="AQ169" s="41">
        <f>AP169-Y169</f>
        <v>0</v>
      </c>
      <c r="AR169" s="51"/>
      <c r="AS169" s="55">
        <v>0</v>
      </c>
    </row>
    <row r="170" ht="54.85" customHeight="1">
      <c r="A170" t="s" s="2">
        <v>0</v>
      </c>
      <c r="B170" s="33"/>
      <c r="C170" s="34"/>
      <c r="D170" s="35"/>
      <c r="E170" s="34"/>
      <c r="F170" s="36"/>
      <c r="G170" s="34"/>
      <c r="H170" s="34"/>
      <c r="I170" t="s" s="37">
        <v>0</v>
      </c>
      <c r="J170" s="38"/>
      <c r="K170" s="39"/>
      <c r="L170" s="39"/>
      <c r="M170" s="39"/>
      <c r="N170" s="39"/>
      <c r="O170" s="39"/>
      <c r="P170" s="40">
        <f>K170-L170-O170+N170</f>
        <v>0</v>
      </c>
      <c r="Q170" s="39"/>
      <c r="R170" s="39"/>
      <c r="S170" s="40">
        <f>L170</f>
        <v>0</v>
      </c>
      <c r="T170" s="39">
        <f>P170+R170-Q170+M170</f>
        <v>0</v>
      </c>
      <c r="U170" s="39">
        <f>T170-V170-W170-X170</f>
        <v>0</v>
      </c>
      <c r="V170" s="41">
        <f>P170*0.03</f>
        <v>0</v>
      </c>
      <c r="W170" s="41">
        <f>P170*0.04</f>
        <v>0</v>
      </c>
      <c r="X170" s="41">
        <f>P170*0.05</f>
        <v>0</v>
      </c>
      <c r="Y170" s="42">
        <f>P170*0.05</f>
        <v>0</v>
      </c>
      <c r="Z170" s="39">
        <f>T170-Y170</f>
        <v>0</v>
      </c>
      <c r="AA170" s="39">
        <f>U170-Y170</f>
        <v>0</v>
      </c>
      <c r="AB170" s="43"/>
      <c r="AC170" t="s" s="37">
        <v>0</v>
      </c>
      <c r="AD170" t="s" s="37">
        <v>0</v>
      </c>
      <c r="AE170" t="s" s="37">
        <v>0</v>
      </c>
      <c r="AF170" t="s" s="44">
        <v>0</v>
      </c>
      <c r="AG170" s="45"/>
      <c r="AH170" s="39"/>
      <c r="AI170" s="41">
        <f>AH170-T170-U170</f>
        <v>0</v>
      </c>
      <c r="AJ170" t="s" s="44">
        <v>0</v>
      </c>
      <c r="AK170" s="45"/>
      <c r="AL170" s="39"/>
      <c r="AM170" s="41">
        <f>AL170-Z170-AA170</f>
        <v>0</v>
      </c>
      <c r="AN170" t="s" s="44">
        <v>0</v>
      </c>
      <c r="AO170" s="45"/>
      <c r="AP170" s="39"/>
      <c r="AQ170" s="41">
        <f>AP170-Y170</f>
        <v>0</v>
      </c>
      <c r="AR170" s="37"/>
      <c r="AS170" s="46">
        <v>0</v>
      </c>
    </row>
    <row r="171" ht="54.85" customHeight="1">
      <c r="A171" t="s" s="2">
        <v>0</v>
      </c>
      <c r="B171" s="33"/>
      <c r="C171" s="34"/>
      <c r="D171" s="35"/>
      <c r="E171" s="49"/>
      <c r="F171" s="50"/>
      <c r="G171" s="49"/>
      <c r="H171" s="49"/>
      <c r="I171" t="s" s="51">
        <v>0</v>
      </c>
      <c r="J171" s="38"/>
      <c r="K171" s="52"/>
      <c r="L171" s="52"/>
      <c r="M171" s="52"/>
      <c r="N171" s="52"/>
      <c r="O171" s="52"/>
      <c r="P171" s="40">
        <f>K171-L171-O171+N171</f>
        <v>0</v>
      </c>
      <c r="Q171" s="52"/>
      <c r="R171" s="52"/>
      <c r="S171" s="40">
        <f>L171</f>
        <v>0</v>
      </c>
      <c r="T171" s="52">
        <f>P171+R171-Q171+M171</f>
        <v>0</v>
      </c>
      <c r="U171" s="52">
        <f>T171-V171-W171-X171</f>
        <v>0</v>
      </c>
      <c r="V171" s="41">
        <f>P171*0.03</f>
        <v>0</v>
      </c>
      <c r="W171" s="41">
        <f>P171*0.04</f>
        <v>0</v>
      </c>
      <c r="X171" s="41">
        <f>P171*0.05</f>
        <v>0</v>
      </c>
      <c r="Y171" s="42">
        <f>P171*0.05</f>
        <v>0</v>
      </c>
      <c r="Z171" s="52">
        <f>T171-Y171</f>
        <v>0</v>
      </c>
      <c r="AA171" s="52">
        <f>U171-Y171</f>
        <v>0</v>
      </c>
      <c r="AB171" s="43"/>
      <c r="AC171" t="s" s="51">
        <v>0</v>
      </c>
      <c r="AD171" t="s" s="51">
        <v>0</v>
      </c>
      <c r="AE171" t="s" s="51">
        <v>0</v>
      </c>
      <c r="AF171" t="s" s="44">
        <v>0</v>
      </c>
      <c r="AG171" s="54"/>
      <c r="AH171" s="52"/>
      <c r="AI171" s="41">
        <f>AH171-T171-U171</f>
        <v>0</v>
      </c>
      <c r="AJ171" t="s" s="44">
        <v>0</v>
      </c>
      <c r="AK171" s="54"/>
      <c r="AL171" s="52"/>
      <c r="AM171" s="41">
        <f>AL171-Z171-AA171</f>
        <v>0</v>
      </c>
      <c r="AN171" t="s" s="44">
        <v>0</v>
      </c>
      <c r="AO171" s="54"/>
      <c r="AP171" s="52"/>
      <c r="AQ171" s="41">
        <f>AP171-Y171</f>
        <v>0</v>
      </c>
      <c r="AR171" s="51"/>
      <c r="AS171" s="55">
        <v>0</v>
      </c>
    </row>
    <row r="172" ht="54.85" customHeight="1">
      <c r="A172" t="s" s="2">
        <v>0</v>
      </c>
      <c r="B172" s="33"/>
      <c r="C172" s="34"/>
      <c r="D172" s="35"/>
      <c r="E172" s="34"/>
      <c r="F172" s="36"/>
      <c r="G172" s="34"/>
      <c r="H172" s="34"/>
      <c r="I172" t="s" s="37">
        <v>0</v>
      </c>
      <c r="J172" s="38"/>
      <c r="K172" s="39"/>
      <c r="L172" s="39"/>
      <c r="M172" s="39"/>
      <c r="N172" s="39"/>
      <c r="O172" s="39"/>
      <c r="P172" s="40">
        <f>K172-L172-O172+N172</f>
        <v>0</v>
      </c>
      <c r="Q172" s="39"/>
      <c r="R172" s="39"/>
      <c r="S172" s="40">
        <f>L172</f>
        <v>0</v>
      </c>
      <c r="T172" s="39">
        <f>P172+R172-Q172+M172</f>
        <v>0</v>
      </c>
      <c r="U172" s="39">
        <f>T172-V172-W172-X172</f>
        <v>0</v>
      </c>
      <c r="V172" s="41">
        <f>P172*0.03</f>
        <v>0</v>
      </c>
      <c r="W172" s="41">
        <f>P172*0.04</f>
        <v>0</v>
      </c>
      <c r="X172" s="41">
        <f>P172*0.05</f>
        <v>0</v>
      </c>
      <c r="Y172" s="42">
        <f>P172*0.05</f>
        <v>0</v>
      </c>
      <c r="Z172" s="39">
        <f>T172-Y172</f>
        <v>0</v>
      </c>
      <c r="AA172" s="39">
        <f>U172-Y172</f>
        <v>0</v>
      </c>
      <c r="AB172" s="43"/>
      <c r="AC172" t="s" s="37">
        <v>0</v>
      </c>
      <c r="AD172" t="s" s="37">
        <v>0</v>
      </c>
      <c r="AE172" t="s" s="37">
        <v>0</v>
      </c>
      <c r="AF172" t="s" s="44">
        <v>0</v>
      </c>
      <c r="AG172" s="45"/>
      <c r="AH172" s="39"/>
      <c r="AI172" s="41">
        <f>AH172-T172-U172</f>
        <v>0</v>
      </c>
      <c r="AJ172" t="s" s="44">
        <v>0</v>
      </c>
      <c r="AK172" s="45"/>
      <c r="AL172" s="39"/>
      <c r="AM172" s="41">
        <f>AL172-Z172-AA172</f>
        <v>0</v>
      </c>
      <c r="AN172" t="s" s="44">
        <v>0</v>
      </c>
      <c r="AO172" s="45"/>
      <c r="AP172" s="39"/>
      <c r="AQ172" s="41">
        <f>AP172-Y172</f>
        <v>0</v>
      </c>
      <c r="AR172" s="37"/>
      <c r="AS172" s="46">
        <v>0</v>
      </c>
    </row>
    <row r="173" ht="54.85" customHeight="1">
      <c r="A173" t="s" s="2">
        <v>0</v>
      </c>
      <c r="B173" s="33"/>
      <c r="C173" s="34"/>
      <c r="D173" s="35"/>
      <c r="E173" s="49"/>
      <c r="F173" s="50"/>
      <c r="G173" s="49"/>
      <c r="H173" s="49"/>
      <c r="I173" t="s" s="51">
        <v>0</v>
      </c>
      <c r="J173" s="38"/>
      <c r="K173" s="52"/>
      <c r="L173" s="52"/>
      <c r="M173" s="52"/>
      <c r="N173" s="52"/>
      <c r="O173" s="52"/>
      <c r="P173" s="40">
        <f>K173-L173-O173+N173</f>
        <v>0</v>
      </c>
      <c r="Q173" s="52"/>
      <c r="R173" s="52"/>
      <c r="S173" s="40">
        <f>L173</f>
        <v>0</v>
      </c>
      <c r="T173" s="52">
        <f>P173+R173-Q173+M173</f>
        <v>0</v>
      </c>
      <c r="U173" s="52">
        <f>T173-V173-W173-X173</f>
        <v>0</v>
      </c>
      <c r="V173" s="41">
        <f>P173*0.03</f>
        <v>0</v>
      </c>
      <c r="W173" s="41">
        <f>P173*0.04</f>
        <v>0</v>
      </c>
      <c r="X173" s="41">
        <f>P173*0.05</f>
        <v>0</v>
      </c>
      <c r="Y173" s="42">
        <f>P173*0.05</f>
        <v>0</v>
      </c>
      <c r="Z173" s="52">
        <f>T173-Y173</f>
        <v>0</v>
      </c>
      <c r="AA173" s="52">
        <f>U173-Y173</f>
        <v>0</v>
      </c>
      <c r="AB173" s="43"/>
      <c r="AC173" t="s" s="51">
        <v>0</v>
      </c>
      <c r="AD173" t="s" s="51">
        <v>0</v>
      </c>
      <c r="AE173" t="s" s="51">
        <v>0</v>
      </c>
      <c r="AF173" t="s" s="44">
        <v>0</v>
      </c>
      <c r="AG173" s="54"/>
      <c r="AH173" s="52"/>
      <c r="AI173" s="41">
        <f>AH173-T173-U173</f>
        <v>0</v>
      </c>
      <c r="AJ173" t="s" s="44">
        <v>0</v>
      </c>
      <c r="AK173" s="54"/>
      <c r="AL173" s="52"/>
      <c r="AM173" s="41">
        <f>AL173-Z173-AA173</f>
        <v>0</v>
      </c>
      <c r="AN173" t="s" s="44">
        <v>0</v>
      </c>
      <c r="AO173" s="54"/>
      <c r="AP173" s="52"/>
      <c r="AQ173" s="41">
        <f>AP173-Y173</f>
        <v>0</v>
      </c>
      <c r="AR173" s="51"/>
      <c r="AS173" s="55">
        <v>0</v>
      </c>
    </row>
    <row r="174" ht="54.85" customHeight="1">
      <c r="A174" t="s" s="2">
        <v>0</v>
      </c>
      <c r="B174" s="33"/>
      <c r="C174" s="34"/>
      <c r="D174" s="35"/>
      <c r="E174" s="34"/>
      <c r="F174" s="36"/>
      <c r="G174" s="34"/>
      <c r="H174" s="34"/>
      <c r="I174" t="s" s="37">
        <v>0</v>
      </c>
      <c r="J174" s="38"/>
      <c r="K174" s="39"/>
      <c r="L174" s="39"/>
      <c r="M174" s="39"/>
      <c r="N174" s="39"/>
      <c r="O174" s="39"/>
      <c r="P174" s="40">
        <f>K174-L174-O174+N174</f>
        <v>0</v>
      </c>
      <c r="Q174" s="39"/>
      <c r="R174" s="39"/>
      <c r="S174" s="40">
        <f>L174</f>
        <v>0</v>
      </c>
      <c r="T174" s="39">
        <f>P174+R174-Q174+M174</f>
        <v>0</v>
      </c>
      <c r="U174" s="39">
        <f>T174-V174-W174-X174</f>
        <v>0</v>
      </c>
      <c r="V174" s="41">
        <f>P174*0.03</f>
        <v>0</v>
      </c>
      <c r="W174" s="41">
        <f>P174*0.04</f>
        <v>0</v>
      </c>
      <c r="X174" s="41">
        <f>P174*0.05</f>
        <v>0</v>
      </c>
      <c r="Y174" s="42">
        <f>P174*0.05</f>
        <v>0</v>
      </c>
      <c r="Z174" s="39">
        <f>T174-Y174</f>
        <v>0</v>
      </c>
      <c r="AA174" s="39">
        <f>U174-Y174</f>
        <v>0</v>
      </c>
      <c r="AB174" s="43"/>
      <c r="AC174" t="s" s="37">
        <v>0</v>
      </c>
      <c r="AD174" t="s" s="37">
        <v>0</v>
      </c>
      <c r="AE174" t="s" s="37">
        <v>0</v>
      </c>
      <c r="AF174" t="s" s="44">
        <v>0</v>
      </c>
      <c r="AG174" s="45"/>
      <c r="AH174" s="39"/>
      <c r="AI174" s="41">
        <f>AH174-T174-U174</f>
        <v>0</v>
      </c>
      <c r="AJ174" t="s" s="44">
        <v>0</v>
      </c>
      <c r="AK174" s="45"/>
      <c r="AL174" s="39"/>
      <c r="AM174" s="41">
        <f>AL174-Z174-AA174</f>
        <v>0</v>
      </c>
      <c r="AN174" t="s" s="44">
        <v>0</v>
      </c>
      <c r="AO174" s="45"/>
      <c r="AP174" s="39"/>
      <c r="AQ174" s="41">
        <f>AP174-Y174</f>
        <v>0</v>
      </c>
      <c r="AR174" s="37"/>
      <c r="AS174" s="46">
        <v>0</v>
      </c>
    </row>
    <row r="175" ht="54.85" customHeight="1">
      <c r="A175" t="s" s="2">
        <v>0</v>
      </c>
      <c r="B175" s="33"/>
      <c r="C175" s="34"/>
      <c r="D175" s="35"/>
      <c r="E175" s="49"/>
      <c r="F175" s="50"/>
      <c r="G175" s="49"/>
      <c r="H175" s="49"/>
      <c r="I175" t="s" s="51">
        <v>0</v>
      </c>
      <c r="J175" s="38"/>
      <c r="K175" s="52"/>
      <c r="L175" s="52"/>
      <c r="M175" s="52"/>
      <c r="N175" s="52"/>
      <c r="O175" s="52"/>
      <c r="P175" s="40">
        <f>K175-L175-O175+N175</f>
        <v>0</v>
      </c>
      <c r="Q175" s="52"/>
      <c r="R175" s="52"/>
      <c r="S175" s="40">
        <f>L175</f>
        <v>0</v>
      </c>
      <c r="T175" s="52">
        <f>P175+R175-Q175+M175</f>
        <v>0</v>
      </c>
      <c r="U175" s="52">
        <f>T175-V175-W175-X175</f>
        <v>0</v>
      </c>
      <c r="V175" s="41">
        <f>P175*0.03</f>
        <v>0</v>
      </c>
      <c r="W175" s="41">
        <f>P175*0.04</f>
        <v>0</v>
      </c>
      <c r="X175" s="41">
        <f>P175*0.05</f>
        <v>0</v>
      </c>
      <c r="Y175" s="42">
        <f>P175*0.05</f>
        <v>0</v>
      </c>
      <c r="Z175" s="52">
        <f>T175-Y175</f>
        <v>0</v>
      </c>
      <c r="AA175" s="52">
        <f>U175-Y175</f>
        <v>0</v>
      </c>
      <c r="AB175" s="43"/>
      <c r="AC175" t="s" s="51">
        <v>0</v>
      </c>
      <c r="AD175" t="s" s="51">
        <v>0</v>
      </c>
      <c r="AE175" t="s" s="51">
        <v>0</v>
      </c>
      <c r="AF175" t="s" s="44">
        <v>0</v>
      </c>
      <c r="AG175" s="54"/>
      <c r="AH175" s="52"/>
      <c r="AI175" s="41">
        <f>AH175-T175-U175</f>
        <v>0</v>
      </c>
      <c r="AJ175" t="s" s="44">
        <v>0</v>
      </c>
      <c r="AK175" s="54"/>
      <c r="AL175" s="52"/>
      <c r="AM175" s="41">
        <f>AL175-Z175-AA175</f>
        <v>0</v>
      </c>
      <c r="AN175" t="s" s="44">
        <v>0</v>
      </c>
      <c r="AO175" s="54"/>
      <c r="AP175" s="52"/>
      <c r="AQ175" s="41">
        <f>AP175-Y175</f>
        <v>0</v>
      </c>
      <c r="AR175" s="51"/>
      <c r="AS175" s="55">
        <v>0</v>
      </c>
    </row>
    <row r="176" ht="54.85" customHeight="1">
      <c r="A176" t="s" s="2">
        <v>0</v>
      </c>
      <c r="B176" s="33"/>
      <c r="C176" s="34"/>
      <c r="D176" s="35"/>
      <c r="E176" s="34"/>
      <c r="F176" s="36"/>
      <c r="G176" s="34"/>
      <c r="H176" s="34"/>
      <c r="I176" t="s" s="37">
        <v>0</v>
      </c>
      <c r="J176" s="38"/>
      <c r="K176" s="39"/>
      <c r="L176" s="39"/>
      <c r="M176" s="39"/>
      <c r="N176" s="39"/>
      <c r="O176" s="39"/>
      <c r="P176" s="40">
        <f>K176-L176-O176+N176</f>
        <v>0</v>
      </c>
      <c r="Q176" s="39"/>
      <c r="R176" s="39"/>
      <c r="S176" s="40">
        <f>L176</f>
        <v>0</v>
      </c>
      <c r="T176" s="39">
        <f>P176+R176-Q176+M176</f>
        <v>0</v>
      </c>
      <c r="U176" s="39">
        <f>T176-V176-W176-X176</f>
        <v>0</v>
      </c>
      <c r="V176" s="41">
        <f>P176*0.03</f>
        <v>0</v>
      </c>
      <c r="W176" s="41">
        <f>P176*0.04</f>
        <v>0</v>
      </c>
      <c r="X176" s="41">
        <f>P176*0.05</f>
        <v>0</v>
      </c>
      <c r="Y176" s="42">
        <f>P176*0.05</f>
        <v>0</v>
      </c>
      <c r="Z176" s="39">
        <f>T176-Y176</f>
        <v>0</v>
      </c>
      <c r="AA176" s="39">
        <f>U176-Y176</f>
        <v>0</v>
      </c>
      <c r="AB176" s="43"/>
      <c r="AC176" t="s" s="37">
        <v>0</v>
      </c>
      <c r="AD176" t="s" s="37">
        <v>0</v>
      </c>
      <c r="AE176" t="s" s="37">
        <v>0</v>
      </c>
      <c r="AF176" t="s" s="44">
        <v>0</v>
      </c>
      <c r="AG176" s="45"/>
      <c r="AH176" s="39"/>
      <c r="AI176" s="41">
        <f>AH176-T176-U176</f>
        <v>0</v>
      </c>
      <c r="AJ176" t="s" s="44">
        <v>0</v>
      </c>
      <c r="AK176" s="45"/>
      <c r="AL176" s="39"/>
      <c r="AM176" s="41">
        <f>AL176-Z176-AA176</f>
        <v>0</v>
      </c>
      <c r="AN176" t="s" s="44">
        <v>0</v>
      </c>
      <c r="AO176" s="45"/>
      <c r="AP176" s="39"/>
      <c r="AQ176" s="41">
        <f>AP176-Y176</f>
        <v>0</v>
      </c>
      <c r="AR176" s="37"/>
      <c r="AS176" s="46">
        <v>0</v>
      </c>
    </row>
    <row r="177" ht="54.85" customHeight="1">
      <c r="A177" t="s" s="2">
        <v>0</v>
      </c>
      <c r="B177" s="33"/>
      <c r="C177" s="34"/>
      <c r="D177" s="35"/>
      <c r="E177" s="49"/>
      <c r="F177" s="50"/>
      <c r="G177" s="49"/>
      <c r="H177" s="49"/>
      <c r="I177" t="s" s="51">
        <v>0</v>
      </c>
      <c r="J177" s="38"/>
      <c r="K177" s="52"/>
      <c r="L177" s="52"/>
      <c r="M177" s="52"/>
      <c r="N177" s="52"/>
      <c r="O177" s="52"/>
      <c r="P177" s="40">
        <f>K177-L177-O177+N177</f>
        <v>0</v>
      </c>
      <c r="Q177" s="52"/>
      <c r="R177" s="52"/>
      <c r="S177" s="40">
        <f>L177</f>
        <v>0</v>
      </c>
      <c r="T177" s="52">
        <f>P177+R177-Q177+M177</f>
        <v>0</v>
      </c>
      <c r="U177" s="52">
        <f>T177-V177-W177-X177</f>
        <v>0</v>
      </c>
      <c r="V177" s="41">
        <f>P177*0.03</f>
        <v>0</v>
      </c>
      <c r="W177" s="41">
        <f>P177*0.04</f>
        <v>0</v>
      </c>
      <c r="X177" s="41">
        <f>P177*0.05</f>
        <v>0</v>
      </c>
      <c r="Y177" s="42">
        <f>P177*0.05</f>
        <v>0</v>
      </c>
      <c r="Z177" s="52">
        <f>T177-Y177</f>
        <v>0</v>
      </c>
      <c r="AA177" s="52">
        <f>U177-Y177</f>
        <v>0</v>
      </c>
      <c r="AB177" s="43"/>
      <c r="AC177" t="s" s="51">
        <v>0</v>
      </c>
      <c r="AD177" t="s" s="51">
        <v>0</v>
      </c>
      <c r="AE177" t="s" s="51">
        <v>0</v>
      </c>
      <c r="AF177" t="s" s="44">
        <v>0</v>
      </c>
      <c r="AG177" s="54"/>
      <c r="AH177" s="52"/>
      <c r="AI177" s="41">
        <f>AH177-T177-U177</f>
        <v>0</v>
      </c>
      <c r="AJ177" t="s" s="44">
        <v>0</v>
      </c>
      <c r="AK177" s="54"/>
      <c r="AL177" s="52"/>
      <c r="AM177" s="41">
        <f>AL177-Z177-AA177</f>
        <v>0</v>
      </c>
      <c r="AN177" t="s" s="44">
        <v>0</v>
      </c>
      <c r="AO177" s="54"/>
      <c r="AP177" s="52"/>
      <c r="AQ177" s="41">
        <f>AP177-Y177</f>
        <v>0</v>
      </c>
      <c r="AR177" s="51"/>
      <c r="AS177" s="55">
        <v>0</v>
      </c>
    </row>
    <row r="178" ht="54.85" customHeight="1">
      <c r="A178" t="s" s="2">
        <v>0</v>
      </c>
      <c r="B178" s="33"/>
      <c r="C178" s="34"/>
      <c r="D178" s="35"/>
      <c r="E178" s="34"/>
      <c r="F178" s="36"/>
      <c r="G178" s="34"/>
      <c r="H178" s="34"/>
      <c r="I178" t="s" s="37">
        <v>0</v>
      </c>
      <c r="J178" s="38"/>
      <c r="K178" s="39"/>
      <c r="L178" s="39"/>
      <c r="M178" s="39"/>
      <c r="N178" s="39"/>
      <c r="O178" s="39"/>
      <c r="P178" s="40">
        <f>K178-L178-O178+N178</f>
        <v>0</v>
      </c>
      <c r="Q178" s="39"/>
      <c r="R178" s="39"/>
      <c r="S178" s="40">
        <f>L178</f>
        <v>0</v>
      </c>
      <c r="T178" s="39">
        <f>P178+R178-Q178+M178</f>
        <v>0</v>
      </c>
      <c r="U178" s="39">
        <f>T178-V178-W178-X178</f>
        <v>0</v>
      </c>
      <c r="V178" s="41">
        <f>P178*0.03</f>
        <v>0</v>
      </c>
      <c r="W178" s="41">
        <f>P178*0.04</f>
        <v>0</v>
      </c>
      <c r="X178" s="41">
        <f>P178*0.05</f>
        <v>0</v>
      </c>
      <c r="Y178" s="42">
        <f>P178*0.05</f>
        <v>0</v>
      </c>
      <c r="Z178" s="39">
        <f>T178-Y178</f>
        <v>0</v>
      </c>
      <c r="AA178" s="39">
        <f>U178-Y178</f>
        <v>0</v>
      </c>
      <c r="AB178" s="43"/>
      <c r="AC178" t="s" s="37">
        <v>0</v>
      </c>
      <c r="AD178" t="s" s="37">
        <v>0</v>
      </c>
      <c r="AE178" t="s" s="37">
        <v>0</v>
      </c>
      <c r="AF178" t="s" s="44">
        <v>0</v>
      </c>
      <c r="AG178" s="45"/>
      <c r="AH178" s="39"/>
      <c r="AI178" s="41">
        <f>AH178-T178-U178</f>
        <v>0</v>
      </c>
      <c r="AJ178" t="s" s="44">
        <v>0</v>
      </c>
      <c r="AK178" s="45"/>
      <c r="AL178" s="39"/>
      <c r="AM178" s="41">
        <f>AL178-Z178-AA178</f>
        <v>0</v>
      </c>
      <c r="AN178" t="s" s="44">
        <v>0</v>
      </c>
      <c r="AO178" s="45"/>
      <c r="AP178" s="39"/>
      <c r="AQ178" s="41">
        <f>AP178-Y178</f>
        <v>0</v>
      </c>
      <c r="AR178" s="37"/>
      <c r="AS178" s="46">
        <v>0</v>
      </c>
    </row>
    <row r="179" ht="54.85" customHeight="1">
      <c r="A179" t="s" s="2">
        <v>0</v>
      </c>
      <c r="B179" s="33"/>
      <c r="C179" s="34"/>
      <c r="D179" s="35"/>
      <c r="E179" s="49"/>
      <c r="F179" s="50"/>
      <c r="G179" s="49"/>
      <c r="H179" s="49"/>
      <c r="I179" t="s" s="51">
        <v>0</v>
      </c>
      <c r="J179" s="38"/>
      <c r="K179" s="52"/>
      <c r="L179" s="52"/>
      <c r="M179" s="52"/>
      <c r="N179" s="52"/>
      <c r="O179" s="52"/>
      <c r="P179" s="40">
        <f>K179-L179-O179+N179</f>
        <v>0</v>
      </c>
      <c r="Q179" s="52"/>
      <c r="R179" s="52"/>
      <c r="S179" s="40">
        <f>L179</f>
        <v>0</v>
      </c>
      <c r="T179" s="52">
        <f>P179+R179-Q179+M179</f>
        <v>0</v>
      </c>
      <c r="U179" s="52">
        <f>T179-V179-W179-X179</f>
        <v>0</v>
      </c>
      <c r="V179" s="41">
        <f>P179*0.03</f>
        <v>0</v>
      </c>
      <c r="W179" s="41">
        <f>P179*0.04</f>
        <v>0</v>
      </c>
      <c r="X179" s="41">
        <f>P179*0.05</f>
        <v>0</v>
      </c>
      <c r="Y179" s="42">
        <f>P179*0.05</f>
        <v>0</v>
      </c>
      <c r="Z179" s="52">
        <f>T179-Y179</f>
        <v>0</v>
      </c>
      <c r="AA179" s="52">
        <f>U179-Y179</f>
        <v>0</v>
      </c>
      <c r="AB179" s="43"/>
      <c r="AC179" t="s" s="51">
        <v>0</v>
      </c>
      <c r="AD179" t="s" s="51">
        <v>0</v>
      </c>
      <c r="AE179" t="s" s="51">
        <v>0</v>
      </c>
      <c r="AF179" t="s" s="44">
        <v>0</v>
      </c>
      <c r="AG179" s="54"/>
      <c r="AH179" s="52"/>
      <c r="AI179" s="41">
        <f>AH179-T179-U179</f>
        <v>0</v>
      </c>
      <c r="AJ179" t="s" s="44">
        <v>0</v>
      </c>
      <c r="AK179" s="54"/>
      <c r="AL179" s="52"/>
      <c r="AM179" s="41">
        <f>AL179-Z179-AA179</f>
        <v>0</v>
      </c>
      <c r="AN179" t="s" s="44">
        <v>0</v>
      </c>
      <c r="AO179" s="54"/>
      <c r="AP179" s="52"/>
      <c r="AQ179" s="41">
        <f>AP179-Y179</f>
        <v>0</v>
      </c>
      <c r="AR179" s="51"/>
      <c r="AS179" s="55">
        <v>0</v>
      </c>
    </row>
    <row r="180" ht="54.85" customHeight="1">
      <c r="A180" t="s" s="2">
        <v>0</v>
      </c>
      <c r="B180" s="33"/>
      <c r="C180" s="34"/>
      <c r="D180" s="35"/>
      <c r="E180" s="34"/>
      <c r="F180" s="36"/>
      <c r="G180" s="34"/>
      <c r="H180" s="34"/>
      <c r="I180" t="s" s="37">
        <v>0</v>
      </c>
      <c r="J180" s="38"/>
      <c r="K180" s="39"/>
      <c r="L180" s="39"/>
      <c r="M180" s="39"/>
      <c r="N180" s="39"/>
      <c r="O180" s="39"/>
      <c r="P180" s="40">
        <f>K180-L180-O180+N180</f>
        <v>0</v>
      </c>
      <c r="Q180" s="39"/>
      <c r="R180" s="39"/>
      <c r="S180" s="40">
        <f>L180</f>
        <v>0</v>
      </c>
      <c r="T180" s="39">
        <f>P180+R180-Q180+M180</f>
        <v>0</v>
      </c>
      <c r="U180" s="39">
        <f>T180-V180-W180-X180</f>
        <v>0</v>
      </c>
      <c r="V180" s="41">
        <f>P180*0.03</f>
        <v>0</v>
      </c>
      <c r="W180" s="41">
        <f>P180*0.04</f>
        <v>0</v>
      </c>
      <c r="X180" s="41">
        <f>P180*0.05</f>
        <v>0</v>
      </c>
      <c r="Y180" s="42">
        <f>P180*0.05</f>
        <v>0</v>
      </c>
      <c r="Z180" s="39">
        <f>T180-Y180</f>
        <v>0</v>
      </c>
      <c r="AA180" s="39">
        <f>U180-Y180</f>
        <v>0</v>
      </c>
      <c r="AB180" s="43"/>
      <c r="AC180" t="s" s="37">
        <v>0</v>
      </c>
      <c r="AD180" t="s" s="37">
        <v>0</v>
      </c>
      <c r="AE180" t="s" s="37">
        <v>0</v>
      </c>
      <c r="AF180" t="s" s="44">
        <v>0</v>
      </c>
      <c r="AG180" s="45"/>
      <c r="AH180" s="39"/>
      <c r="AI180" s="41">
        <f>AH180-T180-U180</f>
        <v>0</v>
      </c>
      <c r="AJ180" t="s" s="44">
        <v>0</v>
      </c>
      <c r="AK180" s="45"/>
      <c r="AL180" s="39"/>
      <c r="AM180" s="41">
        <f>AL180-Z180-AA180</f>
        <v>0</v>
      </c>
      <c r="AN180" t="s" s="44">
        <v>0</v>
      </c>
      <c r="AO180" s="45"/>
      <c r="AP180" s="39"/>
      <c r="AQ180" s="41">
        <f>AP180-Y180</f>
        <v>0</v>
      </c>
      <c r="AR180" s="37"/>
      <c r="AS180" s="46">
        <v>0</v>
      </c>
    </row>
    <row r="181" ht="54.85" customHeight="1">
      <c r="A181" t="s" s="2">
        <v>0</v>
      </c>
      <c r="B181" s="33"/>
      <c r="C181" s="34"/>
      <c r="D181" s="35"/>
      <c r="E181" s="49"/>
      <c r="F181" s="50"/>
      <c r="G181" s="49"/>
      <c r="H181" s="49"/>
      <c r="I181" t="s" s="51">
        <v>0</v>
      </c>
      <c r="J181" s="38"/>
      <c r="K181" s="52"/>
      <c r="L181" s="52"/>
      <c r="M181" s="52"/>
      <c r="N181" s="52"/>
      <c r="O181" s="52"/>
      <c r="P181" s="40">
        <f>K181-L181-O181+N181</f>
        <v>0</v>
      </c>
      <c r="Q181" s="52"/>
      <c r="R181" s="52"/>
      <c r="S181" s="40">
        <f>L181</f>
        <v>0</v>
      </c>
      <c r="T181" s="52">
        <f>P181+R181-Q181+M181</f>
        <v>0</v>
      </c>
      <c r="U181" s="52">
        <f>T181-V181-W181-X181</f>
        <v>0</v>
      </c>
      <c r="V181" s="41">
        <f>P181*0.03</f>
        <v>0</v>
      </c>
      <c r="W181" s="41">
        <f>P181*0.04</f>
        <v>0</v>
      </c>
      <c r="X181" s="41">
        <f>P181*0.05</f>
        <v>0</v>
      </c>
      <c r="Y181" s="42">
        <f>P181*0.05</f>
        <v>0</v>
      </c>
      <c r="Z181" s="52">
        <f>T181-Y181</f>
        <v>0</v>
      </c>
      <c r="AA181" s="52">
        <f>U181-Y181</f>
        <v>0</v>
      </c>
      <c r="AB181" s="43"/>
      <c r="AC181" t="s" s="51">
        <v>0</v>
      </c>
      <c r="AD181" t="s" s="51">
        <v>0</v>
      </c>
      <c r="AE181" t="s" s="51">
        <v>0</v>
      </c>
      <c r="AF181" t="s" s="44">
        <v>0</v>
      </c>
      <c r="AG181" s="54"/>
      <c r="AH181" s="52"/>
      <c r="AI181" s="41">
        <f>AH181-T181-U181</f>
        <v>0</v>
      </c>
      <c r="AJ181" t="s" s="44">
        <v>0</v>
      </c>
      <c r="AK181" s="54"/>
      <c r="AL181" s="52"/>
      <c r="AM181" s="41">
        <f>AL181-Z181-AA181</f>
        <v>0</v>
      </c>
      <c r="AN181" t="s" s="44">
        <v>0</v>
      </c>
      <c r="AO181" s="54"/>
      <c r="AP181" s="52"/>
      <c r="AQ181" s="41">
        <f>AP181-Y181</f>
        <v>0</v>
      </c>
      <c r="AR181" s="51"/>
      <c r="AS181" s="55">
        <v>0</v>
      </c>
    </row>
    <row r="182" ht="54.85" customHeight="1">
      <c r="A182" t="s" s="2">
        <v>0</v>
      </c>
      <c r="B182" s="33"/>
      <c r="C182" s="34"/>
      <c r="D182" s="35"/>
      <c r="E182" s="34"/>
      <c r="F182" s="36"/>
      <c r="G182" s="34"/>
      <c r="H182" s="34"/>
      <c r="I182" t="s" s="37">
        <v>0</v>
      </c>
      <c r="J182" s="38"/>
      <c r="K182" s="39"/>
      <c r="L182" s="39"/>
      <c r="M182" s="39"/>
      <c r="N182" s="39"/>
      <c r="O182" s="39"/>
      <c r="P182" s="40">
        <f>K182-L182-O182+N182</f>
        <v>0</v>
      </c>
      <c r="Q182" s="39"/>
      <c r="R182" s="39"/>
      <c r="S182" s="40">
        <f>L182</f>
        <v>0</v>
      </c>
      <c r="T182" s="39">
        <f>P182+R182-Q182+M182</f>
        <v>0</v>
      </c>
      <c r="U182" s="39">
        <f>T182-V182-W182-X182</f>
        <v>0</v>
      </c>
      <c r="V182" s="41">
        <f>P182*0.03</f>
        <v>0</v>
      </c>
      <c r="W182" s="41">
        <f>P182*0.04</f>
        <v>0</v>
      </c>
      <c r="X182" s="41">
        <f>P182*0.05</f>
        <v>0</v>
      </c>
      <c r="Y182" s="42">
        <f>P182*0.05</f>
        <v>0</v>
      </c>
      <c r="Z182" s="39">
        <f>T182-Y182</f>
        <v>0</v>
      </c>
      <c r="AA182" s="39">
        <f>U182-Y182</f>
        <v>0</v>
      </c>
      <c r="AB182" s="43"/>
      <c r="AC182" t="s" s="37">
        <v>0</v>
      </c>
      <c r="AD182" t="s" s="37">
        <v>0</v>
      </c>
      <c r="AE182" t="s" s="37">
        <v>0</v>
      </c>
      <c r="AF182" t="s" s="44">
        <v>0</v>
      </c>
      <c r="AG182" s="45"/>
      <c r="AH182" s="39"/>
      <c r="AI182" s="41">
        <f>AH182-T182-U182</f>
        <v>0</v>
      </c>
      <c r="AJ182" t="s" s="44">
        <v>0</v>
      </c>
      <c r="AK182" s="45"/>
      <c r="AL182" s="39"/>
      <c r="AM182" s="41">
        <f>AL182-Z182-AA182</f>
        <v>0</v>
      </c>
      <c r="AN182" t="s" s="44">
        <v>0</v>
      </c>
      <c r="AO182" s="45"/>
      <c r="AP182" s="39"/>
      <c r="AQ182" s="41">
        <f>AP182-Y182</f>
        <v>0</v>
      </c>
      <c r="AR182" s="37"/>
      <c r="AS182" s="46">
        <v>0</v>
      </c>
    </row>
    <row r="183" ht="54.85" customHeight="1">
      <c r="A183" t="s" s="2">
        <v>0</v>
      </c>
      <c r="B183" s="33"/>
      <c r="C183" s="34"/>
      <c r="D183" s="35"/>
      <c r="E183" s="49"/>
      <c r="F183" s="50"/>
      <c r="G183" s="49"/>
      <c r="H183" s="49"/>
      <c r="I183" t="s" s="51">
        <v>0</v>
      </c>
      <c r="J183" s="38"/>
      <c r="K183" s="52"/>
      <c r="L183" s="52"/>
      <c r="M183" s="52"/>
      <c r="N183" s="52"/>
      <c r="O183" s="52"/>
      <c r="P183" s="40">
        <f>K183-L183-O183+N183</f>
        <v>0</v>
      </c>
      <c r="Q183" s="52"/>
      <c r="R183" s="52"/>
      <c r="S183" s="40">
        <f>L183</f>
        <v>0</v>
      </c>
      <c r="T183" s="52">
        <f>P183+R183-Q183+M183</f>
        <v>0</v>
      </c>
      <c r="U183" s="52">
        <f>T183-V183-W183-X183</f>
        <v>0</v>
      </c>
      <c r="V183" s="41">
        <f>P183*0.03</f>
        <v>0</v>
      </c>
      <c r="W183" s="41">
        <f>P183*0.04</f>
        <v>0</v>
      </c>
      <c r="X183" s="41">
        <f>P183*0.05</f>
        <v>0</v>
      </c>
      <c r="Y183" s="42">
        <f>P183*0.05</f>
        <v>0</v>
      </c>
      <c r="Z183" s="52">
        <f>T183-Y183</f>
        <v>0</v>
      </c>
      <c r="AA183" s="52">
        <f>U183-Y183</f>
        <v>0</v>
      </c>
      <c r="AB183" s="43"/>
      <c r="AC183" t="s" s="51">
        <v>0</v>
      </c>
      <c r="AD183" t="s" s="51">
        <v>0</v>
      </c>
      <c r="AE183" t="s" s="51">
        <v>0</v>
      </c>
      <c r="AF183" t="s" s="44">
        <v>0</v>
      </c>
      <c r="AG183" s="54"/>
      <c r="AH183" s="52"/>
      <c r="AI183" s="41">
        <f>AH183-T183-U183</f>
        <v>0</v>
      </c>
      <c r="AJ183" t="s" s="44">
        <v>0</v>
      </c>
      <c r="AK183" s="54"/>
      <c r="AL183" s="52"/>
      <c r="AM183" s="41">
        <f>AL183-Z183-AA183</f>
        <v>0</v>
      </c>
      <c r="AN183" t="s" s="44">
        <v>0</v>
      </c>
      <c r="AO183" s="54"/>
      <c r="AP183" s="52"/>
      <c r="AQ183" s="41">
        <f>AP183-Y183</f>
        <v>0</v>
      </c>
      <c r="AR183" s="51"/>
      <c r="AS183" s="55">
        <v>0</v>
      </c>
    </row>
    <row r="184" ht="54.85" customHeight="1">
      <c r="A184" t="s" s="2">
        <v>0</v>
      </c>
      <c r="B184" s="33"/>
      <c r="C184" s="34"/>
      <c r="D184" s="35"/>
      <c r="E184" s="34"/>
      <c r="F184" s="36"/>
      <c r="G184" s="34"/>
      <c r="H184" s="34"/>
      <c r="I184" t="s" s="37">
        <v>0</v>
      </c>
      <c r="J184" s="38"/>
      <c r="K184" s="39"/>
      <c r="L184" s="39"/>
      <c r="M184" s="39"/>
      <c r="N184" s="39"/>
      <c r="O184" s="39"/>
      <c r="P184" s="40">
        <f>K184-L184-O184+N184</f>
        <v>0</v>
      </c>
      <c r="Q184" s="39"/>
      <c r="R184" s="39"/>
      <c r="S184" s="40">
        <f>L184</f>
        <v>0</v>
      </c>
      <c r="T184" s="39">
        <f>P184+R184-Q184+M184</f>
        <v>0</v>
      </c>
      <c r="U184" s="39">
        <f>T184-V184-W184-X184</f>
        <v>0</v>
      </c>
      <c r="V184" s="41">
        <f>P184*0.03</f>
        <v>0</v>
      </c>
      <c r="W184" s="41">
        <f>P184*0.04</f>
        <v>0</v>
      </c>
      <c r="X184" s="41">
        <f>P184*0.05</f>
        <v>0</v>
      </c>
      <c r="Y184" s="42">
        <f>P184*0.05</f>
        <v>0</v>
      </c>
      <c r="Z184" s="39">
        <f>T184-Y184</f>
        <v>0</v>
      </c>
      <c r="AA184" s="39">
        <f>U184-Y184</f>
        <v>0</v>
      </c>
      <c r="AB184" s="43"/>
      <c r="AC184" t="s" s="37">
        <v>0</v>
      </c>
      <c r="AD184" t="s" s="37">
        <v>0</v>
      </c>
      <c r="AE184" t="s" s="37">
        <v>0</v>
      </c>
      <c r="AF184" t="s" s="44">
        <v>0</v>
      </c>
      <c r="AG184" s="45"/>
      <c r="AH184" s="39"/>
      <c r="AI184" s="41">
        <f>AH184-T184-U184</f>
        <v>0</v>
      </c>
      <c r="AJ184" t="s" s="44">
        <v>0</v>
      </c>
      <c r="AK184" s="45"/>
      <c r="AL184" s="39"/>
      <c r="AM184" s="41">
        <f>AL184-Z184-AA184</f>
        <v>0</v>
      </c>
      <c r="AN184" t="s" s="44">
        <v>0</v>
      </c>
      <c r="AO184" s="45"/>
      <c r="AP184" s="39"/>
      <c r="AQ184" s="41">
        <f>AP184-Y184</f>
        <v>0</v>
      </c>
      <c r="AR184" s="37"/>
      <c r="AS184" s="46">
        <v>0</v>
      </c>
    </row>
    <row r="185" ht="54.85" customHeight="1">
      <c r="A185" t="s" s="2">
        <v>0</v>
      </c>
      <c r="B185" s="33"/>
      <c r="C185" s="34"/>
      <c r="D185" s="35"/>
      <c r="E185" s="49"/>
      <c r="F185" s="50"/>
      <c r="G185" s="49"/>
      <c r="H185" s="49"/>
      <c r="I185" t="s" s="51">
        <v>0</v>
      </c>
      <c r="J185" s="38"/>
      <c r="K185" s="52"/>
      <c r="L185" s="52"/>
      <c r="M185" s="52"/>
      <c r="N185" s="52"/>
      <c r="O185" s="52"/>
      <c r="P185" s="40">
        <f>K185-L185-O185+N185</f>
        <v>0</v>
      </c>
      <c r="Q185" s="52"/>
      <c r="R185" s="52"/>
      <c r="S185" s="40">
        <f>L185</f>
        <v>0</v>
      </c>
      <c r="T185" s="52">
        <f>P185+R185-Q185+M185</f>
        <v>0</v>
      </c>
      <c r="U185" s="52">
        <f>T185-V185-W185-X185</f>
        <v>0</v>
      </c>
      <c r="V185" s="41">
        <f>P185*0.03</f>
        <v>0</v>
      </c>
      <c r="W185" s="41">
        <f>P185*0.04</f>
        <v>0</v>
      </c>
      <c r="X185" s="41">
        <f>P185*0.05</f>
        <v>0</v>
      </c>
      <c r="Y185" s="42">
        <f>P185*0.05</f>
        <v>0</v>
      </c>
      <c r="Z185" s="52">
        <f>T185-Y185</f>
        <v>0</v>
      </c>
      <c r="AA185" s="52">
        <f>U185-Y185</f>
        <v>0</v>
      </c>
      <c r="AB185" s="43"/>
      <c r="AC185" t="s" s="51">
        <v>0</v>
      </c>
      <c r="AD185" t="s" s="51">
        <v>0</v>
      </c>
      <c r="AE185" t="s" s="51">
        <v>0</v>
      </c>
      <c r="AF185" t="s" s="44">
        <v>0</v>
      </c>
      <c r="AG185" s="54"/>
      <c r="AH185" s="52"/>
      <c r="AI185" s="41">
        <f>AH185-T185-U185</f>
        <v>0</v>
      </c>
      <c r="AJ185" t="s" s="44">
        <v>0</v>
      </c>
      <c r="AK185" s="54"/>
      <c r="AL185" s="52"/>
      <c r="AM185" s="41">
        <f>AL185-Z185-AA185</f>
        <v>0</v>
      </c>
      <c r="AN185" t="s" s="44">
        <v>0</v>
      </c>
      <c r="AO185" s="54"/>
      <c r="AP185" s="52"/>
      <c r="AQ185" s="41">
        <f>AP185-Y185</f>
        <v>0</v>
      </c>
      <c r="AR185" s="51"/>
      <c r="AS185" s="55">
        <v>0</v>
      </c>
    </row>
    <row r="186" ht="54.85" customHeight="1">
      <c r="A186" t="s" s="2">
        <v>0</v>
      </c>
      <c r="B186" s="33"/>
      <c r="C186" s="34"/>
      <c r="D186" s="35"/>
      <c r="E186" s="34"/>
      <c r="F186" s="36"/>
      <c r="G186" s="34"/>
      <c r="H186" s="34"/>
      <c r="I186" t="s" s="37">
        <v>0</v>
      </c>
      <c r="J186" s="38"/>
      <c r="K186" s="39"/>
      <c r="L186" s="39"/>
      <c r="M186" s="39"/>
      <c r="N186" s="39"/>
      <c r="O186" s="39"/>
      <c r="P186" s="40">
        <f>K186-L186-O186+N186</f>
        <v>0</v>
      </c>
      <c r="Q186" s="39"/>
      <c r="R186" s="39"/>
      <c r="S186" s="40">
        <f>L186</f>
        <v>0</v>
      </c>
      <c r="T186" s="39">
        <f>P186+R186-Q186+M186</f>
        <v>0</v>
      </c>
      <c r="U186" s="39">
        <f>T186-V186-W186-X186</f>
        <v>0</v>
      </c>
      <c r="V186" s="41">
        <f>P186*0.03</f>
        <v>0</v>
      </c>
      <c r="W186" s="41">
        <f>P186*0.04</f>
        <v>0</v>
      </c>
      <c r="X186" s="41">
        <f>P186*0.05</f>
        <v>0</v>
      </c>
      <c r="Y186" s="42">
        <f>P186*0.05</f>
        <v>0</v>
      </c>
      <c r="Z186" s="39">
        <f>T186-Y186</f>
        <v>0</v>
      </c>
      <c r="AA186" s="39">
        <f>U186-Y186</f>
        <v>0</v>
      </c>
      <c r="AB186" s="43"/>
      <c r="AC186" t="s" s="37">
        <v>0</v>
      </c>
      <c r="AD186" t="s" s="37">
        <v>0</v>
      </c>
      <c r="AE186" t="s" s="37">
        <v>0</v>
      </c>
      <c r="AF186" t="s" s="44">
        <v>0</v>
      </c>
      <c r="AG186" s="45"/>
      <c r="AH186" s="39"/>
      <c r="AI186" s="41">
        <f>AH186-T186-U186</f>
        <v>0</v>
      </c>
      <c r="AJ186" t="s" s="44">
        <v>0</v>
      </c>
      <c r="AK186" s="45"/>
      <c r="AL186" s="39"/>
      <c r="AM186" s="41">
        <f>AL186-Z186-AA186</f>
        <v>0</v>
      </c>
      <c r="AN186" t="s" s="44">
        <v>0</v>
      </c>
      <c r="AO186" s="45"/>
      <c r="AP186" s="39"/>
      <c r="AQ186" s="41">
        <f>AP186-Y186</f>
        <v>0</v>
      </c>
      <c r="AR186" s="37"/>
      <c r="AS186" s="46">
        <v>0</v>
      </c>
    </row>
    <row r="187" ht="54.85" customHeight="1">
      <c r="A187" t="s" s="2">
        <v>0</v>
      </c>
      <c r="B187" s="33"/>
      <c r="C187" s="34"/>
      <c r="D187" s="35"/>
      <c r="E187" s="49"/>
      <c r="F187" s="50"/>
      <c r="G187" s="49"/>
      <c r="H187" s="49"/>
      <c r="I187" t="s" s="51">
        <v>0</v>
      </c>
      <c r="J187" s="38"/>
      <c r="K187" s="52"/>
      <c r="L187" s="52"/>
      <c r="M187" s="52"/>
      <c r="N187" s="52"/>
      <c r="O187" s="52"/>
      <c r="P187" s="40">
        <f>K187-L187-O187+N187</f>
        <v>0</v>
      </c>
      <c r="Q187" s="52"/>
      <c r="R187" s="52"/>
      <c r="S187" s="40">
        <f>L187</f>
        <v>0</v>
      </c>
      <c r="T187" s="52">
        <f>P187+R187-Q187+M187</f>
        <v>0</v>
      </c>
      <c r="U187" s="52">
        <f>T187-V187-W187-X187</f>
        <v>0</v>
      </c>
      <c r="V187" s="41">
        <f>P187*0.03</f>
        <v>0</v>
      </c>
      <c r="W187" s="41">
        <f>P187*0.04</f>
        <v>0</v>
      </c>
      <c r="X187" s="41">
        <f>P187*0.05</f>
        <v>0</v>
      </c>
      <c r="Y187" s="42">
        <f>P187*0.05</f>
        <v>0</v>
      </c>
      <c r="Z187" s="52">
        <f>T187-Y187</f>
        <v>0</v>
      </c>
      <c r="AA187" s="52">
        <f>U187-Y187</f>
        <v>0</v>
      </c>
      <c r="AB187" s="43"/>
      <c r="AC187" t="s" s="51">
        <v>0</v>
      </c>
      <c r="AD187" t="s" s="51">
        <v>0</v>
      </c>
      <c r="AE187" t="s" s="51">
        <v>0</v>
      </c>
      <c r="AF187" t="s" s="44">
        <v>0</v>
      </c>
      <c r="AG187" s="54"/>
      <c r="AH187" s="52"/>
      <c r="AI187" s="41">
        <f>AH187-T187-U187</f>
        <v>0</v>
      </c>
      <c r="AJ187" t="s" s="44">
        <v>0</v>
      </c>
      <c r="AK187" s="54"/>
      <c r="AL187" s="52"/>
      <c r="AM187" s="41">
        <f>AL187-Z187-AA187</f>
        <v>0</v>
      </c>
      <c r="AN187" t="s" s="44">
        <v>0</v>
      </c>
      <c r="AO187" s="54"/>
      <c r="AP187" s="52"/>
      <c r="AQ187" s="41">
        <f>AP187-Y187</f>
        <v>0</v>
      </c>
      <c r="AR187" s="51"/>
      <c r="AS187" s="55">
        <v>0</v>
      </c>
    </row>
    <row r="188" ht="54.85" customHeight="1">
      <c r="A188" t="s" s="2">
        <v>0</v>
      </c>
      <c r="B188" s="33"/>
      <c r="C188" s="34"/>
      <c r="D188" s="35"/>
      <c r="E188" s="34"/>
      <c r="F188" s="36"/>
      <c r="G188" s="34"/>
      <c r="H188" s="34"/>
      <c r="I188" t="s" s="37">
        <v>0</v>
      </c>
      <c r="J188" s="38"/>
      <c r="K188" s="39"/>
      <c r="L188" s="39"/>
      <c r="M188" s="39"/>
      <c r="N188" s="39"/>
      <c r="O188" s="39"/>
      <c r="P188" s="40">
        <f>K188-L188-O188+N188</f>
        <v>0</v>
      </c>
      <c r="Q188" s="39"/>
      <c r="R188" s="39"/>
      <c r="S188" s="40">
        <f>L188</f>
        <v>0</v>
      </c>
      <c r="T188" s="39">
        <f>P188+R188-Q188+M188</f>
        <v>0</v>
      </c>
      <c r="U188" s="39">
        <f>T188-V188-W188-X188</f>
        <v>0</v>
      </c>
      <c r="V188" s="41">
        <f>P188*0.03</f>
        <v>0</v>
      </c>
      <c r="W188" s="41">
        <f>P188*0.04</f>
        <v>0</v>
      </c>
      <c r="X188" s="41">
        <f>P188*0.05</f>
        <v>0</v>
      </c>
      <c r="Y188" s="42">
        <f>P188*0.05</f>
        <v>0</v>
      </c>
      <c r="Z188" s="39">
        <f>T188-Y188</f>
        <v>0</v>
      </c>
      <c r="AA188" s="39">
        <f>U188-Y188</f>
        <v>0</v>
      </c>
      <c r="AB188" s="43"/>
      <c r="AC188" t="s" s="37">
        <v>0</v>
      </c>
      <c r="AD188" t="s" s="37">
        <v>0</v>
      </c>
      <c r="AE188" t="s" s="37">
        <v>0</v>
      </c>
      <c r="AF188" t="s" s="44">
        <v>0</v>
      </c>
      <c r="AG188" s="45"/>
      <c r="AH188" s="39"/>
      <c r="AI188" s="41">
        <f>AH188-T188-U188</f>
        <v>0</v>
      </c>
      <c r="AJ188" t="s" s="44">
        <v>0</v>
      </c>
      <c r="AK188" s="45"/>
      <c r="AL188" s="39"/>
      <c r="AM188" s="41">
        <f>AL188-Z188-AA188</f>
        <v>0</v>
      </c>
      <c r="AN188" t="s" s="44">
        <v>0</v>
      </c>
      <c r="AO188" s="45"/>
      <c r="AP188" s="39"/>
      <c r="AQ188" s="41">
        <f>AP188-Y188</f>
        <v>0</v>
      </c>
      <c r="AR188" s="37"/>
      <c r="AS188" s="46">
        <v>0</v>
      </c>
    </row>
    <row r="189" ht="54.85" customHeight="1">
      <c r="A189" t="s" s="2">
        <v>0</v>
      </c>
      <c r="B189" s="33"/>
      <c r="C189" s="34"/>
      <c r="D189" s="35"/>
      <c r="E189" s="49"/>
      <c r="F189" s="50"/>
      <c r="G189" s="49"/>
      <c r="H189" s="49"/>
      <c r="I189" t="s" s="51">
        <v>0</v>
      </c>
      <c r="J189" s="38"/>
      <c r="K189" s="52"/>
      <c r="L189" s="52"/>
      <c r="M189" s="52"/>
      <c r="N189" s="52"/>
      <c r="O189" s="52"/>
      <c r="P189" s="40">
        <f>K189-L189-O189+N189</f>
        <v>0</v>
      </c>
      <c r="Q189" s="52"/>
      <c r="R189" s="52"/>
      <c r="S189" s="40">
        <f>L189</f>
        <v>0</v>
      </c>
      <c r="T189" s="52">
        <f>P189+R189-Q189+M189</f>
        <v>0</v>
      </c>
      <c r="U189" s="52">
        <f>T189-V189-W189-X189</f>
        <v>0</v>
      </c>
      <c r="V189" s="41">
        <f>P189*0.03</f>
        <v>0</v>
      </c>
      <c r="W189" s="41">
        <f>P189*0.04</f>
        <v>0</v>
      </c>
      <c r="X189" s="41">
        <f>P189*0.05</f>
        <v>0</v>
      </c>
      <c r="Y189" s="42">
        <f>P189*0.05</f>
        <v>0</v>
      </c>
      <c r="Z189" s="52">
        <f>T189-Y189</f>
        <v>0</v>
      </c>
      <c r="AA189" s="52">
        <f>U189-Y189</f>
        <v>0</v>
      </c>
      <c r="AB189" s="43"/>
      <c r="AC189" t="s" s="51">
        <v>0</v>
      </c>
      <c r="AD189" t="s" s="51">
        <v>0</v>
      </c>
      <c r="AE189" t="s" s="51">
        <v>0</v>
      </c>
      <c r="AF189" t="s" s="44">
        <v>0</v>
      </c>
      <c r="AG189" s="54"/>
      <c r="AH189" s="52"/>
      <c r="AI189" s="41">
        <f>AH189-T189-U189</f>
        <v>0</v>
      </c>
      <c r="AJ189" t="s" s="44">
        <v>0</v>
      </c>
      <c r="AK189" s="54"/>
      <c r="AL189" s="52"/>
      <c r="AM189" s="41">
        <f>AL189-Z189-AA189</f>
        <v>0</v>
      </c>
      <c r="AN189" t="s" s="44">
        <v>0</v>
      </c>
      <c r="AO189" s="54"/>
      <c r="AP189" s="52"/>
      <c r="AQ189" s="41">
        <f>AP189-Y189</f>
        <v>0</v>
      </c>
      <c r="AR189" s="51"/>
      <c r="AS189" s="55">
        <v>0</v>
      </c>
    </row>
    <row r="190" ht="54.85" customHeight="1">
      <c r="A190" t="s" s="2">
        <v>0</v>
      </c>
      <c r="B190" s="33"/>
      <c r="C190" s="34"/>
      <c r="D190" s="35"/>
      <c r="E190" s="34"/>
      <c r="F190" s="36"/>
      <c r="G190" s="34"/>
      <c r="H190" s="34"/>
      <c r="I190" t="s" s="37">
        <v>0</v>
      </c>
      <c r="J190" s="38"/>
      <c r="K190" s="39"/>
      <c r="L190" s="39"/>
      <c r="M190" s="39"/>
      <c r="N190" s="39"/>
      <c r="O190" s="39"/>
      <c r="P190" s="40">
        <f>K190-L190-O190+N190</f>
        <v>0</v>
      </c>
      <c r="Q190" s="39"/>
      <c r="R190" s="39"/>
      <c r="S190" s="40">
        <f>L190</f>
        <v>0</v>
      </c>
      <c r="T190" s="39">
        <f>P190+R190-Q190+M190</f>
        <v>0</v>
      </c>
      <c r="U190" s="39">
        <f>T190-V190-W190-X190</f>
        <v>0</v>
      </c>
      <c r="V190" s="41">
        <f>P190*0.03</f>
        <v>0</v>
      </c>
      <c r="W190" s="41">
        <f>P190*0.04</f>
        <v>0</v>
      </c>
      <c r="X190" s="41">
        <f>P190*0.05</f>
        <v>0</v>
      </c>
      <c r="Y190" s="42">
        <f>P190*0.05</f>
        <v>0</v>
      </c>
      <c r="Z190" s="39">
        <f>T190-Y190</f>
        <v>0</v>
      </c>
      <c r="AA190" s="39">
        <f>U190-Y190</f>
        <v>0</v>
      </c>
      <c r="AB190" s="43"/>
      <c r="AC190" t="s" s="37">
        <v>0</v>
      </c>
      <c r="AD190" t="s" s="37">
        <v>0</v>
      </c>
      <c r="AE190" t="s" s="37">
        <v>0</v>
      </c>
      <c r="AF190" t="s" s="44">
        <v>0</v>
      </c>
      <c r="AG190" s="45"/>
      <c r="AH190" s="39"/>
      <c r="AI190" s="41">
        <f>AH190-T190-U190</f>
        <v>0</v>
      </c>
      <c r="AJ190" t="s" s="44">
        <v>0</v>
      </c>
      <c r="AK190" s="45"/>
      <c r="AL190" s="39"/>
      <c r="AM190" s="41">
        <f>AL190-Z190-AA190</f>
        <v>0</v>
      </c>
      <c r="AN190" t="s" s="44">
        <v>0</v>
      </c>
      <c r="AO190" s="45"/>
      <c r="AP190" s="39"/>
      <c r="AQ190" s="41">
        <f>AP190-Y190</f>
        <v>0</v>
      </c>
      <c r="AR190" s="37"/>
      <c r="AS190" s="46">
        <v>0</v>
      </c>
    </row>
    <row r="191" ht="54.85" customHeight="1">
      <c r="A191" t="s" s="2">
        <v>0</v>
      </c>
      <c r="B191" s="33"/>
      <c r="C191" s="34"/>
      <c r="D191" s="35"/>
      <c r="E191" s="49"/>
      <c r="F191" s="50"/>
      <c r="G191" s="49"/>
      <c r="H191" s="49"/>
      <c r="I191" t="s" s="51">
        <v>0</v>
      </c>
      <c r="J191" s="38"/>
      <c r="K191" s="52"/>
      <c r="L191" s="52"/>
      <c r="M191" s="52"/>
      <c r="N191" s="52"/>
      <c r="O191" s="52"/>
      <c r="P191" s="40">
        <f>K191-L191-O191+N191</f>
        <v>0</v>
      </c>
      <c r="Q191" s="52"/>
      <c r="R191" s="52"/>
      <c r="S191" s="40">
        <f>L191</f>
        <v>0</v>
      </c>
      <c r="T191" s="52">
        <f>P191+R191-Q191+M191</f>
        <v>0</v>
      </c>
      <c r="U191" s="52">
        <f>T191-V191-W191-X191</f>
        <v>0</v>
      </c>
      <c r="V191" s="41">
        <f>P191*0.03</f>
        <v>0</v>
      </c>
      <c r="W191" s="41">
        <f>P191*0.04</f>
        <v>0</v>
      </c>
      <c r="X191" s="41">
        <f>P191*0.05</f>
        <v>0</v>
      </c>
      <c r="Y191" s="42">
        <f>P191*0.05</f>
        <v>0</v>
      </c>
      <c r="Z191" s="52">
        <f>T191-Y191</f>
        <v>0</v>
      </c>
      <c r="AA191" s="52">
        <f>U191-Y191</f>
        <v>0</v>
      </c>
      <c r="AB191" s="43"/>
      <c r="AC191" t="s" s="51">
        <v>0</v>
      </c>
      <c r="AD191" t="s" s="51">
        <v>0</v>
      </c>
      <c r="AE191" t="s" s="51">
        <v>0</v>
      </c>
      <c r="AF191" t="s" s="44">
        <v>0</v>
      </c>
      <c r="AG191" s="54"/>
      <c r="AH191" s="52"/>
      <c r="AI191" s="41">
        <f>AH191-T191-U191</f>
        <v>0</v>
      </c>
      <c r="AJ191" t="s" s="44">
        <v>0</v>
      </c>
      <c r="AK191" s="54"/>
      <c r="AL191" s="52"/>
      <c r="AM191" s="41">
        <f>AL191-Z191-AA191</f>
        <v>0</v>
      </c>
      <c r="AN191" t="s" s="44">
        <v>0</v>
      </c>
      <c r="AO191" s="54"/>
      <c r="AP191" s="52"/>
      <c r="AQ191" s="41">
        <f>AP191-Y191</f>
        <v>0</v>
      </c>
      <c r="AR191" s="51"/>
      <c r="AS191" s="55">
        <v>0</v>
      </c>
    </row>
    <row r="192" ht="54.85" customHeight="1">
      <c r="A192" t="s" s="2">
        <v>0</v>
      </c>
      <c r="B192" s="33"/>
      <c r="C192" s="34"/>
      <c r="D192" s="35"/>
      <c r="E192" s="34"/>
      <c r="F192" s="36"/>
      <c r="G192" s="34"/>
      <c r="H192" s="34"/>
      <c r="I192" t="s" s="37">
        <v>0</v>
      </c>
      <c r="J192" s="38"/>
      <c r="K192" s="39"/>
      <c r="L192" s="39"/>
      <c r="M192" s="39"/>
      <c r="N192" s="39"/>
      <c r="O192" s="39"/>
      <c r="P192" s="40">
        <f>K192-L192-O192+N192</f>
        <v>0</v>
      </c>
      <c r="Q192" s="39"/>
      <c r="R192" s="39"/>
      <c r="S192" s="40">
        <f>L192</f>
        <v>0</v>
      </c>
      <c r="T192" s="39">
        <f>P192+R192-Q192+M192</f>
        <v>0</v>
      </c>
      <c r="U192" s="39">
        <f>T192-V192-W192-X192</f>
        <v>0</v>
      </c>
      <c r="V192" s="41">
        <f>P192*0.03</f>
        <v>0</v>
      </c>
      <c r="W192" s="41">
        <f>P192*0.04</f>
        <v>0</v>
      </c>
      <c r="X192" s="41">
        <f>P192*0.05</f>
        <v>0</v>
      </c>
      <c r="Y192" s="42">
        <f>P192*0.05</f>
        <v>0</v>
      </c>
      <c r="Z192" s="39">
        <f>T192-Y192</f>
        <v>0</v>
      </c>
      <c r="AA192" s="39">
        <f>U192-Y192</f>
        <v>0</v>
      </c>
      <c r="AB192" s="43"/>
      <c r="AC192" t="s" s="37">
        <v>0</v>
      </c>
      <c r="AD192" t="s" s="37">
        <v>0</v>
      </c>
      <c r="AE192" t="s" s="37">
        <v>0</v>
      </c>
      <c r="AF192" t="s" s="44">
        <v>0</v>
      </c>
      <c r="AG192" s="45"/>
      <c r="AH192" s="39"/>
      <c r="AI192" s="41">
        <f>AH192-T192-U192</f>
        <v>0</v>
      </c>
      <c r="AJ192" t="s" s="44">
        <v>0</v>
      </c>
      <c r="AK192" s="45"/>
      <c r="AL192" s="39"/>
      <c r="AM192" s="41">
        <f>AL192-Z192-AA192</f>
        <v>0</v>
      </c>
      <c r="AN192" t="s" s="44">
        <v>0</v>
      </c>
      <c r="AO192" s="45"/>
      <c r="AP192" s="39"/>
      <c r="AQ192" s="41">
        <f>AP192-Y192</f>
        <v>0</v>
      </c>
      <c r="AR192" s="37"/>
      <c r="AS192" s="46">
        <v>0</v>
      </c>
    </row>
    <row r="193" ht="54.85" customHeight="1">
      <c r="A193" t="s" s="2">
        <v>0</v>
      </c>
      <c r="B193" s="33"/>
      <c r="C193" s="34"/>
      <c r="D193" s="35"/>
      <c r="E193" s="49"/>
      <c r="F193" s="50"/>
      <c r="G193" s="49"/>
      <c r="H193" s="49"/>
      <c r="I193" t="s" s="51">
        <v>0</v>
      </c>
      <c r="J193" s="38"/>
      <c r="K193" s="52"/>
      <c r="L193" s="52"/>
      <c r="M193" s="52"/>
      <c r="N193" s="52"/>
      <c r="O193" s="52"/>
      <c r="P193" s="40">
        <f>K193-L193-O193+N193</f>
        <v>0</v>
      </c>
      <c r="Q193" s="52"/>
      <c r="R193" s="52"/>
      <c r="S193" s="40">
        <f>L193</f>
        <v>0</v>
      </c>
      <c r="T193" s="52">
        <f>P193+R193-Q193+M193</f>
        <v>0</v>
      </c>
      <c r="U193" s="52">
        <f>T193-V193-W193-X193</f>
        <v>0</v>
      </c>
      <c r="V193" s="41">
        <f>P193*0.03</f>
        <v>0</v>
      </c>
      <c r="W193" s="41">
        <f>P193*0.04</f>
        <v>0</v>
      </c>
      <c r="X193" s="41">
        <f>P193*0.05</f>
        <v>0</v>
      </c>
      <c r="Y193" s="42">
        <f>P193*0.05</f>
        <v>0</v>
      </c>
      <c r="Z193" s="52">
        <f>T193-Y193</f>
        <v>0</v>
      </c>
      <c r="AA193" s="52">
        <f>U193-Y193</f>
        <v>0</v>
      </c>
      <c r="AB193" s="43"/>
      <c r="AC193" t="s" s="51">
        <v>0</v>
      </c>
      <c r="AD193" t="s" s="51">
        <v>0</v>
      </c>
      <c r="AE193" t="s" s="51">
        <v>0</v>
      </c>
      <c r="AF193" t="s" s="44">
        <v>0</v>
      </c>
      <c r="AG193" s="54"/>
      <c r="AH193" s="52"/>
      <c r="AI193" s="41">
        <f>AH193-T193-U193</f>
        <v>0</v>
      </c>
      <c r="AJ193" t="s" s="44">
        <v>0</v>
      </c>
      <c r="AK193" s="54"/>
      <c r="AL193" s="52"/>
      <c r="AM193" s="41">
        <f>AL193-Z193-AA193</f>
        <v>0</v>
      </c>
      <c r="AN193" t="s" s="44">
        <v>0</v>
      </c>
      <c r="AO193" s="54"/>
      <c r="AP193" s="52"/>
      <c r="AQ193" s="41">
        <f>AP193-Y193</f>
        <v>0</v>
      </c>
      <c r="AR193" s="51"/>
      <c r="AS193" s="55">
        <v>0</v>
      </c>
    </row>
    <row r="194" ht="54.85" customHeight="1">
      <c r="A194" t="s" s="2">
        <v>0</v>
      </c>
      <c r="B194" s="33"/>
      <c r="C194" s="34"/>
      <c r="D194" s="35"/>
      <c r="E194" s="34"/>
      <c r="F194" s="36"/>
      <c r="G194" s="34"/>
      <c r="H194" s="34"/>
      <c r="I194" t="s" s="37">
        <v>0</v>
      </c>
      <c r="J194" s="38"/>
      <c r="K194" s="39"/>
      <c r="L194" s="39"/>
      <c r="M194" s="39"/>
      <c r="N194" s="39"/>
      <c r="O194" s="39"/>
      <c r="P194" s="40">
        <f>K194-L194-O194+N194</f>
        <v>0</v>
      </c>
      <c r="Q194" s="39"/>
      <c r="R194" s="39"/>
      <c r="S194" s="40">
        <f>L194</f>
        <v>0</v>
      </c>
      <c r="T194" s="39">
        <f>P194+R194-Q194+M194</f>
        <v>0</v>
      </c>
      <c r="U194" s="39">
        <f>T194-V194-W194-X194</f>
        <v>0</v>
      </c>
      <c r="V194" s="41">
        <f>P194*0.03</f>
        <v>0</v>
      </c>
      <c r="W194" s="41">
        <f>P194*0.04</f>
        <v>0</v>
      </c>
      <c r="X194" s="41">
        <f>P194*0.05</f>
        <v>0</v>
      </c>
      <c r="Y194" s="42">
        <f>P194*0.05</f>
        <v>0</v>
      </c>
      <c r="Z194" s="39">
        <f>T194-Y194</f>
        <v>0</v>
      </c>
      <c r="AA194" s="39">
        <f>U194-Y194</f>
        <v>0</v>
      </c>
      <c r="AB194" s="43"/>
      <c r="AC194" t="s" s="37">
        <v>0</v>
      </c>
      <c r="AD194" t="s" s="37">
        <v>0</v>
      </c>
      <c r="AE194" t="s" s="37">
        <v>0</v>
      </c>
      <c r="AF194" t="s" s="44">
        <v>0</v>
      </c>
      <c r="AG194" s="45"/>
      <c r="AH194" s="39"/>
      <c r="AI194" s="41">
        <f>AH194-T194-U194</f>
        <v>0</v>
      </c>
      <c r="AJ194" t="s" s="44">
        <v>0</v>
      </c>
      <c r="AK194" s="45"/>
      <c r="AL194" s="39"/>
      <c r="AM194" s="41">
        <f>AL194-Z194-AA194</f>
        <v>0</v>
      </c>
      <c r="AN194" t="s" s="44">
        <v>0</v>
      </c>
      <c r="AO194" s="45"/>
      <c r="AP194" s="39"/>
      <c r="AQ194" s="41">
        <f>AP194-Y194</f>
        <v>0</v>
      </c>
      <c r="AR194" s="37"/>
      <c r="AS194" s="46">
        <v>0</v>
      </c>
    </row>
    <row r="195" ht="54.85" customHeight="1">
      <c r="A195" t="s" s="2">
        <v>0</v>
      </c>
      <c r="B195" s="33"/>
      <c r="C195" s="34"/>
      <c r="D195" s="35"/>
      <c r="E195" s="49"/>
      <c r="F195" s="50"/>
      <c r="G195" s="49"/>
      <c r="H195" s="49"/>
      <c r="I195" t="s" s="51">
        <v>0</v>
      </c>
      <c r="J195" s="38"/>
      <c r="K195" s="52"/>
      <c r="L195" s="52"/>
      <c r="M195" s="52"/>
      <c r="N195" s="52"/>
      <c r="O195" s="52"/>
      <c r="P195" s="40">
        <f>K195-L195-O195+N195</f>
        <v>0</v>
      </c>
      <c r="Q195" s="52"/>
      <c r="R195" s="52"/>
      <c r="S195" s="40">
        <f>L195</f>
        <v>0</v>
      </c>
      <c r="T195" s="52">
        <f>P195+R195-Q195+M195</f>
        <v>0</v>
      </c>
      <c r="U195" s="52">
        <f>T195-V195-W195-X195</f>
        <v>0</v>
      </c>
      <c r="V195" s="41">
        <f>P195*0.03</f>
        <v>0</v>
      </c>
      <c r="W195" s="41">
        <f>P195*0.04</f>
        <v>0</v>
      </c>
      <c r="X195" s="41">
        <f>P195*0.05</f>
        <v>0</v>
      </c>
      <c r="Y195" s="42">
        <f>P195*0.05</f>
        <v>0</v>
      </c>
      <c r="Z195" s="52">
        <f>T195-Y195</f>
        <v>0</v>
      </c>
      <c r="AA195" s="52">
        <f>U195-Y195</f>
        <v>0</v>
      </c>
      <c r="AB195" s="43"/>
      <c r="AC195" t="s" s="51">
        <v>0</v>
      </c>
      <c r="AD195" t="s" s="51">
        <v>0</v>
      </c>
      <c r="AE195" t="s" s="51">
        <v>0</v>
      </c>
      <c r="AF195" t="s" s="44">
        <v>0</v>
      </c>
      <c r="AG195" s="54"/>
      <c r="AH195" s="52"/>
      <c r="AI195" s="41">
        <f>AH195-T195-U195</f>
        <v>0</v>
      </c>
      <c r="AJ195" t="s" s="44">
        <v>0</v>
      </c>
      <c r="AK195" s="54"/>
      <c r="AL195" s="52"/>
      <c r="AM195" s="41">
        <f>AL195-Z195-AA195</f>
        <v>0</v>
      </c>
      <c r="AN195" t="s" s="44">
        <v>0</v>
      </c>
      <c r="AO195" s="54"/>
      <c r="AP195" s="52"/>
      <c r="AQ195" s="41">
        <f>AP195-Y195</f>
        <v>0</v>
      </c>
      <c r="AR195" s="51"/>
      <c r="AS195" s="55">
        <v>0</v>
      </c>
    </row>
    <row r="196" ht="54.85" customHeight="1">
      <c r="A196" t="s" s="2">
        <v>0</v>
      </c>
      <c r="B196" s="33"/>
      <c r="C196" s="34"/>
      <c r="D196" s="35"/>
      <c r="E196" s="34"/>
      <c r="F196" s="36"/>
      <c r="G196" s="34"/>
      <c r="H196" s="34"/>
      <c r="I196" t="s" s="37">
        <v>0</v>
      </c>
      <c r="J196" s="38"/>
      <c r="K196" s="39"/>
      <c r="L196" s="39"/>
      <c r="M196" s="39"/>
      <c r="N196" s="39"/>
      <c r="O196" s="39"/>
      <c r="P196" s="40">
        <f>K196-L196-O196+N196</f>
        <v>0</v>
      </c>
      <c r="Q196" s="39"/>
      <c r="R196" s="39"/>
      <c r="S196" s="40">
        <f>L196</f>
        <v>0</v>
      </c>
      <c r="T196" s="39">
        <f>P196+R196-Q196+M196</f>
        <v>0</v>
      </c>
      <c r="U196" s="39">
        <f>T196-V196-W196-X196</f>
        <v>0</v>
      </c>
      <c r="V196" s="41">
        <f>P196*0.03</f>
        <v>0</v>
      </c>
      <c r="W196" s="41">
        <f>P196*0.04</f>
        <v>0</v>
      </c>
      <c r="X196" s="41">
        <f>P196*0.05</f>
        <v>0</v>
      </c>
      <c r="Y196" s="42">
        <f>P196*0.05</f>
        <v>0</v>
      </c>
      <c r="Z196" s="39">
        <f>T196-Y196</f>
        <v>0</v>
      </c>
      <c r="AA196" s="39">
        <f>U196-Y196</f>
        <v>0</v>
      </c>
      <c r="AB196" s="43"/>
      <c r="AC196" t="s" s="37">
        <v>0</v>
      </c>
      <c r="AD196" t="s" s="37">
        <v>0</v>
      </c>
      <c r="AE196" t="s" s="37">
        <v>0</v>
      </c>
      <c r="AF196" t="s" s="44">
        <v>0</v>
      </c>
      <c r="AG196" s="45"/>
      <c r="AH196" s="39"/>
      <c r="AI196" s="41">
        <f>AH196-T196-U196</f>
        <v>0</v>
      </c>
      <c r="AJ196" t="s" s="44">
        <v>0</v>
      </c>
      <c r="AK196" s="45"/>
      <c r="AL196" s="39"/>
      <c r="AM196" s="41">
        <f>AL196-Z196-AA196</f>
        <v>0</v>
      </c>
      <c r="AN196" t="s" s="44">
        <v>0</v>
      </c>
      <c r="AO196" s="45"/>
      <c r="AP196" s="39"/>
      <c r="AQ196" s="41">
        <f>AP196-Y196</f>
        <v>0</v>
      </c>
      <c r="AR196" s="37"/>
      <c r="AS196" s="46">
        <v>0</v>
      </c>
    </row>
    <row r="197" ht="54.85" customHeight="1">
      <c r="A197" t="s" s="2">
        <v>0</v>
      </c>
      <c r="B197" s="33"/>
      <c r="C197" s="34"/>
      <c r="D197" s="35"/>
      <c r="E197" s="49"/>
      <c r="F197" s="50"/>
      <c r="G197" s="49"/>
      <c r="H197" s="49"/>
      <c r="I197" t="s" s="51">
        <v>0</v>
      </c>
      <c r="J197" s="38"/>
      <c r="K197" s="52"/>
      <c r="L197" s="52"/>
      <c r="M197" s="52"/>
      <c r="N197" s="52"/>
      <c r="O197" s="52"/>
      <c r="P197" s="40">
        <f>K197-L197-O197+N197</f>
        <v>0</v>
      </c>
      <c r="Q197" s="52"/>
      <c r="R197" s="52"/>
      <c r="S197" s="40">
        <f>L197</f>
        <v>0</v>
      </c>
      <c r="T197" s="52">
        <f>P197+R197-Q197+M197</f>
        <v>0</v>
      </c>
      <c r="U197" s="52">
        <f>T197-V197-W197-X197</f>
        <v>0</v>
      </c>
      <c r="V197" s="41">
        <f>P197*0.03</f>
        <v>0</v>
      </c>
      <c r="W197" s="41">
        <f>P197*0.04</f>
        <v>0</v>
      </c>
      <c r="X197" s="41">
        <f>P197*0.05</f>
        <v>0</v>
      </c>
      <c r="Y197" s="42">
        <f>P197*0.05</f>
        <v>0</v>
      </c>
      <c r="Z197" s="52">
        <f>T197-Y197</f>
        <v>0</v>
      </c>
      <c r="AA197" s="52">
        <f>U197-Y197</f>
        <v>0</v>
      </c>
      <c r="AB197" s="43"/>
      <c r="AC197" t="s" s="51">
        <v>0</v>
      </c>
      <c r="AD197" t="s" s="51">
        <v>0</v>
      </c>
      <c r="AE197" t="s" s="51">
        <v>0</v>
      </c>
      <c r="AF197" t="s" s="44">
        <v>0</v>
      </c>
      <c r="AG197" s="54"/>
      <c r="AH197" s="52"/>
      <c r="AI197" s="41">
        <f>AH197-T197-U197</f>
        <v>0</v>
      </c>
      <c r="AJ197" t="s" s="44">
        <v>0</v>
      </c>
      <c r="AK197" s="54"/>
      <c r="AL197" s="52"/>
      <c r="AM197" s="41">
        <f>AL197-Z197-AA197</f>
        <v>0</v>
      </c>
      <c r="AN197" t="s" s="44">
        <v>0</v>
      </c>
      <c r="AO197" s="54"/>
      <c r="AP197" s="52"/>
      <c r="AQ197" s="41">
        <f>AP197-Y197</f>
        <v>0</v>
      </c>
      <c r="AR197" s="51"/>
      <c r="AS197" s="55">
        <v>0</v>
      </c>
    </row>
    <row r="198" ht="54.85" customHeight="1">
      <c r="A198" t="s" s="2">
        <v>0</v>
      </c>
      <c r="B198" s="33"/>
      <c r="C198" s="34"/>
      <c r="D198" s="35"/>
      <c r="E198" s="34"/>
      <c r="F198" s="36"/>
      <c r="G198" s="34"/>
      <c r="H198" s="34"/>
      <c r="I198" t="s" s="37">
        <v>0</v>
      </c>
      <c r="J198" s="38"/>
      <c r="K198" s="39"/>
      <c r="L198" s="39"/>
      <c r="M198" s="39"/>
      <c r="N198" s="39"/>
      <c r="O198" s="39"/>
      <c r="P198" s="40">
        <f>K198-L198-O198+N198</f>
        <v>0</v>
      </c>
      <c r="Q198" s="39"/>
      <c r="R198" s="39"/>
      <c r="S198" s="40">
        <f>L198</f>
        <v>0</v>
      </c>
      <c r="T198" s="39">
        <f>P198+R198-Q198+M198</f>
        <v>0</v>
      </c>
      <c r="U198" s="39">
        <f>T198-V198-W198-X198</f>
        <v>0</v>
      </c>
      <c r="V198" s="41">
        <f>P198*0.03</f>
        <v>0</v>
      </c>
      <c r="W198" s="41">
        <f>P198*0.04</f>
        <v>0</v>
      </c>
      <c r="X198" s="41">
        <f>P198*0.05</f>
        <v>0</v>
      </c>
      <c r="Y198" s="42">
        <f>P198*0.05</f>
        <v>0</v>
      </c>
      <c r="Z198" s="39">
        <f>T198-Y198</f>
        <v>0</v>
      </c>
      <c r="AA198" s="39">
        <f>U198-Y198</f>
        <v>0</v>
      </c>
      <c r="AB198" s="43"/>
      <c r="AC198" t="s" s="37">
        <v>0</v>
      </c>
      <c r="AD198" t="s" s="37">
        <v>0</v>
      </c>
      <c r="AE198" t="s" s="37">
        <v>0</v>
      </c>
      <c r="AF198" t="s" s="44">
        <v>0</v>
      </c>
      <c r="AG198" s="45"/>
      <c r="AH198" s="39"/>
      <c r="AI198" s="41">
        <f>AH198-T198-U198</f>
        <v>0</v>
      </c>
      <c r="AJ198" t="s" s="44">
        <v>0</v>
      </c>
      <c r="AK198" s="45"/>
      <c r="AL198" s="39"/>
      <c r="AM198" s="41">
        <f>AL198-Z198-AA198</f>
        <v>0</v>
      </c>
      <c r="AN198" t="s" s="44">
        <v>0</v>
      </c>
      <c r="AO198" s="45"/>
      <c r="AP198" s="39"/>
      <c r="AQ198" s="41">
        <f>AP198-Y198</f>
        <v>0</v>
      </c>
      <c r="AR198" s="37"/>
      <c r="AS198" s="46">
        <v>0</v>
      </c>
    </row>
    <row r="199" ht="54.85" customHeight="1">
      <c r="A199" t="s" s="2">
        <v>0</v>
      </c>
      <c r="B199" s="33"/>
      <c r="C199" s="34"/>
      <c r="D199" s="35"/>
      <c r="E199" s="49"/>
      <c r="F199" s="50"/>
      <c r="G199" s="49"/>
      <c r="H199" s="49"/>
      <c r="I199" t="s" s="51">
        <v>0</v>
      </c>
      <c r="J199" s="38"/>
      <c r="K199" s="52"/>
      <c r="L199" s="52"/>
      <c r="M199" s="52"/>
      <c r="N199" s="52"/>
      <c r="O199" s="52"/>
      <c r="P199" s="40">
        <f>K199-L199-O199+N199</f>
        <v>0</v>
      </c>
      <c r="Q199" s="52"/>
      <c r="R199" s="52"/>
      <c r="S199" s="40">
        <f>L199</f>
        <v>0</v>
      </c>
      <c r="T199" s="52">
        <f>P199+R199-Q199+M199</f>
        <v>0</v>
      </c>
      <c r="U199" s="52">
        <f>T199-V199-W199-X199</f>
        <v>0</v>
      </c>
      <c r="V199" s="41">
        <f>P199*0.03</f>
        <v>0</v>
      </c>
      <c r="W199" s="41">
        <f>P199*0.04</f>
        <v>0</v>
      </c>
      <c r="X199" s="41">
        <f>P199*0.05</f>
        <v>0</v>
      </c>
      <c r="Y199" s="42">
        <f>P199*0.05</f>
        <v>0</v>
      </c>
      <c r="Z199" s="52">
        <f>T199-Y199</f>
        <v>0</v>
      </c>
      <c r="AA199" s="52">
        <f>U199-Y199</f>
        <v>0</v>
      </c>
      <c r="AB199" s="43"/>
      <c r="AC199" t="s" s="51">
        <v>0</v>
      </c>
      <c r="AD199" t="s" s="51">
        <v>0</v>
      </c>
      <c r="AE199" t="s" s="51">
        <v>0</v>
      </c>
      <c r="AF199" t="s" s="44">
        <v>0</v>
      </c>
      <c r="AG199" s="54"/>
      <c r="AH199" s="52"/>
      <c r="AI199" s="41">
        <f>AH199-T199-U199</f>
        <v>0</v>
      </c>
      <c r="AJ199" t="s" s="44">
        <v>0</v>
      </c>
      <c r="AK199" s="54"/>
      <c r="AL199" s="52"/>
      <c r="AM199" s="41">
        <f>AL199-Z199-AA199</f>
        <v>0</v>
      </c>
      <c r="AN199" t="s" s="44">
        <v>0</v>
      </c>
      <c r="AO199" s="54"/>
      <c r="AP199" s="52"/>
      <c r="AQ199" s="41">
        <f>AP199-Y199</f>
        <v>0</v>
      </c>
      <c r="AR199" s="51"/>
      <c r="AS199" s="55">
        <v>0</v>
      </c>
    </row>
    <row r="200" ht="54.85" customHeight="1">
      <c r="A200" t="s" s="2">
        <v>0</v>
      </c>
      <c r="B200" s="33"/>
      <c r="C200" s="34"/>
      <c r="D200" s="35"/>
      <c r="E200" s="34"/>
      <c r="F200" s="36"/>
      <c r="G200" s="34"/>
      <c r="H200" s="34"/>
      <c r="I200" t="s" s="37">
        <v>0</v>
      </c>
      <c r="J200" s="38"/>
      <c r="K200" s="39"/>
      <c r="L200" s="39"/>
      <c r="M200" s="39"/>
      <c r="N200" s="39"/>
      <c r="O200" s="39"/>
      <c r="P200" s="40">
        <f>K200-L200-O200+N200</f>
        <v>0</v>
      </c>
      <c r="Q200" s="39"/>
      <c r="R200" s="39"/>
      <c r="S200" s="40">
        <f>L200</f>
        <v>0</v>
      </c>
      <c r="T200" s="39">
        <f>P200+R200-Q200+M200</f>
        <v>0</v>
      </c>
      <c r="U200" s="39">
        <f>T200-V200-W200-X200</f>
        <v>0</v>
      </c>
      <c r="V200" s="41">
        <f>P200*0.03</f>
        <v>0</v>
      </c>
      <c r="W200" s="41">
        <f>P200*0.04</f>
        <v>0</v>
      </c>
      <c r="X200" s="41">
        <f>P200*0.05</f>
        <v>0</v>
      </c>
      <c r="Y200" s="42">
        <f>P200*0.05</f>
        <v>0</v>
      </c>
      <c r="Z200" s="39">
        <f>T200-Y200</f>
        <v>0</v>
      </c>
      <c r="AA200" s="39">
        <f>U200-Y200</f>
        <v>0</v>
      </c>
      <c r="AB200" s="43"/>
      <c r="AC200" t="s" s="37">
        <v>0</v>
      </c>
      <c r="AD200" t="s" s="37">
        <v>0</v>
      </c>
      <c r="AE200" t="s" s="37">
        <v>0</v>
      </c>
      <c r="AF200" t="s" s="44">
        <v>0</v>
      </c>
      <c r="AG200" s="45"/>
      <c r="AH200" s="39"/>
      <c r="AI200" s="41">
        <f>AH200-T200-U200</f>
        <v>0</v>
      </c>
      <c r="AJ200" t="s" s="44">
        <v>0</v>
      </c>
      <c r="AK200" s="45"/>
      <c r="AL200" s="39"/>
      <c r="AM200" s="41">
        <f>AL200-Z200-AA200</f>
        <v>0</v>
      </c>
      <c r="AN200" t="s" s="44">
        <v>0</v>
      </c>
      <c r="AO200" s="45"/>
      <c r="AP200" s="39"/>
      <c r="AQ200" s="41">
        <f>AP200-Y200</f>
        <v>0</v>
      </c>
      <c r="AR200" s="37"/>
      <c r="AS200" s="46">
        <v>0</v>
      </c>
    </row>
    <row r="201" ht="54.85" customHeight="1">
      <c r="A201" t="s" s="2">
        <v>0</v>
      </c>
      <c r="B201" s="33"/>
      <c r="C201" s="34"/>
      <c r="D201" s="35"/>
      <c r="E201" s="49"/>
      <c r="F201" s="50"/>
      <c r="G201" s="49"/>
      <c r="H201" s="49"/>
      <c r="I201" t="s" s="51">
        <v>0</v>
      </c>
      <c r="J201" s="38"/>
      <c r="K201" s="52"/>
      <c r="L201" s="52"/>
      <c r="M201" s="52"/>
      <c r="N201" s="52"/>
      <c r="O201" s="52"/>
      <c r="P201" s="40">
        <f>K201-L201-O201+N201</f>
        <v>0</v>
      </c>
      <c r="Q201" s="52"/>
      <c r="R201" s="52"/>
      <c r="S201" s="40">
        <f>L201</f>
        <v>0</v>
      </c>
      <c r="T201" s="52">
        <f>P201+R201-Q201+M201</f>
        <v>0</v>
      </c>
      <c r="U201" s="52">
        <f>T201-V201-W201-X201</f>
        <v>0</v>
      </c>
      <c r="V201" s="41">
        <f>P201*0.03</f>
        <v>0</v>
      </c>
      <c r="W201" s="41">
        <f>P201*0.04</f>
        <v>0</v>
      </c>
      <c r="X201" s="41">
        <f>P201*0.05</f>
        <v>0</v>
      </c>
      <c r="Y201" s="42">
        <f>P201*0.05</f>
        <v>0</v>
      </c>
      <c r="Z201" s="52">
        <f>T201-Y201</f>
        <v>0</v>
      </c>
      <c r="AA201" s="52">
        <f>U201-Y201</f>
        <v>0</v>
      </c>
      <c r="AB201" s="43"/>
      <c r="AC201" t="s" s="51">
        <v>0</v>
      </c>
      <c r="AD201" t="s" s="51">
        <v>0</v>
      </c>
      <c r="AE201" t="s" s="51">
        <v>0</v>
      </c>
      <c r="AF201" t="s" s="44">
        <v>0</v>
      </c>
      <c r="AG201" s="54"/>
      <c r="AH201" s="52"/>
      <c r="AI201" s="41">
        <f>AH201-T201-U201</f>
        <v>0</v>
      </c>
      <c r="AJ201" t="s" s="44">
        <v>0</v>
      </c>
      <c r="AK201" s="54"/>
      <c r="AL201" s="52"/>
      <c r="AM201" s="41">
        <f>AL201-Z201-AA201</f>
        <v>0</v>
      </c>
      <c r="AN201" t="s" s="44">
        <v>0</v>
      </c>
      <c r="AO201" s="54"/>
      <c r="AP201" s="52"/>
      <c r="AQ201" s="41">
        <f>AP201-Y201</f>
        <v>0</v>
      </c>
      <c r="AR201" s="51"/>
      <c r="AS201" s="55">
        <v>0</v>
      </c>
    </row>
    <row r="202" ht="54.85" customHeight="1">
      <c r="A202" t="s" s="2">
        <v>0</v>
      </c>
      <c r="B202" s="33"/>
      <c r="C202" s="34"/>
      <c r="D202" s="35"/>
      <c r="E202" s="34"/>
      <c r="F202" s="36"/>
      <c r="G202" s="34"/>
      <c r="H202" s="34"/>
      <c r="I202" t="s" s="37">
        <v>0</v>
      </c>
      <c r="J202" s="38"/>
      <c r="K202" s="39"/>
      <c r="L202" s="39"/>
      <c r="M202" s="39"/>
      <c r="N202" s="39"/>
      <c r="O202" s="39"/>
      <c r="P202" s="40">
        <f>K202-L202-O202+N202</f>
        <v>0</v>
      </c>
      <c r="Q202" s="39"/>
      <c r="R202" s="39"/>
      <c r="S202" s="40">
        <f>L202</f>
        <v>0</v>
      </c>
      <c r="T202" s="39">
        <f>P202+R202-Q202+M202</f>
        <v>0</v>
      </c>
      <c r="U202" s="39">
        <f>T202-V202-W202-X202</f>
        <v>0</v>
      </c>
      <c r="V202" s="41">
        <f>P202*0.03</f>
        <v>0</v>
      </c>
      <c r="W202" s="41">
        <f>P202*0.04</f>
        <v>0</v>
      </c>
      <c r="X202" s="41">
        <f>P202*0.05</f>
        <v>0</v>
      </c>
      <c r="Y202" s="42">
        <f>P202*0.05</f>
        <v>0</v>
      </c>
      <c r="Z202" s="39">
        <f>T202-Y202</f>
        <v>0</v>
      </c>
      <c r="AA202" s="39">
        <f>U202-Y202</f>
        <v>0</v>
      </c>
      <c r="AB202" s="43"/>
      <c r="AC202" t="s" s="37">
        <v>0</v>
      </c>
      <c r="AD202" t="s" s="37">
        <v>0</v>
      </c>
      <c r="AE202" t="s" s="37">
        <v>0</v>
      </c>
      <c r="AF202" t="s" s="44">
        <v>0</v>
      </c>
      <c r="AG202" s="45"/>
      <c r="AH202" s="39"/>
      <c r="AI202" s="41">
        <f>AH202-T202-U202</f>
        <v>0</v>
      </c>
      <c r="AJ202" t="s" s="44">
        <v>0</v>
      </c>
      <c r="AK202" s="45"/>
      <c r="AL202" s="39"/>
      <c r="AM202" s="41">
        <f>AL202-Z202-AA202</f>
        <v>0</v>
      </c>
      <c r="AN202" t="s" s="44">
        <v>0</v>
      </c>
      <c r="AO202" s="45"/>
      <c r="AP202" s="39"/>
      <c r="AQ202" s="41">
        <f>AP202-Y202</f>
        <v>0</v>
      </c>
      <c r="AR202" s="37"/>
      <c r="AS202" s="46">
        <v>0</v>
      </c>
    </row>
    <row r="203" ht="54.85" customHeight="1">
      <c r="A203" t="s" s="2">
        <v>0</v>
      </c>
      <c r="B203" s="33"/>
      <c r="C203" s="34"/>
      <c r="D203" s="35"/>
      <c r="E203" s="49"/>
      <c r="F203" s="50"/>
      <c r="G203" s="49"/>
      <c r="H203" s="49"/>
      <c r="I203" t="s" s="51">
        <v>0</v>
      </c>
      <c r="J203" s="38"/>
      <c r="K203" s="52"/>
      <c r="L203" s="52"/>
      <c r="M203" s="52"/>
      <c r="N203" s="52"/>
      <c r="O203" s="52"/>
      <c r="P203" s="40">
        <f>K203-L203-O203+N203</f>
        <v>0</v>
      </c>
      <c r="Q203" s="52"/>
      <c r="R203" s="52"/>
      <c r="S203" s="40">
        <f>L203</f>
        <v>0</v>
      </c>
      <c r="T203" s="52">
        <f>P203+R203-Q203+M203</f>
        <v>0</v>
      </c>
      <c r="U203" s="52">
        <f>T203-V203-W203-X203</f>
        <v>0</v>
      </c>
      <c r="V203" s="41">
        <f>P203*0.03</f>
        <v>0</v>
      </c>
      <c r="W203" s="41">
        <f>P203*0.04</f>
        <v>0</v>
      </c>
      <c r="X203" s="41">
        <f>P203*0.05</f>
        <v>0</v>
      </c>
      <c r="Y203" s="42">
        <f>P203*0.05</f>
        <v>0</v>
      </c>
      <c r="Z203" s="52">
        <f>T203-Y203</f>
        <v>0</v>
      </c>
      <c r="AA203" s="52">
        <f>U203-Y203</f>
        <v>0</v>
      </c>
      <c r="AB203" s="43"/>
      <c r="AC203" t="s" s="51">
        <v>0</v>
      </c>
      <c r="AD203" t="s" s="51">
        <v>0</v>
      </c>
      <c r="AE203" t="s" s="51">
        <v>0</v>
      </c>
      <c r="AF203" t="s" s="44">
        <v>0</v>
      </c>
      <c r="AG203" s="54"/>
      <c r="AH203" s="52"/>
      <c r="AI203" s="41">
        <f>AH203-T203-U203</f>
        <v>0</v>
      </c>
      <c r="AJ203" t="s" s="44">
        <v>0</v>
      </c>
      <c r="AK203" s="54"/>
      <c r="AL203" s="52"/>
      <c r="AM203" s="41">
        <f>AL203-Z203-AA203</f>
        <v>0</v>
      </c>
      <c r="AN203" t="s" s="44">
        <v>0</v>
      </c>
      <c r="AO203" s="54"/>
      <c r="AP203" s="52"/>
      <c r="AQ203" s="41">
        <f>AP203-Y203</f>
        <v>0</v>
      </c>
      <c r="AR203" s="51"/>
      <c r="AS203" s="55">
        <v>0</v>
      </c>
    </row>
    <row r="204" ht="54.85" customHeight="1">
      <c r="A204" t="s" s="2">
        <v>0</v>
      </c>
      <c r="B204" s="33"/>
      <c r="C204" s="34"/>
      <c r="D204" s="35"/>
      <c r="E204" s="34"/>
      <c r="F204" s="36"/>
      <c r="G204" s="34"/>
      <c r="H204" s="34"/>
      <c r="I204" t="s" s="37">
        <v>0</v>
      </c>
      <c r="J204" s="38"/>
      <c r="K204" s="39"/>
      <c r="L204" s="39"/>
      <c r="M204" s="39"/>
      <c r="N204" s="39"/>
      <c r="O204" s="39"/>
      <c r="P204" s="40">
        <f>K204-L204-O204+N204</f>
        <v>0</v>
      </c>
      <c r="Q204" s="39"/>
      <c r="R204" s="39"/>
      <c r="S204" s="40">
        <f>L204</f>
        <v>0</v>
      </c>
      <c r="T204" s="39">
        <f>P204+R204-Q204+M204</f>
        <v>0</v>
      </c>
      <c r="U204" s="39">
        <f>T204-V204-W204-X204</f>
        <v>0</v>
      </c>
      <c r="V204" s="41">
        <f>P204*0.03</f>
        <v>0</v>
      </c>
      <c r="W204" s="41">
        <f>P204*0.04</f>
        <v>0</v>
      </c>
      <c r="X204" s="41">
        <f>P204*0.05</f>
        <v>0</v>
      </c>
      <c r="Y204" s="42">
        <f>P204*0.05</f>
        <v>0</v>
      </c>
      <c r="Z204" s="39">
        <f>T204-Y204</f>
        <v>0</v>
      </c>
      <c r="AA204" s="39">
        <f>U204-Y204</f>
        <v>0</v>
      </c>
      <c r="AB204" s="43"/>
      <c r="AC204" t="s" s="37">
        <v>0</v>
      </c>
      <c r="AD204" t="s" s="37">
        <v>0</v>
      </c>
      <c r="AE204" t="s" s="37">
        <v>0</v>
      </c>
      <c r="AF204" t="s" s="44">
        <v>0</v>
      </c>
      <c r="AG204" s="45"/>
      <c r="AH204" s="39"/>
      <c r="AI204" s="41">
        <f>AH204-T204-U204</f>
        <v>0</v>
      </c>
      <c r="AJ204" t="s" s="44">
        <v>0</v>
      </c>
      <c r="AK204" s="45"/>
      <c r="AL204" s="39"/>
      <c r="AM204" s="41">
        <f>AL204-Z204-AA204</f>
        <v>0</v>
      </c>
      <c r="AN204" t="s" s="44">
        <v>0</v>
      </c>
      <c r="AO204" s="45"/>
      <c r="AP204" s="39"/>
      <c r="AQ204" s="41">
        <f>AP204-Y204</f>
        <v>0</v>
      </c>
      <c r="AR204" s="37"/>
      <c r="AS204" s="46">
        <v>0</v>
      </c>
    </row>
    <row r="205" ht="59.85" customHeight="1">
      <c r="A205" t="s" s="59">
        <v>0</v>
      </c>
      <c r="B205" t="s" s="60">
        <v>115</v>
      </c>
      <c r="C205" s="61"/>
      <c r="D205" s="62"/>
      <c r="E205" s="71"/>
      <c r="F205" s="71"/>
      <c r="G205" s="71"/>
      <c r="H205" s="71"/>
      <c r="I205" s="71"/>
      <c r="J205" s="71"/>
      <c r="K205" s="64">
        <f>SUM(K4:K204)</f>
        <v>625423.7</v>
      </c>
      <c r="L205" s="64">
        <f>SUM(L4:L204)</f>
        <v>110186.79</v>
      </c>
      <c r="M205" s="64">
        <f>SUM(M4:M204)</f>
        <v>16505</v>
      </c>
      <c r="N205" s="64">
        <f>SUM(N4:N204)</f>
        <v>1067.2</v>
      </c>
      <c r="O205" s="64">
        <f>SUM(O4:O204)</f>
        <v>3013.35</v>
      </c>
      <c r="P205" s="65">
        <f>SUM(P4:P204)</f>
        <v>513290.76</v>
      </c>
      <c r="Q205" s="64">
        <f>SUM(Q4:Q204)</f>
        <v>0</v>
      </c>
      <c r="R205" s="64">
        <f>SUM(R4:R204)</f>
        <v>0</v>
      </c>
      <c r="S205" s="64">
        <f>SUM(S4:S204)</f>
        <v>110186.79</v>
      </c>
      <c r="T205" s="64">
        <f>SUM(T4:T204)</f>
        <v>529795.76</v>
      </c>
      <c r="U205" s="64">
        <f>SUM(U4:U204)</f>
        <v>468200.8688</v>
      </c>
      <c r="V205" s="64">
        <f>SUM(V4:V204)</f>
        <v>15398.7228</v>
      </c>
      <c r="W205" s="64">
        <f>SUM(W4:W204)</f>
        <v>20531.6304</v>
      </c>
      <c r="X205" s="64">
        <f>SUM(X4:X204)</f>
        <v>25664.538</v>
      </c>
      <c r="Y205" s="66">
        <f>SUM(Y4:Y204)</f>
        <v>25664.538</v>
      </c>
      <c r="Z205" s="64">
        <f>SUM(Z4:Z204)</f>
        <v>504131.222</v>
      </c>
      <c r="AA205" s="64">
        <f>SUM(AA4:AA204)</f>
        <v>442536.3308</v>
      </c>
      <c r="AB205" s="64"/>
      <c r="AC205" s="64"/>
      <c r="AD205" s="64"/>
      <c r="AE205" s="64"/>
      <c r="AF205" s="64"/>
      <c r="AG205" s="64"/>
      <c r="AH205" s="64">
        <f>SUM(AH4:AH204)</f>
        <v>0</v>
      </c>
      <c r="AI205" s="64">
        <f>SUM(AI4:AI204)</f>
        <v>-997996.6287999999</v>
      </c>
      <c r="AJ205" s="64"/>
      <c r="AK205" s="64"/>
      <c r="AL205" s="64">
        <f>SUM(AL4:AL204)</f>
        <v>0</v>
      </c>
      <c r="AM205" s="64">
        <f>SUM(AM4:AM204)</f>
        <v>-946667.5527999999</v>
      </c>
      <c r="AN205" s="64"/>
      <c r="AO205" s="64"/>
      <c r="AP205" s="64">
        <f>SUM(AP4:AP204)</f>
        <v>0</v>
      </c>
      <c r="AQ205" s="64">
        <f>SUM(AQ4:AQ204)</f>
        <v>-25664.538</v>
      </c>
      <c r="AR205" s="67"/>
      <c r="AS205" s="67"/>
    </row>
    <row r="206" ht="59.85" customHeight="1">
      <c r="A206" s="59"/>
      <c r="B206" s="68"/>
      <c r="C206" s="69"/>
      <c r="D206" s="68"/>
      <c r="E206" s="63"/>
      <c r="F206" s="63"/>
      <c r="G206" s="63"/>
      <c r="H206" s="63"/>
      <c r="I206" s="63"/>
      <c r="J206" s="63"/>
      <c r="K206" s="68"/>
      <c r="L206" s="63"/>
      <c r="M206" s="63"/>
      <c r="N206" s="63"/>
      <c r="O206" s="63"/>
      <c r="P206" s="63"/>
      <c r="Q206" s="68"/>
      <c r="R206" s="63"/>
      <c r="S206" s="63"/>
      <c r="T206" s="63"/>
      <c r="U206" s="63"/>
      <c r="V206" s="63"/>
      <c r="W206" s="63"/>
      <c r="X206" s="80"/>
      <c r="Y206" s="68"/>
      <c r="Z206" s="68"/>
      <c r="AA206" s="63"/>
      <c r="AB206" s="81"/>
      <c r="AC206" s="63"/>
      <c r="AD206" s="82"/>
      <c r="AE206" s="63"/>
      <c r="AF206" s="68"/>
      <c r="AG206" s="63"/>
      <c r="AH206" s="80"/>
      <c r="AI206" s="63"/>
      <c r="AJ206" s="68"/>
      <c r="AK206" s="63"/>
      <c r="AL206" s="80"/>
      <c r="AM206" s="63"/>
      <c r="AN206" s="68"/>
      <c r="AO206" s="63"/>
      <c r="AP206" s="80"/>
      <c r="AQ206" s="63"/>
      <c r="AR206" s="83"/>
      <c r="AS206" s="83"/>
    </row>
  </sheetData>
  <mergeCells count="29">
    <mergeCell ref="K2:M2"/>
    <mergeCell ref="N2:O2"/>
    <mergeCell ref="K1:P1"/>
    <mergeCell ref="S2:U2"/>
    <mergeCell ref="Q2:R2"/>
    <mergeCell ref="D2:F2"/>
    <mergeCell ref="D1:J1"/>
    <mergeCell ref="G2:I2"/>
    <mergeCell ref="V2:X2"/>
    <mergeCell ref="Q1:X1"/>
    <mergeCell ref="D205:J205"/>
    <mergeCell ref="A2:A3"/>
    <mergeCell ref="AR1:AR3"/>
    <mergeCell ref="D206:J206"/>
    <mergeCell ref="B206:C206"/>
    <mergeCell ref="K206:P206"/>
    <mergeCell ref="Q206:X206"/>
    <mergeCell ref="Z206:AA206"/>
    <mergeCell ref="AF206:AI206"/>
    <mergeCell ref="AN206:AQ206"/>
    <mergeCell ref="AJ206:AM206"/>
    <mergeCell ref="AC1:AE2"/>
    <mergeCell ref="AF1:AI2"/>
    <mergeCell ref="AN1:AQ2"/>
    <mergeCell ref="AJ1:AM2"/>
    <mergeCell ref="AB1:AB2"/>
    <mergeCell ref="B1:C1"/>
    <mergeCell ref="Z1:AA1"/>
    <mergeCell ref="AS1:AS3"/>
  </mergeCells>
  <conditionalFormatting sqref="A1 A4:A206">
    <cfRule type="cellIs" dxfId="38" priority="1" operator="equal" stopIfTrue="1">
      <formula>"..."</formula>
    </cfRule>
    <cfRule type="cellIs" dxfId="39" priority="2" operator="equal" stopIfTrue="1">
      <formula>"OK"</formula>
    </cfRule>
    <cfRule type="cellIs" dxfId="40" priority="3" operator="equal" stopIfTrue="1">
      <formula>"!"</formula>
    </cfRule>
    <cfRule type="cellIs" dxfId="41" priority="4" operator="equal" stopIfTrue="1">
      <formula>"!!"</formula>
    </cfRule>
    <cfRule type="cellIs" dxfId="42" priority="5" operator="equal" stopIfTrue="1">
      <formula>"!!!"</formula>
    </cfRule>
    <cfRule type="cellIs" dxfId="43" priority="6" operator="equal" stopIfTrue="1">
      <formula>"?"</formula>
    </cfRule>
    <cfRule type="cellIs" dxfId="44" priority="7" operator="equal" stopIfTrue="1">
      <formula>"?!"</formula>
    </cfRule>
    <cfRule type="cellIs" dxfId="45" priority="8" operator="equal" stopIfTrue="1">
      <formula>"[ ]"</formula>
    </cfRule>
  </conditionalFormatting>
  <conditionalFormatting sqref="AC4:AC204">
    <cfRule type="cellIs" dxfId="46" priority="1" operator="equal" stopIfTrue="1">
      <formula>"AO REPRESENTANTE"</formula>
    </cfRule>
  </conditionalFormatting>
  <conditionalFormatting sqref="AF4:AF204 AJ4:AJ204 AN4:AN204">
    <cfRule type="cellIs" dxfId="47" priority="1" operator="equal" stopIfTrue="1">
      <formula>"PENDENTE"</formula>
    </cfRule>
    <cfRule type="cellIs" dxfId="48" priority="2" operator="equal" stopIfTrue="1">
      <formula>"PAGO"</formula>
    </cfRule>
    <cfRule type="cellIs" dxfId="49" priority="3" operator="equal" stopIfTrue="1">
      <formula>"ATRASADO"</formula>
    </cfRule>
    <cfRule type="cellIs" dxfId="50" priority="4" operator="equal" stopIfTrue="1">
      <formula>"REVISÃO"</formula>
    </cfRule>
    <cfRule type="cellIs" dxfId="51" priority="5" operator="equal" stopIfTrue="1">
      <formula>"EM CRÉDITO"</formula>
    </cfRule>
  </conditionalFormatting>
  <conditionalFormatting sqref="AS4:AS204">
    <cfRule type="cellIs" dxfId="52" priority="1" operator="equal" stopIfTrue="1">
      <formula>5</formula>
    </cfRule>
    <cfRule type="cellIs" dxfId="53" priority="2" operator="equal" stopIfTrue="1">
      <formula>4</formula>
    </cfRule>
    <cfRule type="cellIs" dxfId="54" priority="3" operator="equal" stopIfTrue="1">
      <formula>3</formula>
    </cfRule>
    <cfRule type="cellIs" dxfId="55" priority="4" operator="equal" stopIfTrue="1">
      <formula>2</formula>
    </cfRule>
    <cfRule type="cellIs" dxfId="56" priority="5" operator="equal" stopIfTrue="1">
      <formula>1</formula>
    </cfRule>
  </conditionalFormatting>
  <dataValidations count="8">
    <dataValidation type="list" allowBlank="1" showInputMessage="1" showErrorMessage="1" sqref="A1 A4:A205">
      <formula1>"-,...,OK,!,!!,!!!,?,?!,[ ]"</formula1>
    </dataValidation>
    <dataValidation type="list" allowBlank="1" showInputMessage="1" showErrorMessage="1" sqref="D4:D204">
      <formula1>",OG,LR"</formula1>
    </dataValidation>
    <dataValidation type="list" allowBlank="1" showInputMessage="1" showErrorMessage="1" sqref="I4 AE4:AE21 I7 I12:I17 I22 AE22:AE32 I25 I30 I33:I204 AE33:AE204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AC4:AC204">
      <formula1>"-,AO FORNECEDOR,AO REPRESENTANTE,AO MOTORISTA,EM REVISÃO"</formula1>
    </dataValidation>
    <dataValidation type="list" allowBlank="1" showInputMessage="1" showErrorMessage="1" sqref="AD4:AD204">
      <formula1>"-,BOLETO,CHEQUE,DINHEIRO,DEPÓSITO,TRANSFERÊNCIA,PIX,MISTO,SALDO,TROCA,DIRETO (Fornecedor),EM REVISÃO"</formula1>
    </dataValidation>
    <dataValidation type="list" allowBlank="1" showInputMessage="1" showErrorMessage="1" sqref="AF4:AF204 AJ4:AJ204 AN4:AN204">
      <formula1>"-,PENDENTE,PAGO,ATRASADO,EM CRÉDITO,REVISÃO"</formula1>
    </dataValidation>
    <dataValidation type="list" allowBlank="1" showInputMessage="1" showErrorMessage="1" sqref="I5:I6 I8:I11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I18:I21 I23:I24 I26:I29 I31:I32">
      <formula1>"-,A VISTA,30/60/90,30/60/90/120,30/60/90/120/135,30/60/90/120/150,30/60/90/120/150/180,30/45/60,30/45/60/75,30/45/60/75/90,30/45/60/75/90/105,30/45/60/75/90/105/120,30/45/60/75/90/105/120/135,30/45/60/75/90/105/120/135/150"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